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5.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6" codeName="{3D1A710C-6663-3D7B-7F91-EC182F24A4BC}"/>
  <workbookPr codeName="DieseArbeitsmappe" hidePivotFieldList="1"/>
  <mc:AlternateContent xmlns:mc="http://schemas.openxmlformats.org/markup-compatibility/2006">
    <mc:Choice Requires="x15">
      <x15ac:absPath xmlns:x15ac="http://schemas.microsoft.com/office/spreadsheetml/2010/11/ac" url="C:\Users\domidavi\ownCloud\FPC@ITA\2. Projects\"/>
    </mc:Choice>
  </mc:AlternateContent>
  <xr:revisionPtr revIDLastSave="0" documentId="13_ncr:1_{CACC5D8E-63CC-4BCB-A6DE-777FEA1D6FD6}" xr6:coauthVersionLast="36" xr6:coauthVersionMax="47" xr10:uidLastSave="{00000000-0000-0000-0000-000000000000}"/>
  <workbookProtection workbookAlgorithmName="SHA-512" workbookHashValue="KSaXsTbV+FvRC5Aq5x5R00I3mEJrEixCQBLGuJkL/92386Es/Oz4ofP+GYWMNuzb5DV9vwWSItc2c3sZ7NI5OA==" workbookSaltValue="QJav4VtVJ1oFhZC2uxP3fQ==" workbookSpinCount="100000" lockStructure="1"/>
  <bookViews>
    <workbookView xWindow="810" yWindow="-120" windowWidth="21690" windowHeight="10875" tabRatio="599" xr2:uid="{00000000-000D-0000-FFFF-FFFF00000000}"/>
  </bookViews>
  <sheets>
    <sheet name="Intro, Login and Logout" sheetId="12" r:id="rId1"/>
    <sheet name="Database" sheetId="2" state="veryHidden" r:id="rId2"/>
    <sheet name="Prospection Summary" sheetId="10" state="veryHidden" r:id="rId3"/>
    <sheet name="Prospection Funnels " sheetId="15" state="veryHidden" r:id="rId4"/>
    <sheet name="Probability of Success (IPK)" sheetId="11" state="veryHidden" r:id="rId5"/>
    <sheet name="aux" sheetId="4" state="veryHidden" r:id="rId6"/>
    <sheet name="Data IPK" sheetId="13" state="veryHidden" r:id="rId7"/>
    <sheet name="Data ITA" sheetId="14" state="veryHidden" r:id="rId8"/>
  </sheets>
  <definedNames>
    <definedName name="_xlnm._FilterDatabase" localSheetId="4" hidden="1">'Probability of Success (IPK)'!$S$4:$S$1000</definedName>
    <definedName name="_xlnm._FilterDatabase" localSheetId="2" hidden="1">'Prospection Summary'!$M$4:$M$1011</definedName>
    <definedName name="_xlnm.Print_Area" localSheetId="4">'Probability of Success (IPK)'!$A$6:$Q$529</definedName>
    <definedName name="PassIPK">'Data IPK'!$B$2</definedName>
    <definedName name="PassITA">'Data ITA'!$B$2</definedName>
    <definedName name="UserIPK">'Data IPK'!$B$1</definedName>
    <definedName name="UserITA">'Data ITA'!$B$1</definedName>
  </definedNames>
  <calcPr calcId="191029"/>
  <pivotCaches>
    <pivotCache cacheId="16"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3" i="2" l="1"/>
  <c r="AG3" i="2"/>
  <c r="BY3" i="2"/>
  <c r="BZ3" i="2"/>
  <c r="CA3" i="2"/>
  <c r="CQ3" i="2" s="1"/>
  <c r="CB3" i="2"/>
  <c r="CT3" i="2" s="1"/>
  <c r="CC3" i="2"/>
  <c r="CF3" i="2"/>
  <c r="CG3" i="2"/>
  <c r="CH3" i="2"/>
  <c r="CI3" i="2"/>
  <c r="CJ3" i="2"/>
  <c r="CK3" i="2"/>
  <c r="CN3" i="2"/>
  <c r="CO3" i="2"/>
  <c r="CR3" i="2"/>
  <c r="CS3" i="2"/>
  <c r="CU3" i="2"/>
  <c r="CW3" i="2" s="1"/>
  <c r="CV3" i="2"/>
  <c r="CZ3" i="2"/>
  <c r="CY3" i="2" s="1"/>
  <c r="DA3" i="2"/>
  <c r="DC3" i="2"/>
  <c r="DE3" i="2" s="1"/>
  <c r="DL3" i="2" s="1"/>
  <c r="DN3" i="2" s="1"/>
  <c r="CX3" i="2" l="1"/>
  <c r="CE3" i="2"/>
  <c r="CD3" i="2"/>
  <c r="CP3" i="2"/>
  <c r="DB3" i="2" s="1"/>
  <c r="CL3" i="2"/>
  <c r="CM3" i="2" s="1"/>
  <c r="Z4" i="2" l="1"/>
  <c r="AG4" i="2"/>
  <c r="BY4" i="2"/>
  <c r="BZ4" i="2"/>
  <c r="DC4" i="2" s="1"/>
  <c r="DE4" i="2" s="1"/>
  <c r="DL4" i="2" s="1"/>
  <c r="DN4" i="2" s="1"/>
  <c r="CA4" i="2"/>
  <c r="CE4" i="2" s="1"/>
  <c r="CB4" i="2"/>
  <c r="CC4" i="2"/>
  <c r="CF4" i="2"/>
  <c r="CG4" i="2"/>
  <c r="CH4" i="2"/>
  <c r="CI4" i="2"/>
  <c r="CP4" i="2" s="1"/>
  <c r="CJ4" i="2"/>
  <c r="CK4" i="2"/>
  <c r="CN4" i="2"/>
  <c r="CO4" i="2"/>
  <c r="CR4" i="2"/>
  <c r="CS4" i="2"/>
  <c r="CU4" i="2"/>
  <c r="CV4" i="2"/>
  <c r="CZ4" i="2"/>
  <c r="DA4" i="2"/>
  <c r="CT4" i="2" l="1"/>
  <c r="CL4" i="2"/>
  <c r="CM4" i="2" s="1"/>
  <c r="CY4" i="2"/>
  <c r="DB4" i="2" s="1"/>
  <c r="CW4" i="2"/>
  <c r="CX4" i="2"/>
  <c r="CD4" i="2"/>
  <c r="CQ4" i="2"/>
  <c r="BY5" i="2"/>
  <c r="BZ5" i="2"/>
  <c r="DC5" i="2" s="1"/>
  <c r="DE5" i="2" s="1"/>
  <c r="DL5" i="2" s="1"/>
  <c r="DN5" i="2" s="1"/>
  <c r="CA5" i="2"/>
  <c r="CB5" i="2"/>
  <c r="CC5" i="2"/>
  <c r="CF5" i="2"/>
  <c r="CG5" i="2"/>
  <c r="CH5" i="2"/>
  <c r="CI5" i="2"/>
  <c r="CJ5" i="2"/>
  <c r="CK5" i="2"/>
  <c r="CN5" i="2"/>
  <c r="CO5" i="2"/>
  <c r="CR5" i="2"/>
  <c r="CS5" i="2"/>
  <c r="CU5" i="2"/>
  <c r="CV5" i="2"/>
  <c r="CZ5" i="2"/>
  <c r="DA5" i="2"/>
  <c r="BY6" i="2"/>
  <c r="BZ6" i="2"/>
  <c r="DC6" i="2" s="1"/>
  <c r="DE6" i="2" s="1"/>
  <c r="DL6" i="2" s="1"/>
  <c r="DN6" i="2" s="1"/>
  <c r="CA6" i="2"/>
  <c r="CB6" i="2"/>
  <c r="CC6" i="2"/>
  <c r="CF6" i="2"/>
  <c r="CG6" i="2"/>
  <c r="CH6" i="2"/>
  <c r="CI6" i="2"/>
  <c r="CP6" i="2" s="1"/>
  <c r="CJ6" i="2"/>
  <c r="CK6" i="2"/>
  <c r="CN6" i="2"/>
  <c r="CO6" i="2"/>
  <c r="CR6" i="2"/>
  <c r="CS6" i="2"/>
  <c r="CU6" i="2"/>
  <c r="CV6" i="2"/>
  <c r="CZ6" i="2"/>
  <c r="DA6" i="2"/>
  <c r="CT6" i="2" l="1"/>
  <c r="CE5" i="2"/>
  <c r="CY6" i="2"/>
  <c r="DB6" i="2" s="1"/>
  <c r="CQ5" i="2"/>
  <c r="CY5" i="2"/>
  <c r="CD5" i="2"/>
  <c r="CT5" i="2"/>
  <c r="CX5" i="2"/>
  <c r="CP5" i="2"/>
  <c r="CW5" i="2"/>
  <c r="CL5" i="2"/>
  <c r="CM5" i="2" s="1"/>
  <c r="CQ6" i="2"/>
  <c r="CX6" i="2"/>
  <c r="CW6" i="2"/>
  <c r="CE6" i="2"/>
  <c r="CD6" i="2"/>
  <c r="CL6" i="2"/>
  <c r="CM6" i="2" s="1"/>
  <c r="DB5" i="2" l="1"/>
  <c r="BY7" i="2"/>
  <c r="BZ7" i="2"/>
  <c r="DC7" i="2" s="1"/>
  <c r="DE7" i="2" s="1"/>
  <c r="DL7" i="2" s="1"/>
  <c r="DN7" i="2" s="1"/>
  <c r="CA7" i="2"/>
  <c r="CB7" i="2"/>
  <c r="CC7" i="2"/>
  <c r="CF7" i="2"/>
  <c r="CG7" i="2"/>
  <c r="CH7" i="2"/>
  <c r="CI7" i="2"/>
  <c r="CP7" i="2" s="1"/>
  <c r="CJ7" i="2"/>
  <c r="CK7" i="2"/>
  <c r="CN7" i="2"/>
  <c r="CO7" i="2"/>
  <c r="CR7" i="2"/>
  <c r="CS7" i="2"/>
  <c r="CU7" i="2"/>
  <c r="CV7" i="2"/>
  <c r="CZ7" i="2"/>
  <c r="DA7" i="2"/>
  <c r="AM49" i="2"/>
  <c r="AM164" i="2"/>
  <c r="AK49" i="2"/>
  <c r="AN42" i="2"/>
  <c r="AM42" i="2"/>
  <c r="AK42" i="2"/>
  <c r="CY7" i="2" l="1"/>
  <c r="DB7" i="2" s="1"/>
  <c r="CW7" i="2"/>
  <c r="CT7" i="2"/>
  <c r="CQ7" i="2"/>
  <c r="CE7" i="2"/>
  <c r="CX7" i="2"/>
  <c r="CD7" i="2"/>
  <c r="CL7" i="2"/>
  <c r="CM7" i="2" s="1"/>
  <c r="Z8" i="2"/>
  <c r="AG8" i="2"/>
  <c r="BY8" i="2"/>
  <c r="BZ8" i="2"/>
  <c r="DC8" i="2" s="1"/>
  <c r="DE8" i="2" s="1"/>
  <c r="DL8" i="2" s="1"/>
  <c r="DN8" i="2" s="1"/>
  <c r="CA8" i="2"/>
  <c r="CB8" i="2"/>
  <c r="CC8" i="2"/>
  <c r="CF8" i="2"/>
  <c r="CG8" i="2"/>
  <c r="CH8" i="2"/>
  <c r="CI8" i="2"/>
  <c r="CP8" i="2" s="1"/>
  <c r="CJ8" i="2"/>
  <c r="CK8" i="2"/>
  <c r="CN8" i="2"/>
  <c r="CO8" i="2"/>
  <c r="CR8" i="2"/>
  <c r="CS8" i="2"/>
  <c r="CU8" i="2"/>
  <c r="CV8" i="2"/>
  <c r="CZ8" i="2"/>
  <c r="DA8" i="2"/>
  <c r="CE8" i="2" l="1"/>
  <c r="CQ8" i="2"/>
  <c r="CX8" i="2"/>
  <c r="CD8" i="2"/>
  <c r="CL8" i="2"/>
  <c r="CM8" i="2" s="1"/>
  <c r="CT8" i="2"/>
  <c r="CW8" i="2"/>
  <c r="CY8" i="2"/>
  <c r="DB8" i="2" s="1"/>
  <c r="Z9" i="2" l="1"/>
  <c r="AG9" i="2"/>
  <c r="BY9" i="2"/>
  <c r="BZ9" i="2"/>
  <c r="DC9" i="2" s="1"/>
  <c r="DE9" i="2" s="1"/>
  <c r="DL9" i="2" s="1"/>
  <c r="DN9" i="2" s="1"/>
  <c r="CA9" i="2"/>
  <c r="CB9" i="2"/>
  <c r="CC9" i="2"/>
  <c r="CF9" i="2"/>
  <c r="CG9" i="2"/>
  <c r="CH9" i="2"/>
  <c r="CI9" i="2"/>
  <c r="CJ9" i="2"/>
  <c r="CK9" i="2"/>
  <c r="CN9" i="2"/>
  <c r="CO9" i="2"/>
  <c r="CR9" i="2"/>
  <c r="CS9" i="2"/>
  <c r="CU9" i="2"/>
  <c r="CV9" i="2"/>
  <c r="CZ9" i="2"/>
  <c r="DA9" i="2"/>
  <c r="CY9" i="2" l="1"/>
  <c r="CT9" i="2"/>
  <c r="CW9" i="2"/>
  <c r="CX9" i="2"/>
  <c r="CP9" i="2"/>
  <c r="CE9" i="2"/>
  <c r="CD9" i="2"/>
  <c r="CL9" i="2"/>
  <c r="CM9" i="2" s="1"/>
  <c r="CQ9" i="2"/>
  <c r="AM10" i="2"/>
  <c r="CI10" i="2" s="1"/>
  <c r="Z10" i="2"/>
  <c r="AG10" i="2"/>
  <c r="BY10" i="2"/>
  <c r="BZ10" i="2"/>
  <c r="DC10" i="2" s="1"/>
  <c r="DE10" i="2" s="1"/>
  <c r="DL10" i="2" s="1"/>
  <c r="DN10" i="2" s="1"/>
  <c r="CA10" i="2"/>
  <c r="CB10" i="2"/>
  <c r="CC10" i="2"/>
  <c r="CF10" i="2"/>
  <c r="CG10" i="2"/>
  <c r="CH10" i="2"/>
  <c r="CJ10" i="2"/>
  <c r="CN10" i="2"/>
  <c r="CR10" i="2"/>
  <c r="CS10" i="2"/>
  <c r="CU10" i="2"/>
  <c r="CZ10" i="2"/>
  <c r="DA10" i="2"/>
  <c r="CK42" i="2"/>
  <c r="AN194" i="2"/>
  <c r="Z11" i="2"/>
  <c r="AG11" i="2"/>
  <c r="BY11" i="2"/>
  <c r="BZ11" i="2"/>
  <c r="DC11" i="2" s="1"/>
  <c r="DE11" i="2" s="1"/>
  <c r="DL11" i="2" s="1"/>
  <c r="DN11" i="2" s="1"/>
  <c r="CA11" i="2"/>
  <c r="CB11" i="2"/>
  <c r="CC11" i="2"/>
  <c r="CF11" i="2"/>
  <c r="CG11" i="2"/>
  <c r="CH11" i="2"/>
  <c r="CI11" i="2"/>
  <c r="CJ11" i="2"/>
  <c r="CK11" i="2"/>
  <c r="CN11" i="2"/>
  <c r="CO11" i="2"/>
  <c r="CR11" i="2"/>
  <c r="CS11" i="2"/>
  <c r="CU11" i="2"/>
  <c r="CV11" i="2"/>
  <c r="CZ11" i="2"/>
  <c r="DA11" i="2"/>
  <c r="Z12" i="2"/>
  <c r="AG12" i="2"/>
  <c r="BY12" i="2"/>
  <c r="BZ12" i="2"/>
  <c r="DC12" i="2" s="1"/>
  <c r="DE12" i="2" s="1"/>
  <c r="DL12" i="2" s="1"/>
  <c r="DN12" i="2" s="1"/>
  <c r="CA12" i="2"/>
  <c r="CB12" i="2"/>
  <c r="CC12" i="2"/>
  <c r="CF12" i="2"/>
  <c r="CG12" i="2"/>
  <c r="CH12" i="2"/>
  <c r="CI12" i="2"/>
  <c r="CJ12" i="2"/>
  <c r="CK12" i="2"/>
  <c r="CN12" i="2"/>
  <c r="CO12" i="2"/>
  <c r="CR12" i="2"/>
  <c r="CS12" i="2"/>
  <c r="CU12" i="2"/>
  <c r="CV12" i="2"/>
  <c r="CZ12" i="2"/>
  <c r="DA12" i="2"/>
  <c r="Z13" i="2"/>
  <c r="AG13" i="2"/>
  <c r="BY13" i="2"/>
  <c r="BZ13" i="2"/>
  <c r="DC13" i="2" s="1"/>
  <c r="DE13" i="2" s="1"/>
  <c r="DL13" i="2" s="1"/>
  <c r="DN13" i="2" s="1"/>
  <c r="CA13" i="2"/>
  <c r="CB13" i="2"/>
  <c r="CC13" i="2"/>
  <c r="CF13" i="2"/>
  <c r="CG13" i="2"/>
  <c r="CH13" i="2"/>
  <c r="CI13" i="2"/>
  <c r="CP13" i="2" s="1"/>
  <c r="CJ13" i="2"/>
  <c r="CK13" i="2"/>
  <c r="CN13" i="2"/>
  <c r="CO13" i="2"/>
  <c r="CR13" i="2"/>
  <c r="CS13" i="2"/>
  <c r="CU13" i="2"/>
  <c r="CV13" i="2"/>
  <c r="CZ13" i="2"/>
  <c r="DA13" i="2"/>
  <c r="Z14" i="2"/>
  <c r="AG14" i="2"/>
  <c r="BY14" i="2"/>
  <c r="BZ14" i="2"/>
  <c r="DC14" i="2" s="1"/>
  <c r="DE14" i="2" s="1"/>
  <c r="DL14" i="2" s="1"/>
  <c r="DN14" i="2" s="1"/>
  <c r="CA14" i="2"/>
  <c r="CB14" i="2"/>
  <c r="CC14" i="2"/>
  <c r="CF14" i="2"/>
  <c r="CG14" i="2"/>
  <c r="CH14" i="2"/>
  <c r="CI14" i="2"/>
  <c r="CJ14" i="2"/>
  <c r="CK14" i="2"/>
  <c r="CN14" i="2"/>
  <c r="CO14" i="2"/>
  <c r="CR14" i="2"/>
  <c r="CS14" i="2"/>
  <c r="CU14" i="2"/>
  <c r="CV14" i="2"/>
  <c r="CZ14" i="2"/>
  <c r="DA14" i="2"/>
  <c r="Z15" i="2"/>
  <c r="AG15" i="2"/>
  <c r="BY15" i="2"/>
  <c r="BZ15" i="2"/>
  <c r="DC15" i="2" s="1"/>
  <c r="DE15" i="2" s="1"/>
  <c r="DL15" i="2" s="1"/>
  <c r="DN15" i="2" s="1"/>
  <c r="CA15" i="2"/>
  <c r="CB15" i="2"/>
  <c r="CC15" i="2"/>
  <c r="CF15" i="2"/>
  <c r="CG15" i="2"/>
  <c r="CH15" i="2"/>
  <c r="CI15" i="2"/>
  <c r="CJ15" i="2"/>
  <c r="CK15" i="2"/>
  <c r="CN15" i="2"/>
  <c r="CO15" i="2"/>
  <c r="CR15" i="2"/>
  <c r="CS15" i="2"/>
  <c r="CU15" i="2"/>
  <c r="CV15" i="2"/>
  <c r="CZ15" i="2"/>
  <c r="DA15" i="2"/>
  <c r="BI16" i="2"/>
  <c r="BE16" i="2"/>
  <c r="Z16" i="2"/>
  <c r="AG16" i="2"/>
  <c r="BY16" i="2"/>
  <c r="BZ16" i="2"/>
  <c r="DC16" i="2" s="1"/>
  <c r="DE16" i="2" s="1"/>
  <c r="DL16" i="2" s="1"/>
  <c r="DN16" i="2" s="1"/>
  <c r="CA16" i="2"/>
  <c r="CB16" i="2"/>
  <c r="CC16" i="2"/>
  <c r="CF16" i="2"/>
  <c r="CG16" i="2"/>
  <c r="CH16" i="2"/>
  <c r="CI16" i="2"/>
  <c r="CJ16" i="2"/>
  <c r="CK16" i="2"/>
  <c r="CN16" i="2"/>
  <c r="CO16" i="2"/>
  <c r="CR16" i="2"/>
  <c r="CS16" i="2"/>
  <c r="CU16" i="2"/>
  <c r="CV16" i="2"/>
  <c r="CZ16" i="2"/>
  <c r="DA16" i="2"/>
  <c r="BY17" i="2"/>
  <c r="Z17" i="2"/>
  <c r="AG17" i="2"/>
  <c r="CA17" i="2"/>
  <c r="CC17" i="2"/>
  <c r="CF17" i="2"/>
  <c r="CG17" i="2"/>
  <c r="CI17" i="2"/>
  <c r="CJ17" i="2"/>
  <c r="CK17" i="2"/>
  <c r="CN17" i="2"/>
  <c r="CO17" i="2"/>
  <c r="CR17" i="2"/>
  <c r="CS17" i="2"/>
  <c r="CU17" i="2"/>
  <c r="CZ17" i="2"/>
  <c r="DA17" i="2"/>
  <c r="Z18" i="2"/>
  <c r="AG18" i="2"/>
  <c r="BY18" i="2"/>
  <c r="BZ18" i="2"/>
  <c r="DC18" i="2" s="1"/>
  <c r="DE18" i="2" s="1"/>
  <c r="CA18" i="2"/>
  <c r="CB18" i="2"/>
  <c r="CC18" i="2"/>
  <c r="CF18" i="2"/>
  <c r="CG18" i="2"/>
  <c r="CH18" i="2"/>
  <c r="CI18" i="2"/>
  <c r="CJ18" i="2"/>
  <c r="CK18" i="2"/>
  <c r="CN18" i="2"/>
  <c r="CO18" i="2"/>
  <c r="CR18" i="2"/>
  <c r="CS18" i="2"/>
  <c r="CU18" i="2"/>
  <c r="CV18" i="2"/>
  <c r="CZ18" i="2"/>
  <c r="DA18" i="2"/>
  <c r="Z19" i="2"/>
  <c r="AG19" i="2"/>
  <c r="BY19" i="2"/>
  <c r="BZ19" i="2"/>
  <c r="DC19" i="2" s="1"/>
  <c r="DE19" i="2" s="1"/>
  <c r="DL19" i="2" s="1"/>
  <c r="DN19" i="2" s="1"/>
  <c r="CA19" i="2"/>
  <c r="CB19" i="2"/>
  <c r="CC19" i="2"/>
  <c r="CF19" i="2"/>
  <c r="CG19" i="2"/>
  <c r="CH19" i="2"/>
  <c r="CI19" i="2"/>
  <c r="CJ19" i="2"/>
  <c r="CK19" i="2"/>
  <c r="CN19" i="2"/>
  <c r="CO19" i="2"/>
  <c r="CR19" i="2"/>
  <c r="CS19" i="2"/>
  <c r="CU19" i="2"/>
  <c r="CV19" i="2"/>
  <c r="CZ19" i="2"/>
  <c r="DA19" i="2"/>
  <c r="DM196" i="2"/>
  <c r="CH17" i="2"/>
  <c r="BZ17" i="2"/>
  <c r="DC17" i="2" s="1"/>
  <c r="DE17" i="2" s="1"/>
  <c r="DL17" i="2" s="1"/>
  <c r="DN17" i="2" s="1"/>
  <c r="CB17" i="2"/>
  <c r="CV17" i="2"/>
  <c r="AM32" i="2"/>
  <c r="BU32" i="2" s="1"/>
  <c r="AK32" i="2"/>
  <c r="Z20" i="2"/>
  <c r="AG20" i="2"/>
  <c r="BY20" i="2"/>
  <c r="BZ20" i="2"/>
  <c r="DC20" i="2" s="1"/>
  <c r="DE20" i="2" s="1"/>
  <c r="DL20" i="2" s="1"/>
  <c r="DN20" i="2" s="1"/>
  <c r="CA20" i="2"/>
  <c r="CB20" i="2"/>
  <c r="CC20" i="2"/>
  <c r="CF20" i="2"/>
  <c r="CG20" i="2"/>
  <c r="CH20" i="2"/>
  <c r="CI20" i="2"/>
  <c r="CJ20" i="2"/>
  <c r="CK20" i="2"/>
  <c r="CN20" i="2"/>
  <c r="CO20" i="2"/>
  <c r="CR20" i="2"/>
  <c r="CS20" i="2"/>
  <c r="CU20" i="2"/>
  <c r="CV20" i="2"/>
  <c r="CZ20" i="2"/>
  <c r="DA20" i="2"/>
  <c r="Z21" i="2"/>
  <c r="AG21" i="2"/>
  <c r="BY21" i="2"/>
  <c r="BZ21" i="2"/>
  <c r="DC21" i="2" s="1"/>
  <c r="DE21" i="2" s="1"/>
  <c r="DL21" i="2" s="1"/>
  <c r="DN21" i="2" s="1"/>
  <c r="CA21" i="2"/>
  <c r="CB21" i="2"/>
  <c r="CC21" i="2"/>
  <c r="CF21" i="2"/>
  <c r="CG21" i="2"/>
  <c r="CH21" i="2"/>
  <c r="CI21" i="2"/>
  <c r="CJ21" i="2"/>
  <c r="CK21" i="2"/>
  <c r="CN21" i="2"/>
  <c r="CO21" i="2"/>
  <c r="CR21" i="2"/>
  <c r="CS21" i="2"/>
  <c r="CU21" i="2"/>
  <c r="CV21" i="2"/>
  <c r="CZ21" i="2"/>
  <c r="DA21" i="2"/>
  <c r="Z22" i="2"/>
  <c r="AG22" i="2"/>
  <c r="BY22" i="2"/>
  <c r="BZ22" i="2"/>
  <c r="DC22" i="2" s="1"/>
  <c r="DE22" i="2" s="1"/>
  <c r="DL22" i="2" s="1"/>
  <c r="DN22" i="2" s="1"/>
  <c r="CA22" i="2"/>
  <c r="CB22" i="2"/>
  <c r="CC22" i="2"/>
  <c r="CF22" i="2"/>
  <c r="CG22" i="2"/>
  <c r="CH22" i="2"/>
  <c r="CI22" i="2"/>
  <c r="CJ22" i="2"/>
  <c r="CK22" i="2"/>
  <c r="CN22" i="2"/>
  <c r="CO22" i="2"/>
  <c r="CR22" i="2"/>
  <c r="CS22" i="2"/>
  <c r="CU22" i="2"/>
  <c r="CV22" i="2"/>
  <c r="CZ22" i="2"/>
  <c r="DA22" i="2"/>
  <c r="Z23" i="2"/>
  <c r="AG23" i="2"/>
  <c r="BY23" i="2"/>
  <c r="BZ23" i="2"/>
  <c r="DC23" i="2" s="1"/>
  <c r="DE23" i="2" s="1"/>
  <c r="DL23" i="2" s="1"/>
  <c r="DN23" i="2" s="1"/>
  <c r="CA23" i="2"/>
  <c r="CB23" i="2"/>
  <c r="CC23" i="2"/>
  <c r="CF23" i="2"/>
  <c r="CG23" i="2"/>
  <c r="CH23" i="2"/>
  <c r="CI23" i="2"/>
  <c r="CJ23" i="2"/>
  <c r="CK23" i="2"/>
  <c r="CN23" i="2"/>
  <c r="CO23" i="2"/>
  <c r="CR23" i="2"/>
  <c r="CS23" i="2"/>
  <c r="CU23" i="2"/>
  <c r="CV23" i="2"/>
  <c r="CZ23" i="2"/>
  <c r="DA23" i="2"/>
  <c r="Z24" i="2"/>
  <c r="AG24" i="2"/>
  <c r="BY24" i="2"/>
  <c r="BZ24" i="2"/>
  <c r="DC24" i="2" s="1"/>
  <c r="DE24" i="2" s="1"/>
  <c r="DL24" i="2" s="1"/>
  <c r="DN24" i="2" s="1"/>
  <c r="CA24" i="2"/>
  <c r="CB24" i="2"/>
  <c r="CC24" i="2"/>
  <c r="CF24" i="2"/>
  <c r="CG24" i="2"/>
  <c r="CH24" i="2"/>
  <c r="CI24" i="2"/>
  <c r="CJ24" i="2"/>
  <c r="CK24" i="2"/>
  <c r="CN24" i="2"/>
  <c r="CO24" i="2"/>
  <c r="CR24" i="2"/>
  <c r="CS24" i="2"/>
  <c r="CU24" i="2"/>
  <c r="CV24" i="2"/>
  <c r="CZ24" i="2"/>
  <c r="DA24" i="2"/>
  <c r="Z25" i="2"/>
  <c r="AG25" i="2"/>
  <c r="BY25" i="2"/>
  <c r="BZ25" i="2"/>
  <c r="DC25" i="2" s="1"/>
  <c r="DE25" i="2" s="1"/>
  <c r="DL25" i="2" s="1"/>
  <c r="DN25" i="2" s="1"/>
  <c r="CA25" i="2"/>
  <c r="CB25" i="2"/>
  <c r="CC25" i="2"/>
  <c r="CF25" i="2"/>
  <c r="CG25" i="2"/>
  <c r="CH25" i="2"/>
  <c r="CI25" i="2"/>
  <c r="CP25" i="2" s="1"/>
  <c r="CJ25" i="2"/>
  <c r="CK25" i="2"/>
  <c r="CN25" i="2"/>
  <c r="CO25" i="2"/>
  <c r="CR25" i="2"/>
  <c r="CS25" i="2"/>
  <c r="CU25" i="2"/>
  <c r="CV25" i="2"/>
  <c r="CZ25" i="2"/>
  <c r="DA25" i="2"/>
  <c r="Z26" i="2"/>
  <c r="AG26" i="2"/>
  <c r="BY26" i="2"/>
  <c r="BZ26" i="2"/>
  <c r="DC26" i="2" s="1"/>
  <c r="DE26" i="2" s="1"/>
  <c r="DL26" i="2" s="1"/>
  <c r="DN26" i="2" s="1"/>
  <c r="CA26" i="2"/>
  <c r="CB26" i="2"/>
  <c r="CC26" i="2"/>
  <c r="CF26" i="2"/>
  <c r="CG26" i="2"/>
  <c r="CH26" i="2"/>
  <c r="CI26" i="2"/>
  <c r="CJ26" i="2"/>
  <c r="CK26" i="2"/>
  <c r="CN26" i="2"/>
  <c r="CO26" i="2"/>
  <c r="CR26" i="2"/>
  <c r="CS26" i="2"/>
  <c r="CU26" i="2"/>
  <c r="CV26" i="2"/>
  <c r="CZ26" i="2"/>
  <c r="DA26" i="2"/>
  <c r="AM27" i="2"/>
  <c r="CI27" i="2" s="1"/>
  <c r="Z27" i="2"/>
  <c r="AG27" i="2"/>
  <c r="BY27" i="2"/>
  <c r="BZ27" i="2"/>
  <c r="DC27" i="2" s="1"/>
  <c r="DE27" i="2" s="1"/>
  <c r="DL27" i="2" s="1"/>
  <c r="DN27" i="2" s="1"/>
  <c r="CA27" i="2"/>
  <c r="CB27" i="2"/>
  <c r="CC27" i="2"/>
  <c r="CF27" i="2"/>
  <c r="CG27" i="2"/>
  <c r="CH27" i="2"/>
  <c r="CJ27" i="2"/>
  <c r="CN27" i="2"/>
  <c r="CR27" i="2"/>
  <c r="CS27" i="2"/>
  <c r="CU27" i="2"/>
  <c r="CZ27" i="2"/>
  <c r="DA27" i="2"/>
  <c r="Z28" i="2"/>
  <c r="AG28" i="2"/>
  <c r="BY28" i="2"/>
  <c r="BZ28" i="2"/>
  <c r="DC28" i="2" s="1"/>
  <c r="DE28" i="2" s="1"/>
  <c r="DL28" i="2" s="1"/>
  <c r="DN28" i="2" s="1"/>
  <c r="CA28" i="2"/>
  <c r="CB28" i="2"/>
  <c r="CC28" i="2"/>
  <c r="CF28" i="2"/>
  <c r="CG28" i="2"/>
  <c r="CH28" i="2"/>
  <c r="CI28" i="2"/>
  <c r="CJ28" i="2"/>
  <c r="CK28" i="2"/>
  <c r="CN28" i="2"/>
  <c r="CO28" i="2"/>
  <c r="CR28" i="2"/>
  <c r="CS28" i="2"/>
  <c r="CU28" i="2"/>
  <c r="CV28" i="2"/>
  <c r="CZ28" i="2"/>
  <c r="DA28" i="2"/>
  <c r="Z29" i="2"/>
  <c r="AG29" i="2"/>
  <c r="BY29" i="2"/>
  <c r="BZ29" i="2"/>
  <c r="DC29" i="2" s="1"/>
  <c r="DE29" i="2" s="1"/>
  <c r="DL29" i="2" s="1"/>
  <c r="DN29" i="2" s="1"/>
  <c r="CA29" i="2"/>
  <c r="CB29" i="2"/>
  <c r="CC29" i="2"/>
  <c r="CF29" i="2"/>
  <c r="CG29" i="2"/>
  <c r="CH29" i="2"/>
  <c r="CI29" i="2"/>
  <c r="CJ29" i="2"/>
  <c r="CK29" i="2"/>
  <c r="CN29" i="2"/>
  <c r="CO29" i="2"/>
  <c r="CR29" i="2"/>
  <c r="CS29" i="2"/>
  <c r="CU29" i="2"/>
  <c r="CV29" i="2"/>
  <c r="CZ29" i="2"/>
  <c r="DA29" i="2"/>
  <c r="BE194" i="2"/>
  <c r="AM194" i="2"/>
  <c r="AK194" i="2"/>
  <c r="CJ194" i="2" s="1"/>
  <c r="Z30" i="2"/>
  <c r="AG30" i="2"/>
  <c r="BY30" i="2"/>
  <c r="BZ30" i="2"/>
  <c r="DC30" i="2" s="1"/>
  <c r="DE30" i="2" s="1"/>
  <c r="DL30" i="2" s="1"/>
  <c r="DN30" i="2" s="1"/>
  <c r="CA30" i="2"/>
  <c r="CB30" i="2"/>
  <c r="CC30" i="2"/>
  <c r="CF30" i="2"/>
  <c r="CG30" i="2"/>
  <c r="CH30" i="2"/>
  <c r="CI30" i="2"/>
  <c r="CJ30" i="2"/>
  <c r="CK30" i="2"/>
  <c r="CN30" i="2"/>
  <c r="CO30" i="2"/>
  <c r="CR30" i="2"/>
  <c r="CS30" i="2"/>
  <c r="CU30" i="2"/>
  <c r="CV30" i="2"/>
  <c r="CZ30" i="2"/>
  <c r="DA30" i="2"/>
  <c r="Z31" i="2"/>
  <c r="AG31" i="2"/>
  <c r="BY31" i="2"/>
  <c r="BZ31" i="2"/>
  <c r="DC31" i="2" s="1"/>
  <c r="DE31" i="2" s="1"/>
  <c r="DL31" i="2" s="1"/>
  <c r="DN31" i="2" s="1"/>
  <c r="CA31" i="2"/>
  <c r="CB31" i="2"/>
  <c r="CC31" i="2"/>
  <c r="CF31" i="2"/>
  <c r="CG31" i="2"/>
  <c r="CH31" i="2"/>
  <c r="CI31" i="2"/>
  <c r="CJ31" i="2"/>
  <c r="CK31" i="2"/>
  <c r="CN31" i="2"/>
  <c r="CO31" i="2"/>
  <c r="CR31" i="2"/>
  <c r="CS31" i="2"/>
  <c r="CU31" i="2"/>
  <c r="CV31" i="2"/>
  <c r="CZ31" i="2"/>
  <c r="DA31" i="2"/>
  <c r="AM64" i="2"/>
  <c r="BU194" i="2"/>
  <c r="Z32" i="2"/>
  <c r="AG32" i="2"/>
  <c r="BY32" i="2"/>
  <c r="BZ32" i="2"/>
  <c r="DC32" i="2" s="1"/>
  <c r="DE32" i="2" s="1"/>
  <c r="DL32" i="2" s="1"/>
  <c r="DN32" i="2" s="1"/>
  <c r="CA32" i="2"/>
  <c r="CB32" i="2"/>
  <c r="CC32" i="2"/>
  <c r="CF32" i="2"/>
  <c r="CG32" i="2"/>
  <c r="CH32" i="2"/>
  <c r="CN32" i="2"/>
  <c r="CR32" i="2"/>
  <c r="CU32" i="2"/>
  <c r="CZ32" i="2"/>
  <c r="DA32" i="2"/>
  <c r="Z33" i="2"/>
  <c r="AG33" i="2"/>
  <c r="BY33" i="2"/>
  <c r="BZ33" i="2"/>
  <c r="DC33" i="2" s="1"/>
  <c r="DE33" i="2" s="1"/>
  <c r="DL33" i="2" s="1"/>
  <c r="DN33" i="2" s="1"/>
  <c r="CA33" i="2"/>
  <c r="CB33" i="2"/>
  <c r="CC33" i="2"/>
  <c r="CF33" i="2"/>
  <c r="CG33" i="2"/>
  <c r="CH33" i="2"/>
  <c r="CI33" i="2"/>
  <c r="CJ33" i="2"/>
  <c r="CK33" i="2"/>
  <c r="CN33" i="2"/>
  <c r="CO33" i="2"/>
  <c r="CR33" i="2"/>
  <c r="CS33" i="2"/>
  <c r="CU33" i="2"/>
  <c r="CV33" i="2"/>
  <c r="CZ33" i="2"/>
  <c r="DA33" i="2"/>
  <c r="Z34" i="2"/>
  <c r="AG34" i="2"/>
  <c r="BY34" i="2"/>
  <c r="BZ34" i="2"/>
  <c r="DC34" i="2" s="1"/>
  <c r="DE34" i="2" s="1"/>
  <c r="DL34" i="2" s="1"/>
  <c r="DN34" i="2" s="1"/>
  <c r="CA34" i="2"/>
  <c r="CB34" i="2"/>
  <c r="CC34" i="2"/>
  <c r="CF34" i="2"/>
  <c r="CG34" i="2"/>
  <c r="CH34" i="2"/>
  <c r="CI34" i="2"/>
  <c r="CJ34" i="2"/>
  <c r="CK34" i="2"/>
  <c r="CN34" i="2"/>
  <c r="CO34" i="2"/>
  <c r="CR34" i="2"/>
  <c r="CS34" i="2"/>
  <c r="CU34" i="2"/>
  <c r="CV34" i="2"/>
  <c r="CZ34" i="2"/>
  <c r="DA34" i="2"/>
  <c r="Z35" i="2"/>
  <c r="AG35" i="2"/>
  <c r="BY35" i="2"/>
  <c r="BZ35" i="2"/>
  <c r="DC35" i="2" s="1"/>
  <c r="DE35" i="2" s="1"/>
  <c r="DL35" i="2" s="1"/>
  <c r="DN35" i="2" s="1"/>
  <c r="CA35" i="2"/>
  <c r="CB35" i="2"/>
  <c r="CC35" i="2"/>
  <c r="CF35" i="2"/>
  <c r="CG35" i="2"/>
  <c r="CH35" i="2"/>
  <c r="CI35" i="2"/>
  <c r="CJ35" i="2"/>
  <c r="CK35" i="2"/>
  <c r="CN35" i="2"/>
  <c r="CO35" i="2"/>
  <c r="CR35" i="2"/>
  <c r="CS35" i="2"/>
  <c r="CU35" i="2"/>
  <c r="CV35" i="2"/>
  <c r="CZ35" i="2"/>
  <c r="DA35" i="2"/>
  <c r="Z36" i="2"/>
  <c r="AG36" i="2"/>
  <c r="BY36" i="2"/>
  <c r="BZ36" i="2"/>
  <c r="DC36" i="2" s="1"/>
  <c r="DE36" i="2" s="1"/>
  <c r="DL36" i="2" s="1"/>
  <c r="DN36" i="2" s="1"/>
  <c r="CA36" i="2"/>
  <c r="CB36" i="2"/>
  <c r="CC36" i="2"/>
  <c r="CF36" i="2"/>
  <c r="CG36" i="2"/>
  <c r="CH36" i="2"/>
  <c r="CI36" i="2"/>
  <c r="CJ36" i="2"/>
  <c r="CK36" i="2"/>
  <c r="CN36" i="2"/>
  <c r="CO36" i="2"/>
  <c r="CR36" i="2"/>
  <c r="CS36" i="2"/>
  <c r="CU36" i="2"/>
  <c r="CV36" i="2"/>
  <c r="CZ36" i="2"/>
  <c r="DA36" i="2"/>
  <c r="Z37" i="2"/>
  <c r="AG37" i="2"/>
  <c r="BY37" i="2"/>
  <c r="BZ37" i="2"/>
  <c r="DC37" i="2" s="1"/>
  <c r="DE37" i="2" s="1"/>
  <c r="DL37" i="2" s="1"/>
  <c r="DN37" i="2" s="1"/>
  <c r="CA37" i="2"/>
  <c r="CB37" i="2"/>
  <c r="CC37" i="2"/>
  <c r="CF37" i="2"/>
  <c r="CG37" i="2"/>
  <c r="CH37" i="2"/>
  <c r="CI37" i="2"/>
  <c r="CJ37" i="2"/>
  <c r="CK37" i="2"/>
  <c r="CN37" i="2"/>
  <c r="CO37" i="2"/>
  <c r="CR37" i="2"/>
  <c r="CS37" i="2"/>
  <c r="CU37" i="2"/>
  <c r="CV37" i="2"/>
  <c r="CZ37" i="2"/>
  <c r="DA37" i="2"/>
  <c r="Z38" i="2"/>
  <c r="AG38" i="2"/>
  <c r="BY38" i="2"/>
  <c r="BZ38" i="2"/>
  <c r="DC38" i="2" s="1"/>
  <c r="DE38" i="2" s="1"/>
  <c r="DL38" i="2" s="1"/>
  <c r="DN38" i="2" s="1"/>
  <c r="CA38" i="2"/>
  <c r="CB38" i="2"/>
  <c r="CC38" i="2"/>
  <c r="CF38" i="2"/>
  <c r="CG38" i="2"/>
  <c r="CH38" i="2"/>
  <c r="CI38" i="2"/>
  <c r="CJ38" i="2"/>
  <c r="CK38" i="2"/>
  <c r="CN38" i="2"/>
  <c r="CO38" i="2"/>
  <c r="CR38" i="2"/>
  <c r="CS38" i="2"/>
  <c r="CU38" i="2"/>
  <c r="CV38" i="2"/>
  <c r="CZ38" i="2"/>
  <c r="DA38" i="2"/>
  <c r="Z39" i="2"/>
  <c r="AG39" i="2"/>
  <c r="BY39" i="2"/>
  <c r="BZ39" i="2"/>
  <c r="DC39" i="2" s="1"/>
  <c r="DE39" i="2" s="1"/>
  <c r="DL39" i="2" s="1"/>
  <c r="DN39" i="2" s="1"/>
  <c r="CA39" i="2"/>
  <c r="CB39" i="2"/>
  <c r="CC39" i="2"/>
  <c r="CF39" i="2"/>
  <c r="CG39" i="2"/>
  <c r="CH39" i="2"/>
  <c r="CI39" i="2"/>
  <c r="CJ39" i="2"/>
  <c r="CK39" i="2"/>
  <c r="CN39" i="2"/>
  <c r="CO39" i="2"/>
  <c r="CR39" i="2"/>
  <c r="CS39" i="2"/>
  <c r="CU39" i="2"/>
  <c r="CV39" i="2"/>
  <c r="CZ39" i="2"/>
  <c r="DA39" i="2"/>
  <c r="AM137" i="2"/>
  <c r="Z40" i="2"/>
  <c r="AG40" i="2"/>
  <c r="BY40" i="2"/>
  <c r="BZ40" i="2"/>
  <c r="DC40" i="2" s="1"/>
  <c r="DE40" i="2" s="1"/>
  <c r="DL40" i="2" s="1"/>
  <c r="DN40" i="2" s="1"/>
  <c r="CA40" i="2"/>
  <c r="CB40" i="2"/>
  <c r="CC40" i="2"/>
  <c r="CF40" i="2"/>
  <c r="CG40" i="2"/>
  <c r="CH40" i="2"/>
  <c r="CI40" i="2"/>
  <c r="CJ40" i="2"/>
  <c r="CK40" i="2"/>
  <c r="CN40" i="2"/>
  <c r="CO40" i="2"/>
  <c r="CR40" i="2"/>
  <c r="CS40" i="2"/>
  <c r="CU40" i="2"/>
  <c r="CV40" i="2"/>
  <c r="CZ40" i="2"/>
  <c r="DA40" i="2"/>
  <c r="BU103" i="2"/>
  <c r="BE103" i="2"/>
  <c r="AT41" i="2"/>
  <c r="CZ41" i="2" s="1"/>
  <c r="BX41" i="2"/>
  <c r="Z41" i="2"/>
  <c r="AG41" i="2"/>
  <c r="BY41" i="2"/>
  <c r="BZ41" i="2"/>
  <c r="DC41" i="2" s="1"/>
  <c r="DE41" i="2" s="1"/>
  <c r="DL41" i="2" s="1"/>
  <c r="DN41" i="2" s="1"/>
  <c r="CA41" i="2"/>
  <c r="CB41" i="2"/>
  <c r="CC41" i="2"/>
  <c r="CF41" i="2"/>
  <c r="CG41" i="2"/>
  <c r="CH41" i="2"/>
  <c r="CI41" i="2"/>
  <c r="CJ41" i="2"/>
  <c r="CK41" i="2"/>
  <c r="CN41" i="2"/>
  <c r="CO41" i="2"/>
  <c r="CR41" i="2"/>
  <c r="CS41" i="2"/>
  <c r="CU41" i="2"/>
  <c r="CV41" i="2"/>
  <c r="DA41" i="2"/>
  <c r="S7" i="11"/>
  <c r="S8" i="11"/>
  <c r="S9" i="11"/>
  <c r="S10" i="11"/>
  <c r="S11" i="11"/>
  <c r="S12" i="11"/>
  <c r="S13" i="11"/>
  <c r="S14" i="11"/>
  <c r="S15" i="11"/>
  <c r="S16" i="11"/>
  <c r="S17" i="11"/>
  <c r="S18" i="11"/>
  <c r="S19" i="11"/>
  <c r="S20" i="11"/>
  <c r="S21" i="11"/>
  <c r="S22" i="11"/>
  <c r="S23" i="11"/>
  <c r="S24" i="11"/>
  <c r="S25" i="11"/>
  <c r="S26" i="11"/>
  <c r="S27" i="11"/>
  <c r="S28" i="11"/>
  <c r="S29" i="11"/>
  <c r="S30" i="11"/>
  <c r="S31" i="11"/>
  <c r="S32" i="11"/>
  <c r="S33" i="11"/>
  <c r="S34" i="11"/>
  <c r="S35" i="11"/>
  <c r="S36" i="11"/>
  <c r="S37" i="11"/>
  <c r="S38" i="11"/>
  <c r="S39" i="11"/>
  <c r="S40" i="11"/>
  <c r="S41" i="11"/>
  <c r="S42" i="11"/>
  <c r="S43" i="11"/>
  <c r="S44" i="11"/>
  <c r="S45" i="11"/>
  <c r="S46" i="11"/>
  <c r="S47" i="11"/>
  <c r="S48" i="11"/>
  <c r="S49" i="11"/>
  <c r="S50" i="11"/>
  <c r="S51" i="11"/>
  <c r="S52" i="11"/>
  <c r="S53" i="11"/>
  <c r="S54" i="11"/>
  <c r="S55" i="11"/>
  <c r="S56" i="11"/>
  <c r="S57" i="11"/>
  <c r="S58" i="11"/>
  <c r="S59" i="11"/>
  <c r="S60" i="11"/>
  <c r="S61" i="11"/>
  <c r="S62" i="11"/>
  <c r="S63" i="11"/>
  <c r="S64" i="11"/>
  <c r="S65" i="11"/>
  <c r="S66" i="11"/>
  <c r="S67" i="11"/>
  <c r="S68" i="11"/>
  <c r="S69" i="11"/>
  <c r="S70" i="11"/>
  <c r="S71" i="11"/>
  <c r="S72" i="11"/>
  <c r="S73" i="11"/>
  <c r="S74" i="11"/>
  <c r="S75" i="11"/>
  <c r="S76" i="11"/>
  <c r="S77" i="11"/>
  <c r="S78" i="11"/>
  <c r="S79" i="11"/>
  <c r="S80" i="11"/>
  <c r="S81" i="11"/>
  <c r="S82" i="11"/>
  <c r="S83" i="11"/>
  <c r="S84" i="11"/>
  <c r="S85" i="11"/>
  <c r="S86" i="11"/>
  <c r="S87" i="11"/>
  <c r="S88" i="11"/>
  <c r="S89" i="11"/>
  <c r="S90" i="11"/>
  <c r="S91" i="11"/>
  <c r="S92" i="11"/>
  <c r="S93" i="11"/>
  <c r="S94" i="11"/>
  <c r="S95" i="11"/>
  <c r="S96" i="11"/>
  <c r="S97" i="11"/>
  <c r="S98" i="11"/>
  <c r="S99" i="11"/>
  <c r="S100" i="11"/>
  <c r="S101" i="11"/>
  <c r="S102" i="11"/>
  <c r="S103" i="11"/>
  <c r="S104" i="11"/>
  <c r="S105" i="11"/>
  <c r="S106" i="11"/>
  <c r="S107" i="11"/>
  <c r="S108" i="11"/>
  <c r="S109" i="11"/>
  <c r="S110" i="11"/>
  <c r="S111" i="11"/>
  <c r="S112" i="11"/>
  <c r="S113" i="11"/>
  <c r="A113" i="11" s="1"/>
  <c r="S114" i="11"/>
  <c r="S115" i="11"/>
  <c r="S116" i="11"/>
  <c r="S117" i="11"/>
  <c r="S118" i="11"/>
  <c r="S119" i="11"/>
  <c r="S120" i="11"/>
  <c r="S121" i="11"/>
  <c r="S122" i="11"/>
  <c r="S123" i="11"/>
  <c r="S124" i="11"/>
  <c r="S125" i="11"/>
  <c r="S126" i="11"/>
  <c r="S127" i="11"/>
  <c r="S128" i="11"/>
  <c r="S129" i="11"/>
  <c r="S130" i="11"/>
  <c r="S131" i="11"/>
  <c r="S132" i="11"/>
  <c r="S133" i="11"/>
  <c r="S134" i="11"/>
  <c r="S135" i="11"/>
  <c r="S136" i="11"/>
  <c r="S137" i="11"/>
  <c r="S138" i="11"/>
  <c r="S139" i="11"/>
  <c r="S140" i="11"/>
  <c r="S141" i="11"/>
  <c r="S142" i="11"/>
  <c r="S143" i="11"/>
  <c r="S144" i="11"/>
  <c r="S145" i="11"/>
  <c r="S146" i="11"/>
  <c r="S147" i="11"/>
  <c r="S148" i="11"/>
  <c r="S149" i="11"/>
  <c r="S150" i="11"/>
  <c r="S151" i="11"/>
  <c r="S152" i="11"/>
  <c r="S153" i="11"/>
  <c r="S154" i="11"/>
  <c r="S155" i="11"/>
  <c r="S156" i="11"/>
  <c r="S157" i="11"/>
  <c r="S158" i="11"/>
  <c r="S159" i="11"/>
  <c r="S160" i="11"/>
  <c r="S161" i="11"/>
  <c r="S162" i="11"/>
  <c r="S163" i="11"/>
  <c r="S164" i="11"/>
  <c r="S165" i="11"/>
  <c r="S166" i="11"/>
  <c r="S167" i="11"/>
  <c r="S168" i="11"/>
  <c r="S169" i="11"/>
  <c r="S170" i="11"/>
  <c r="S171" i="11"/>
  <c r="S172" i="11"/>
  <c r="S173" i="11"/>
  <c r="S174" i="11"/>
  <c r="S175" i="11"/>
  <c r="S176" i="11"/>
  <c r="S177" i="11"/>
  <c r="S178" i="11"/>
  <c r="S179" i="11"/>
  <c r="S180" i="11"/>
  <c r="S181" i="11"/>
  <c r="S182" i="11"/>
  <c r="S183" i="11"/>
  <c r="S184" i="11"/>
  <c r="S185" i="11"/>
  <c r="S186" i="11"/>
  <c r="S187" i="11"/>
  <c r="S188" i="11"/>
  <c r="S189" i="11"/>
  <c r="S190" i="11"/>
  <c r="S191" i="11"/>
  <c r="S192" i="11"/>
  <c r="S193" i="11"/>
  <c r="S194" i="11"/>
  <c r="S195" i="11"/>
  <c r="S196" i="11"/>
  <c r="S197" i="11"/>
  <c r="A197" i="11" s="1"/>
  <c r="S198" i="11"/>
  <c r="S199" i="11"/>
  <c r="S200" i="11"/>
  <c r="S201" i="11"/>
  <c r="S202" i="11"/>
  <c r="S203" i="11"/>
  <c r="S204" i="11"/>
  <c r="S205" i="11"/>
  <c r="S206" i="11"/>
  <c r="S207" i="11"/>
  <c r="S208" i="11"/>
  <c r="S209" i="11"/>
  <c r="S210" i="11"/>
  <c r="S211" i="11"/>
  <c r="S212" i="11"/>
  <c r="S213" i="11"/>
  <c r="S214" i="11"/>
  <c r="S215" i="11"/>
  <c r="S216" i="11"/>
  <c r="S217" i="11"/>
  <c r="S218" i="11"/>
  <c r="S219" i="11"/>
  <c r="S220" i="11"/>
  <c r="S221" i="11"/>
  <c r="S222" i="11"/>
  <c r="S223" i="11"/>
  <c r="S224" i="11"/>
  <c r="S225" i="11"/>
  <c r="S226" i="11"/>
  <c r="S227" i="11"/>
  <c r="S228" i="11"/>
  <c r="S229" i="11"/>
  <c r="S230" i="11"/>
  <c r="S231" i="11"/>
  <c r="S232" i="11"/>
  <c r="S233" i="11"/>
  <c r="S234" i="11"/>
  <c r="S235" i="11"/>
  <c r="S236" i="11"/>
  <c r="S237" i="11"/>
  <c r="S238" i="11"/>
  <c r="S239" i="11"/>
  <c r="S240" i="11"/>
  <c r="S241" i="11"/>
  <c r="S242" i="11"/>
  <c r="S243" i="11"/>
  <c r="S244" i="11"/>
  <c r="S245" i="11"/>
  <c r="S246" i="11"/>
  <c r="S247" i="11"/>
  <c r="S248" i="11"/>
  <c r="S249" i="11"/>
  <c r="S250" i="11"/>
  <c r="S251" i="11"/>
  <c r="S252" i="11"/>
  <c r="S253" i="11"/>
  <c r="S254" i="11"/>
  <c r="S255" i="11"/>
  <c r="S256" i="11"/>
  <c r="S257" i="11"/>
  <c r="S258" i="11"/>
  <c r="S259" i="11"/>
  <c r="S260" i="11"/>
  <c r="S261" i="11"/>
  <c r="S262" i="11"/>
  <c r="S263" i="11"/>
  <c r="S264" i="11"/>
  <c r="S265" i="11"/>
  <c r="S266" i="11"/>
  <c r="S267" i="11"/>
  <c r="S268" i="11"/>
  <c r="S269" i="11"/>
  <c r="S270" i="11"/>
  <c r="S271" i="11"/>
  <c r="S272" i="11"/>
  <c r="S273" i="11"/>
  <c r="S274" i="11"/>
  <c r="S275" i="11"/>
  <c r="S276" i="11"/>
  <c r="S277" i="11"/>
  <c r="S278" i="11"/>
  <c r="S279" i="11"/>
  <c r="S280" i="11"/>
  <c r="S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A305" i="11" s="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332" i="11"/>
  <c r="S333" i="11"/>
  <c r="S334" i="11"/>
  <c r="S335" i="11"/>
  <c r="S336" i="11"/>
  <c r="S337" i="11"/>
  <c r="S338" i="11"/>
  <c r="S339" i="11"/>
  <c r="S340" i="11"/>
  <c r="S341" i="11"/>
  <c r="S342" i="11"/>
  <c r="S343" i="11"/>
  <c r="S344" i="11"/>
  <c r="S345" i="11"/>
  <c r="S346" i="11"/>
  <c r="S347" i="11"/>
  <c r="S348" i="11"/>
  <c r="S349" i="11"/>
  <c r="S350" i="11"/>
  <c r="S351" i="11"/>
  <c r="S352" i="11"/>
  <c r="S353" i="11"/>
  <c r="S354" i="11"/>
  <c r="S355" i="11"/>
  <c r="S356" i="11"/>
  <c r="S357" i="11"/>
  <c r="S358" i="11"/>
  <c r="S359" i="11"/>
  <c r="S360" i="11"/>
  <c r="S361" i="11"/>
  <c r="S362" i="11"/>
  <c r="S363" i="11"/>
  <c r="S364" i="11"/>
  <c r="S365" i="11"/>
  <c r="S366" i="11"/>
  <c r="S367" i="11"/>
  <c r="S368" i="11"/>
  <c r="S369" i="11"/>
  <c r="S370" i="11"/>
  <c r="S371" i="11"/>
  <c r="S372" i="11"/>
  <c r="S373" i="11"/>
  <c r="S374" i="11"/>
  <c r="S375" i="11"/>
  <c r="S376" i="11"/>
  <c r="S377" i="11"/>
  <c r="S378" i="11"/>
  <c r="S379" i="11"/>
  <c r="S380" i="11"/>
  <c r="S381" i="11"/>
  <c r="S382" i="11"/>
  <c r="S383" i="11"/>
  <c r="S384" i="11"/>
  <c r="S385" i="11"/>
  <c r="S386" i="11"/>
  <c r="S387" i="11"/>
  <c r="S388" i="11"/>
  <c r="S389" i="11"/>
  <c r="S390" i="11"/>
  <c r="S391" i="11"/>
  <c r="S392" i="11"/>
  <c r="S393" i="11"/>
  <c r="S394" i="11"/>
  <c r="S395" i="11"/>
  <c r="S396" i="11"/>
  <c r="S397" i="11"/>
  <c r="S398" i="11"/>
  <c r="S399" i="11"/>
  <c r="S400" i="11"/>
  <c r="S401" i="11"/>
  <c r="S402" i="11"/>
  <c r="S403" i="11"/>
  <c r="S404" i="11"/>
  <c r="S405" i="11"/>
  <c r="S406" i="11"/>
  <c r="A406" i="11" s="1"/>
  <c r="S407" i="11"/>
  <c r="S408" i="11"/>
  <c r="S409" i="11"/>
  <c r="S410" i="11"/>
  <c r="S411" i="11"/>
  <c r="S412" i="11"/>
  <c r="S413" i="11"/>
  <c r="S414" i="11"/>
  <c r="S415" i="11"/>
  <c r="S416" i="11"/>
  <c r="S417" i="11"/>
  <c r="S418" i="11"/>
  <c r="S419" i="11"/>
  <c r="S420" i="11"/>
  <c r="S421" i="11"/>
  <c r="S422" i="11"/>
  <c r="S423" i="11"/>
  <c r="S424" i="11"/>
  <c r="S425" i="11"/>
  <c r="S426" i="11"/>
  <c r="S427" i="11"/>
  <c r="S428" i="11"/>
  <c r="S429" i="11"/>
  <c r="S430" i="11"/>
  <c r="S431" i="11"/>
  <c r="S432" i="11"/>
  <c r="S433" i="11"/>
  <c r="S434" i="11"/>
  <c r="S435" i="11"/>
  <c r="S436" i="11"/>
  <c r="S437" i="11"/>
  <c r="S438" i="11"/>
  <c r="S439" i="11"/>
  <c r="S440" i="11"/>
  <c r="S441" i="11"/>
  <c r="S442" i="11"/>
  <c r="S443" i="11"/>
  <c r="S444" i="11"/>
  <c r="S445" i="11"/>
  <c r="S446" i="11"/>
  <c r="S447" i="11"/>
  <c r="S448" i="11"/>
  <c r="S449" i="11"/>
  <c r="S450" i="11"/>
  <c r="S451" i="11"/>
  <c r="S452" i="11"/>
  <c r="S453" i="11"/>
  <c r="S454" i="11"/>
  <c r="S455" i="11"/>
  <c r="S456" i="11"/>
  <c r="S457" i="11"/>
  <c r="S458" i="11"/>
  <c r="S459" i="11"/>
  <c r="S460" i="11"/>
  <c r="S461" i="11"/>
  <c r="S462" i="11"/>
  <c r="S463" i="11"/>
  <c r="S464" i="11"/>
  <c r="S465" i="11"/>
  <c r="S466" i="11"/>
  <c r="S467" i="11"/>
  <c r="S468" i="11"/>
  <c r="S469" i="11"/>
  <c r="S470" i="11"/>
  <c r="S471" i="11"/>
  <c r="S472" i="11"/>
  <c r="S473" i="11"/>
  <c r="S474" i="11"/>
  <c r="S475" i="11"/>
  <c r="S476" i="11"/>
  <c r="S477" i="11"/>
  <c r="S478" i="11"/>
  <c r="S479" i="11"/>
  <c r="S480" i="11"/>
  <c r="S481" i="11"/>
  <c r="S482" i="11"/>
  <c r="S483" i="11"/>
  <c r="S484" i="11"/>
  <c r="S485" i="11"/>
  <c r="S486" i="11"/>
  <c r="S487" i="11"/>
  <c r="S488" i="11"/>
  <c r="S489" i="11"/>
  <c r="S490" i="11"/>
  <c r="S491" i="11"/>
  <c r="S492" i="11"/>
  <c r="S493" i="11"/>
  <c r="S494" i="11"/>
  <c r="S495" i="11"/>
  <c r="S496" i="11"/>
  <c r="S497" i="11"/>
  <c r="S498" i="11"/>
  <c r="S499" i="11"/>
  <c r="S500" i="11"/>
  <c r="S501" i="11"/>
  <c r="S502" i="11"/>
  <c r="S503" i="11"/>
  <c r="S504" i="11"/>
  <c r="S505" i="11"/>
  <c r="S506" i="11"/>
  <c r="S507" i="11"/>
  <c r="S508" i="11"/>
  <c r="S509" i="11"/>
  <c r="S510" i="11"/>
  <c r="S511" i="11"/>
  <c r="S512" i="11"/>
  <c r="S513" i="11"/>
  <c r="S514" i="11"/>
  <c r="S515" i="11"/>
  <c r="S516" i="11"/>
  <c r="S517" i="11"/>
  <c r="S518" i="11"/>
  <c r="S519" i="11"/>
  <c r="S520" i="11"/>
  <c r="S521" i="11"/>
  <c r="S522" i="11"/>
  <c r="S523" i="11"/>
  <c r="S524" i="11"/>
  <c r="S525" i="11"/>
  <c r="S526" i="11"/>
  <c r="S527" i="11"/>
  <c r="S528" i="11"/>
  <c r="S529" i="11"/>
  <c r="S530" i="11"/>
  <c r="S531" i="11"/>
  <c r="S532" i="11"/>
  <c r="S533" i="11"/>
  <c r="S534" i="11"/>
  <c r="S535" i="11"/>
  <c r="S536" i="11"/>
  <c r="S537" i="11"/>
  <c r="S538" i="11"/>
  <c r="S539" i="11"/>
  <c r="S540" i="11"/>
  <c r="S541" i="11"/>
  <c r="S542" i="11"/>
  <c r="S543" i="11"/>
  <c r="S544" i="11"/>
  <c r="S545" i="11"/>
  <c r="S546" i="11"/>
  <c r="S547" i="11"/>
  <c r="S548" i="11"/>
  <c r="S549" i="11"/>
  <c r="S550" i="11"/>
  <c r="S551" i="11"/>
  <c r="S552" i="11"/>
  <c r="S553" i="11"/>
  <c r="S554" i="11"/>
  <c r="S555" i="11"/>
  <c r="S556" i="11"/>
  <c r="S557" i="11"/>
  <c r="S558" i="11"/>
  <c r="S559" i="11"/>
  <c r="S560" i="11"/>
  <c r="S561" i="11"/>
  <c r="S562" i="11"/>
  <c r="S563" i="11"/>
  <c r="S564" i="11"/>
  <c r="S565" i="11"/>
  <c r="S566" i="11"/>
  <c r="S567" i="11"/>
  <c r="S568" i="11"/>
  <c r="S569" i="11"/>
  <c r="S570" i="11"/>
  <c r="S571" i="11"/>
  <c r="S572" i="11"/>
  <c r="S573" i="11"/>
  <c r="S574" i="11"/>
  <c r="S575" i="11"/>
  <c r="S576" i="11"/>
  <c r="S577" i="11"/>
  <c r="S578" i="11"/>
  <c r="S579" i="11"/>
  <c r="S580" i="11"/>
  <c r="S581" i="11"/>
  <c r="S582" i="11"/>
  <c r="S583" i="11"/>
  <c r="S584" i="11"/>
  <c r="S585" i="11"/>
  <c r="S586" i="11"/>
  <c r="S587" i="11"/>
  <c r="S588" i="11"/>
  <c r="S589" i="11"/>
  <c r="S590" i="11"/>
  <c r="S591" i="11"/>
  <c r="S592" i="11"/>
  <c r="S593" i="11"/>
  <c r="S594" i="11"/>
  <c r="S595" i="11"/>
  <c r="S596" i="11"/>
  <c r="S597" i="11"/>
  <c r="S598" i="11"/>
  <c r="S599" i="11"/>
  <c r="S600" i="11"/>
  <c r="S601" i="11"/>
  <c r="S602" i="11"/>
  <c r="S603" i="11"/>
  <c r="S604" i="11"/>
  <c r="S605" i="11"/>
  <c r="S606" i="11"/>
  <c r="S607" i="11"/>
  <c r="S608" i="11"/>
  <c r="S609" i="11"/>
  <c r="S610" i="11"/>
  <c r="S611" i="11"/>
  <c r="S612" i="11"/>
  <c r="S613" i="11"/>
  <c r="S614" i="11"/>
  <c r="S615" i="11"/>
  <c r="S616" i="11"/>
  <c r="S617" i="11"/>
  <c r="S618" i="11"/>
  <c r="S619" i="11"/>
  <c r="S620" i="11"/>
  <c r="S621" i="11"/>
  <c r="S622" i="11"/>
  <c r="S623" i="11"/>
  <c r="S624" i="11"/>
  <c r="S625" i="11"/>
  <c r="S626" i="11"/>
  <c r="S627" i="11"/>
  <c r="S628" i="11"/>
  <c r="S629" i="11"/>
  <c r="S630" i="11"/>
  <c r="S631" i="11"/>
  <c r="S632" i="11"/>
  <c r="S633" i="11"/>
  <c r="S634" i="11"/>
  <c r="S635" i="11"/>
  <c r="S636" i="11"/>
  <c r="S637" i="11"/>
  <c r="S638" i="11"/>
  <c r="S639" i="11"/>
  <c r="S640" i="11"/>
  <c r="S641" i="11"/>
  <c r="S642" i="11"/>
  <c r="S643" i="11"/>
  <c r="S644" i="11"/>
  <c r="S645" i="11"/>
  <c r="S646" i="11"/>
  <c r="S647" i="11"/>
  <c r="S648" i="11"/>
  <c r="S649" i="11"/>
  <c r="S650" i="11"/>
  <c r="S651" i="11"/>
  <c r="S652" i="11"/>
  <c r="S653" i="11"/>
  <c r="S654" i="11"/>
  <c r="S655" i="11"/>
  <c r="S656" i="11"/>
  <c r="S657" i="11"/>
  <c r="S658" i="11"/>
  <c r="S659" i="11"/>
  <c r="S660" i="11"/>
  <c r="S661" i="11"/>
  <c r="S662" i="11"/>
  <c r="S663" i="11"/>
  <c r="S664" i="11"/>
  <c r="S665" i="11"/>
  <c r="S666" i="11"/>
  <c r="S667" i="11"/>
  <c r="S668" i="11"/>
  <c r="S669" i="11"/>
  <c r="S670" i="11"/>
  <c r="S671" i="11"/>
  <c r="S672" i="11"/>
  <c r="S673" i="11"/>
  <c r="S674" i="11"/>
  <c r="S675" i="11"/>
  <c r="S676" i="11"/>
  <c r="S677" i="11"/>
  <c r="S678" i="11"/>
  <c r="S679" i="11"/>
  <c r="S680" i="11"/>
  <c r="S681" i="11"/>
  <c r="S682" i="11"/>
  <c r="S683" i="11"/>
  <c r="S684" i="11"/>
  <c r="S685" i="11"/>
  <c r="S686" i="11"/>
  <c r="S687" i="11"/>
  <c r="S688" i="11"/>
  <c r="S689" i="11"/>
  <c r="S690" i="11"/>
  <c r="S691" i="11"/>
  <c r="S692" i="11"/>
  <c r="S693" i="11"/>
  <c r="S694" i="11"/>
  <c r="S695" i="11"/>
  <c r="S696" i="11"/>
  <c r="S697" i="11"/>
  <c r="S698" i="11"/>
  <c r="S699" i="11"/>
  <c r="S700" i="11"/>
  <c r="S701" i="11"/>
  <c r="S702" i="11"/>
  <c r="S703" i="11"/>
  <c r="S704" i="11"/>
  <c r="S705" i="11"/>
  <c r="S706" i="11"/>
  <c r="S707" i="11"/>
  <c r="S708" i="11"/>
  <c r="S709" i="11"/>
  <c r="S710" i="11"/>
  <c r="S711" i="11"/>
  <c r="S712" i="11"/>
  <c r="S713" i="11"/>
  <c r="S714" i="11"/>
  <c r="S715" i="11"/>
  <c r="S716" i="11"/>
  <c r="S717" i="11"/>
  <c r="S718" i="11"/>
  <c r="S719" i="11"/>
  <c r="S720" i="11"/>
  <c r="S721" i="11"/>
  <c r="S722" i="11"/>
  <c r="S723" i="11"/>
  <c r="S724" i="11"/>
  <c r="S725" i="11"/>
  <c r="S726" i="11"/>
  <c r="S727" i="11"/>
  <c r="S728" i="11"/>
  <c r="S729" i="11"/>
  <c r="S730" i="11"/>
  <c r="S731" i="11"/>
  <c r="S732" i="11"/>
  <c r="S733" i="11"/>
  <c r="S734" i="11"/>
  <c r="S735" i="11"/>
  <c r="S736" i="11"/>
  <c r="S737" i="11"/>
  <c r="S738" i="11"/>
  <c r="S739" i="11"/>
  <c r="S740" i="11"/>
  <c r="S741" i="11"/>
  <c r="S742" i="11"/>
  <c r="S743" i="11"/>
  <c r="S744" i="11"/>
  <c r="S745" i="11"/>
  <c r="S746" i="11"/>
  <c r="S747" i="11"/>
  <c r="S748" i="11"/>
  <c r="S749" i="11"/>
  <c r="S750" i="11"/>
  <c r="S751" i="11"/>
  <c r="S752" i="11"/>
  <c r="S753" i="11"/>
  <c r="S754" i="11"/>
  <c r="S755" i="11"/>
  <c r="S756" i="11"/>
  <c r="S757" i="11"/>
  <c r="S758" i="11"/>
  <c r="S759" i="11"/>
  <c r="S760" i="11"/>
  <c r="S761" i="11"/>
  <c r="S762" i="11"/>
  <c r="S763" i="11"/>
  <c r="S764" i="11"/>
  <c r="S765" i="11"/>
  <c r="S766" i="11"/>
  <c r="S767" i="11"/>
  <c r="S768" i="11"/>
  <c r="S769" i="11"/>
  <c r="S770" i="11"/>
  <c r="S771" i="11"/>
  <c r="S772" i="11"/>
  <c r="S773" i="11"/>
  <c r="S774" i="11"/>
  <c r="S775" i="11"/>
  <c r="S776" i="11"/>
  <c r="S777" i="11"/>
  <c r="S778" i="11"/>
  <c r="S779" i="11"/>
  <c r="S780" i="11"/>
  <c r="S781" i="11"/>
  <c r="S782" i="11"/>
  <c r="S783" i="11"/>
  <c r="S784" i="11"/>
  <c r="S785" i="11"/>
  <c r="S786" i="11"/>
  <c r="S787" i="11"/>
  <c r="S788" i="11"/>
  <c r="S789" i="11"/>
  <c r="S790" i="11"/>
  <c r="S791" i="11"/>
  <c r="S792" i="11"/>
  <c r="S793" i="11"/>
  <c r="S794" i="11"/>
  <c r="S795" i="11"/>
  <c r="S796" i="11"/>
  <c r="S797" i="11"/>
  <c r="S798" i="11"/>
  <c r="S799" i="11"/>
  <c r="S800" i="11"/>
  <c r="S801" i="11"/>
  <c r="S802" i="11"/>
  <c r="S803" i="11"/>
  <c r="S804" i="11"/>
  <c r="S805" i="11"/>
  <c r="S806" i="11"/>
  <c r="S807" i="11"/>
  <c r="S808" i="11"/>
  <c r="S809" i="11"/>
  <c r="S810" i="11"/>
  <c r="S811" i="11"/>
  <c r="S812" i="11"/>
  <c r="S813" i="11"/>
  <c r="S814" i="11"/>
  <c r="S815" i="11"/>
  <c r="S816" i="11"/>
  <c r="S817" i="1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940" i="11"/>
  <c r="S941" i="11"/>
  <c r="S942" i="11"/>
  <c r="S943" i="11"/>
  <c r="S944" i="11"/>
  <c r="S945" i="11"/>
  <c r="S946" i="11"/>
  <c r="S947" i="11"/>
  <c r="S948" i="11"/>
  <c r="S949" i="11"/>
  <c r="S950" i="11"/>
  <c r="S951" i="11"/>
  <c r="S952" i="11"/>
  <c r="S953" i="11"/>
  <c r="S954" i="11"/>
  <c r="S955" i="11"/>
  <c r="S956" i="11"/>
  <c r="S957" i="11"/>
  <c r="S958" i="11"/>
  <c r="S959" i="11"/>
  <c r="S960" i="11"/>
  <c r="S961" i="11"/>
  <c r="S962" i="11"/>
  <c r="S963" i="11"/>
  <c r="S964" i="11"/>
  <c r="S965" i="11"/>
  <c r="S966" i="11"/>
  <c r="S967" i="11"/>
  <c r="S968" i="11"/>
  <c r="S969" i="11"/>
  <c r="S970" i="11"/>
  <c r="S971" i="11"/>
  <c r="S972" i="11"/>
  <c r="S973" i="11"/>
  <c r="S974" i="11"/>
  <c r="S975" i="11"/>
  <c r="S976" i="11"/>
  <c r="S977" i="11"/>
  <c r="S978" i="11"/>
  <c r="S979" i="11"/>
  <c r="S980" i="11"/>
  <c r="S981" i="11"/>
  <c r="S982" i="11"/>
  <c r="S983" i="11"/>
  <c r="S984" i="11"/>
  <c r="S985" i="11"/>
  <c r="S986" i="11"/>
  <c r="S987" i="11"/>
  <c r="S988" i="11"/>
  <c r="S989" i="11"/>
  <c r="S990" i="11"/>
  <c r="S991" i="11"/>
  <c r="S992" i="11"/>
  <c r="S993" i="11"/>
  <c r="S994" i="11"/>
  <c r="S995" i="11"/>
  <c r="S996" i="11"/>
  <c r="S997" i="11"/>
  <c r="S998" i="11"/>
  <c r="S999" i="11"/>
  <c r="S1000" i="11"/>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A34" i="10" s="1"/>
  <c r="M35" i="10"/>
  <c r="M36" i="10"/>
  <c r="M37" i="10"/>
  <c r="M38" i="10"/>
  <c r="M39" i="10"/>
  <c r="M40" i="10"/>
  <c r="M41" i="10"/>
  <c r="M42" i="10"/>
  <c r="A42" i="10" s="1"/>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A82" i="10" s="1"/>
  <c r="M83" i="10"/>
  <c r="M84" i="10"/>
  <c r="M85" i="10"/>
  <c r="M86" i="10"/>
  <c r="M87" i="10"/>
  <c r="M88" i="10"/>
  <c r="M89" i="10"/>
  <c r="M90" i="10"/>
  <c r="A90" i="10" s="1"/>
  <c r="M91" i="10"/>
  <c r="A91" i="10" s="1"/>
  <c r="M92" i="10"/>
  <c r="M93" i="10"/>
  <c r="M94" i="10"/>
  <c r="M95" i="10"/>
  <c r="M96" i="10"/>
  <c r="M97" i="10"/>
  <c r="M98" i="10"/>
  <c r="M99" i="10"/>
  <c r="M100" i="10"/>
  <c r="M101" i="10"/>
  <c r="M102" i="10"/>
  <c r="M103" i="10"/>
  <c r="M104" i="10"/>
  <c r="M105" i="10"/>
  <c r="M106" i="10"/>
  <c r="M107" i="10"/>
  <c r="M108" i="10"/>
  <c r="M109" i="10"/>
  <c r="M110" i="10"/>
  <c r="M111" i="10"/>
  <c r="M112" i="10"/>
  <c r="M113" i="10"/>
  <c r="M114" i="10"/>
  <c r="M115" i="10"/>
  <c r="M116" i="10"/>
  <c r="M117" i="10"/>
  <c r="M118" i="10"/>
  <c r="M119" i="10"/>
  <c r="M120" i="10"/>
  <c r="M121" i="10"/>
  <c r="M122" i="10"/>
  <c r="M123" i="10"/>
  <c r="M124" i="10"/>
  <c r="M125" i="10"/>
  <c r="M126" i="10"/>
  <c r="M127" i="10"/>
  <c r="M128" i="10"/>
  <c r="M129" i="10"/>
  <c r="M130" i="10"/>
  <c r="M131" i="10"/>
  <c r="M132" i="10"/>
  <c r="M133" i="10"/>
  <c r="M134" i="10"/>
  <c r="M135" i="10"/>
  <c r="M136" i="10"/>
  <c r="M137" i="10"/>
  <c r="M138" i="10"/>
  <c r="M139" i="10"/>
  <c r="M140" i="10"/>
  <c r="M141" i="10"/>
  <c r="M142" i="10"/>
  <c r="M143" i="10"/>
  <c r="M144" i="10"/>
  <c r="M145" i="10"/>
  <c r="M146" i="10"/>
  <c r="M147" i="10"/>
  <c r="M148" i="10"/>
  <c r="M149" i="10"/>
  <c r="M150" i="10"/>
  <c r="M151" i="10"/>
  <c r="M152" i="10"/>
  <c r="M153" i="10"/>
  <c r="M154" i="10"/>
  <c r="A154" i="10" s="1"/>
  <c r="M155" i="10"/>
  <c r="M156" i="10"/>
  <c r="M157" i="10"/>
  <c r="M158" i="10"/>
  <c r="M159" i="10"/>
  <c r="M160" i="10"/>
  <c r="M161" i="10"/>
  <c r="M162" i="10"/>
  <c r="M163" i="10"/>
  <c r="M164" i="10"/>
  <c r="M165" i="10"/>
  <c r="M166" i="10"/>
  <c r="M167" i="10"/>
  <c r="M168" i="10"/>
  <c r="M169" i="10"/>
  <c r="M170" i="10"/>
  <c r="M171" i="10"/>
  <c r="M172" i="10"/>
  <c r="M173" i="10"/>
  <c r="M174" i="10"/>
  <c r="M175" i="10"/>
  <c r="M176" i="10"/>
  <c r="M177" i="10"/>
  <c r="M178" i="10"/>
  <c r="A178" i="10" s="1"/>
  <c r="M179" i="10"/>
  <c r="A179" i="10" s="1"/>
  <c r="M180" i="10"/>
  <c r="M181" i="10"/>
  <c r="M182" i="10"/>
  <c r="M183" i="10"/>
  <c r="M184" i="10"/>
  <c r="M185" i="10"/>
  <c r="M186" i="10"/>
  <c r="M187" i="10"/>
  <c r="M188" i="10"/>
  <c r="M189" i="10"/>
  <c r="M190" i="10"/>
  <c r="M191" i="10"/>
  <c r="M192" i="10"/>
  <c r="M193" i="10"/>
  <c r="M194" i="10"/>
  <c r="M195" i="10"/>
  <c r="M196" i="10"/>
  <c r="M197" i="10"/>
  <c r="M198" i="10"/>
  <c r="M199" i="10"/>
  <c r="M200" i="10"/>
  <c r="M201" i="10"/>
  <c r="M202" i="10"/>
  <c r="M203" i="10"/>
  <c r="M204" i="10"/>
  <c r="M205" i="10"/>
  <c r="M206" i="10"/>
  <c r="M207" i="10"/>
  <c r="M208" i="10"/>
  <c r="M209" i="10"/>
  <c r="M210" i="10"/>
  <c r="M211" i="10"/>
  <c r="M212" i="10"/>
  <c r="M213" i="10"/>
  <c r="M214" i="10"/>
  <c r="A214" i="10" s="1"/>
  <c r="M215" i="10"/>
  <c r="M216" i="10"/>
  <c r="M217" i="10"/>
  <c r="M218" i="10"/>
  <c r="M219" i="10"/>
  <c r="M220" i="10"/>
  <c r="M221" i="10"/>
  <c r="M222" i="10"/>
  <c r="M223" i="10"/>
  <c r="M224" i="10"/>
  <c r="M225" i="10"/>
  <c r="M226" i="10"/>
  <c r="M227" i="10"/>
  <c r="M228" i="10"/>
  <c r="M229" i="10"/>
  <c r="M230" i="10"/>
  <c r="M231" i="10"/>
  <c r="M232" i="10"/>
  <c r="M233" i="10"/>
  <c r="M234" i="10"/>
  <c r="M235" i="10"/>
  <c r="M236" i="10"/>
  <c r="M237" i="10"/>
  <c r="M238" i="10"/>
  <c r="M239" i="10"/>
  <c r="M240" i="10"/>
  <c r="M241" i="10"/>
  <c r="M242" i="10"/>
  <c r="M243" i="10"/>
  <c r="M244" i="10"/>
  <c r="M245" i="10"/>
  <c r="M246" i="10"/>
  <c r="M247" i="10"/>
  <c r="M248" i="10"/>
  <c r="M249" i="10"/>
  <c r="M250" i="10"/>
  <c r="M251" i="10"/>
  <c r="M252" i="10"/>
  <c r="M253" i="10"/>
  <c r="M254" i="10"/>
  <c r="M255" i="10"/>
  <c r="M256" i="10"/>
  <c r="M257" i="10"/>
  <c r="M258" i="10"/>
  <c r="M259" i="10"/>
  <c r="M260" i="10"/>
  <c r="M261" i="10"/>
  <c r="M262" i="10"/>
  <c r="M263" i="10"/>
  <c r="M264" i="10"/>
  <c r="M265" i="10"/>
  <c r="M266" i="10"/>
  <c r="M267" i="10"/>
  <c r="M268" i="10"/>
  <c r="M269" i="10"/>
  <c r="M270" i="10"/>
  <c r="M271" i="10"/>
  <c r="M272" i="10"/>
  <c r="M273" i="10"/>
  <c r="M274" i="10"/>
  <c r="M275" i="10"/>
  <c r="M276" i="10"/>
  <c r="M277" i="10"/>
  <c r="M278" i="10"/>
  <c r="M279" i="10"/>
  <c r="M280" i="10"/>
  <c r="M281" i="10"/>
  <c r="M282" i="10"/>
  <c r="M283" i="10"/>
  <c r="M284" i="10"/>
  <c r="M285" i="10"/>
  <c r="M286" i="10"/>
  <c r="M287" i="10"/>
  <c r="M288" i="10"/>
  <c r="M289" i="10"/>
  <c r="M290" i="10"/>
  <c r="M291" i="10"/>
  <c r="M292" i="10"/>
  <c r="M293" i="10"/>
  <c r="M294" i="10"/>
  <c r="M295" i="10"/>
  <c r="M296" i="10"/>
  <c r="M297" i="10"/>
  <c r="M298" i="10"/>
  <c r="M299" i="10"/>
  <c r="M300" i="10"/>
  <c r="M301" i="10"/>
  <c r="M302" i="10"/>
  <c r="M303" i="10"/>
  <c r="M304" i="10"/>
  <c r="M305" i="10"/>
  <c r="M306" i="10"/>
  <c r="M307" i="10"/>
  <c r="M308" i="10"/>
  <c r="M309" i="10"/>
  <c r="M310" i="10"/>
  <c r="M311" i="10"/>
  <c r="M312" i="10"/>
  <c r="M313" i="10"/>
  <c r="M314" i="10"/>
  <c r="M315" i="10"/>
  <c r="M316" i="10"/>
  <c r="M317" i="10"/>
  <c r="M318" i="10"/>
  <c r="A318" i="10" s="1"/>
  <c r="M319" i="10"/>
  <c r="M320" i="10"/>
  <c r="M321" i="10"/>
  <c r="M322" i="10"/>
  <c r="M323" i="10"/>
  <c r="M324" i="10"/>
  <c r="M325" i="10"/>
  <c r="M326" i="10"/>
  <c r="M327" i="10"/>
  <c r="M328" i="10"/>
  <c r="M329" i="10"/>
  <c r="M330" i="10"/>
  <c r="M331" i="10"/>
  <c r="M332" i="10"/>
  <c r="M333" i="10"/>
  <c r="M334" i="10"/>
  <c r="A334" i="10" s="1"/>
  <c r="M335" i="10"/>
  <c r="M336" i="10"/>
  <c r="M337" i="10"/>
  <c r="M338" i="10"/>
  <c r="M339" i="10"/>
  <c r="M340" i="10"/>
  <c r="M341" i="10"/>
  <c r="M342" i="10"/>
  <c r="M343" i="10"/>
  <c r="M344" i="10"/>
  <c r="M345" i="10"/>
  <c r="M346" i="10"/>
  <c r="M347" i="10"/>
  <c r="M348" i="10"/>
  <c r="M349" i="10"/>
  <c r="M350" i="10"/>
  <c r="M351" i="10"/>
  <c r="M352" i="10"/>
  <c r="M353" i="10"/>
  <c r="M354" i="10"/>
  <c r="M355" i="10"/>
  <c r="M356" i="10"/>
  <c r="M357" i="10"/>
  <c r="M358" i="10"/>
  <c r="M359" i="10"/>
  <c r="M360" i="10"/>
  <c r="M361" i="10"/>
  <c r="A361" i="10" s="1"/>
  <c r="M362" i="10"/>
  <c r="A362" i="10" s="1"/>
  <c r="M363" i="10"/>
  <c r="M364" i="10"/>
  <c r="M365" i="10"/>
  <c r="M366" i="10"/>
  <c r="M367" i="10"/>
  <c r="M368" i="10"/>
  <c r="M369" i="10"/>
  <c r="M370" i="10"/>
  <c r="A370" i="10" s="1"/>
  <c r="M371" i="10"/>
  <c r="M372" i="10"/>
  <c r="M373" i="10"/>
  <c r="M374" i="10"/>
  <c r="M375" i="10"/>
  <c r="M376" i="10"/>
  <c r="M377" i="10"/>
  <c r="M378" i="10"/>
  <c r="A378" i="10" s="1"/>
  <c r="M379" i="10"/>
  <c r="M380" i="10"/>
  <c r="M381" i="10"/>
  <c r="M382" i="10"/>
  <c r="M383" i="10"/>
  <c r="M384" i="10"/>
  <c r="M385" i="10"/>
  <c r="M386" i="10"/>
  <c r="A386" i="10" s="1"/>
  <c r="M387" i="10"/>
  <c r="M388" i="10"/>
  <c r="M389" i="10"/>
  <c r="M390" i="10"/>
  <c r="M391" i="10"/>
  <c r="M392" i="10"/>
  <c r="M393" i="10"/>
  <c r="A393" i="10" s="1"/>
  <c r="M394" i="10"/>
  <c r="A394" i="10" s="1"/>
  <c r="M395" i="10"/>
  <c r="M396" i="10"/>
  <c r="M397" i="10"/>
  <c r="M398" i="10"/>
  <c r="M399" i="10"/>
  <c r="M400" i="10"/>
  <c r="M401" i="10"/>
  <c r="M402" i="10"/>
  <c r="M403" i="10"/>
  <c r="M404" i="10"/>
  <c r="M405" i="10"/>
  <c r="M406" i="10"/>
  <c r="M407" i="10"/>
  <c r="M408" i="10"/>
  <c r="M409" i="10"/>
  <c r="M410" i="10"/>
  <c r="M411" i="10"/>
  <c r="M412" i="10"/>
  <c r="M413" i="10"/>
  <c r="M414" i="10"/>
  <c r="M415" i="10"/>
  <c r="M416" i="10"/>
  <c r="M417" i="10"/>
  <c r="M418" i="10"/>
  <c r="M419" i="10"/>
  <c r="M420" i="10"/>
  <c r="M421" i="10"/>
  <c r="M422" i="10"/>
  <c r="M423" i="10"/>
  <c r="M424" i="10"/>
  <c r="M425" i="10"/>
  <c r="M426" i="10"/>
  <c r="M427" i="10"/>
  <c r="M428" i="10"/>
  <c r="M429" i="10"/>
  <c r="M430" i="10"/>
  <c r="M431" i="10"/>
  <c r="M432" i="10"/>
  <c r="M433" i="10"/>
  <c r="M434" i="10"/>
  <c r="M435" i="10"/>
  <c r="M436" i="10"/>
  <c r="M437" i="10"/>
  <c r="M438" i="10"/>
  <c r="M439" i="10"/>
  <c r="M440" i="10"/>
  <c r="M441" i="10"/>
  <c r="M442" i="10"/>
  <c r="A442" i="10" s="1"/>
  <c r="M443" i="10"/>
  <c r="M444" i="10"/>
  <c r="M445" i="10"/>
  <c r="M446" i="10"/>
  <c r="M447" i="10"/>
  <c r="M448" i="10"/>
  <c r="M449" i="10"/>
  <c r="M450" i="10"/>
  <c r="A450" i="10" s="1"/>
  <c r="M451" i="10"/>
  <c r="M452" i="10"/>
  <c r="M453" i="10"/>
  <c r="M454" i="10"/>
  <c r="M455" i="10"/>
  <c r="M456" i="10"/>
  <c r="M457" i="10"/>
  <c r="M458" i="10"/>
  <c r="A458" i="10" s="1"/>
  <c r="M459" i="10"/>
  <c r="M460" i="10"/>
  <c r="M461" i="10"/>
  <c r="M462" i="10"/>
  <c r="M463" i="10"/>
  <c r="M464" i="10"/>
  <c r="M465" i="10"/>
  <c r="M466" i="10"/>
  <c r="A466" i="10" s="1"/>
  <c r="M467" i="10"/>
  <c r="M468" i="10"/>
  <c r="M469" i="10"/>
  <c r="M470" i="10"/>
  <c r="M471" i="10"/>
  <c r="M472" i="10"/>
  <c r="M473" i="10"/>
  <c r="M474" i="10"/>
  <c r="A474" i="10" s="1"/>
  <c r="M475" i="10"/>
  <c r="A475" i="10" s="1"/>
  <c r="M476" i="10"/>
  <c r="M477" i="10"/>
  <c r="M478" i="10"/>
  <c r="M479" i="10"/>
  <c r="M480" i="10"/>
  <c r="M481" i="10"/>
  <c r="A481" i="10" s="1"/>
  <c r="M482" i="10"/>
  <c r="A482" i="10" s="1"/>
  <c r="M483" i="10"/>
  <c r="A483" i="10" s="1"/>
  <c r="M484" i="10"/>
  <c r="M485" i="10"/>
  <c r="M486" i="10"/>
  <c r="M487" i="10"/>
  <c r="M488" i="10"/>
  <c r="M489" i="10"/>
  <c r="A489" i="10" s="1"/>
  <c r="M490" i="10"/>
  <c r="A490" i="10" s="1"/>
  <c r="M491" i="10"/>
  <c r="M492" i="10"/>
  <c r="M493" i="10"/>
  <c r="M494" i="10"/>
  <c r="M495" i="10"/>
  <c r="M496" i="10"/>
  <c r="M497" i="10"/>
  <c r="M498" i="10"/>
  <c r="A498" i="10" s="1"/>
  <c r="M499" i="10"/>
  <c r="M500" i="10"/>
  <c r="M501" i="10"/>
  <c r="M502" i="10"/>
  <c r="M503" i="10"/>
  <c r="M504" i="10"/>
  <c r="M505" i="10"/>
  <c r="M506" i="10"/>
  <c r="A506" i="10" s="1"/>
  <c r="M507" i="10"/>
  <c r="M508" i="10"/>
  <c r="M509" i="10"/>
  <c r="M510" i="10"/>
  <c r="M511" i="10"/>
  <c r="M512" i="10"/>
  <c r="M513" i="10"/>
  <c r="M514" i="10"/>
  <c r="A514" i="10" s="1"/>
  <c r="M515" i="10"/>
  <c r="M516" i="10"/>
  <c r="M517" i="10"/>
  <c r="M518" i="10"/>
  <c r="M519" i="10"/>
  <c r="M520" i="10"/>
  <c r="M521" i="10"/>
  <c r="M522" i="10"/>
  <c r="M523" i="10"/>
  <c r="M524" i="10"/>
  <c r="M525" i="10"/>
  <c r="M526" i="10"/>
  <c r="M527" i="10"/>
  <c r="M528" i="10"/>
  <c r="M529" i="10"/>
  <c r="M530" i="10"/>
  <c r="M531" i="10"/>
  <c r="M532" i="10"/>
  <c r="M533" i="10"/>
  <c r="M534" i="10"/>
  <c r="M535" i="10"/>
  <c r="M536" i="10"/>
  <c r="M537" i="10"/>
  <c r="M538" i="10"/>
  <c r="M539" i="10"/>
  <c r="M540" i="10"/>
  <c r="M541" i="10"/>
  <c r="M542" i="10"/>
  <c r="M543" i="10"/>
  <c r="M544" i="10"/>
  <c r="M545" i="10"/>
  <c r="M546" i="10"/>
  <c r="M547" i="10"/>
  <c r="M548" i="10"/>
  <c r="M549" i="10"/>
  <c r="M550" i="10"/>
  <c r="M551" i="10"/>
  <c r="M552" i="10"/>
  <c r="M553" i="10"/>
  <c r="M554" i="10"/>
  <c r="M555" i="10"/>
  <c r="M556" i="10"/>
  <c r="M557" i="10"/>
  <c r="M558" i="10"/>
  <c r="M559" i="10"/>
  <c r="M560" i="10"/>
  <c r="M561" i="10"/>
  <c r="M562" i="10"/>
  <c r="M563" i="10"/>
  <c r="M564" i="10"/>
  <c r="M565" i="10"/>
  <c r="M566" i="10"/>
  <c r="M567" i="10"/>
  <c r="M568" i="10"/>
  <c r="M569" i="10"/>
  <c r="M570" i="10"/>
  <c r="M571" i="10"/>
  <c r="M572" i="10"/>
  <c r="M573" i="10"/>
  <c r="M574" i="10"/>
  <c r="M575" i="10"/>
  <c r="M576" i="10"/>
  <c r="M577" i="10"/>
  <c r="M578" i="10"/>
  <c r="M579" i="10"/>
  <c r="M580" i="10"/>
  <c r="M581" i="10"/>
  <c r="M582" i="10"/>
  <c r="M583" i="10"/>
  <c r="M584" i="10"/>
  <c r="M585" i="10"/>
  <c r="M586" i="10"/>
  <c r="M587" i="10"/>
  <c r="M588" i="10"/>
  <c r="M589" i="10"/>
  <c r="M590" i="10"/>
  <c r="M591" i="10"/>
  <c r="M592" i="10"/>
  <c r="M593" i="10"/>
  <c r="M594" i="10"/>
  <c r="M595" i="10"/>
  <c r="M596" i="10"/>
  <c r="M597" i="10"/>
  <c r="M598" i="10"/>
  <c r="M599" i="10"/>
  <c r="M600" i="10"/>
  <c r="M601" i="10"/>
  <c r="M602" i="10"/>
  <c r="M603" i="10"/>
  <c r="M604" i="10"/>
  <c r="M605" i="10"/>
  <c r="M606" i="10"/>
  <c r="M607" i="10"/>
  <c r="M608" i="10"/>
  <c r="M609" i="10"/>
  <c r="M610" i="10"/>
  <c r="M611" i="10"/>
  <c r="M612" i="10"/>
  <c r="M613" i="10"/>
  <c r="M614" i="10"/>
  <c r="M615" i="10"/>
  <c r="M616" i="10"/>
  <c r="M617" i="10"/>
  <c r="M618" i="10"/>
  <c r="M619" i="10"/>
  <c r="M620" i="10"/>
  <c r="M621" i="10"/>
  <c r="M622" i="10"/>
  <c r="M623" i="10"/>
  <c r="M624" i="10"/>
  <c r="M625" i="10"/>
  <c r="M626" i="10"/>
  <c r="M627" i="10"/>
  <c r="M628" i="10"/>
  <c r="M629" i="10"/>
  <c r="M630" i="10"/>
  <c r="M631" i="10"/>
  <c r="M632" i="10"/>
  <c r="M633" i="10"/>
  <c r="M634" i="10"/>
  <c r="M635" i="10"/>
  <c r="M636" i="10"/>
  <c r="M637" i="10"/>
  <c r="M638" i="10"/>
  <c r="M639" i="10"/>
  <c r="M640" i="10"/>
  <c r="M641" i="10"/>
  <c r="M642" i="10"/>
  <c r="M643" i="10"/>
  <c r="M644" i="10"/>
  <c r="M645" i="10"/>
  <c r="M646" i="10"/>
  <c r="M647" i="10"/>
  <c r="M648" i="10"/>
  <c r="M649" i="10"/>
  <c r="M650" i="10"/>
  <c r="M651" i="10"/>
  <c r="M652" i="10"/>
  <c r="M653" i="10"/>
  <c r="M654" i="10"/>
  <c r="M655" i="10"/>
  <c r="M656" i="10"/>
  <c r="M657" i="10"/>
  <c r="M658" i="10"/>
  <c r="M659" i="10"/>
  <c r="M660" i="10"/>
  <c r="M661" i="10"/>
  <c r="M662" i="10"/>
  <c r="M663" i="10"/>
  <c r="M664" i="10"/>
  <c r="M665" i="10"/>
  <c r="M666" i="10"/>
  <c r="M667" i="10"/>
  <c r="M668" i="10"/>
  <c r="M669" i="10"/>
  <c r="M670" i="10"/>
  <c r="M671" i="10"/>
  <c r="M672" i="10"/>
  <c r="M673" i="10"/>
  <c r="M674" i="10"/>
  <c r="M675" i="10"/>
  <c r="M676" i="10"/>
  <c r="M677" i="10"/>
  <c r="M678" i="10"/>
  <c r="M679" i="10"/>
  <c r="M680" i="10"/>
  <c r="M681" i="10"/>
  <c r="M682" i="10"/>
  <c r="M683" i="10"/>
  <c r="M684" i="10"/>
  <c r="M685" i="10"/>
  <c r="M686" i="10"/>
  <c r="M687" i="10"/>
  <c r="M688" i="10"/>
  <c r="M689" i="10"/>
  <c r="M690" i="10"/>
  <c r="M691" i="10"/>
  <c r="M692" i="10"/>
  <c r="M693" i="10"/>
  <c r="M694" i="10"/>
  <c r="M695" i="10"/>
  <c r="M696" i="10"/>
  <c r="M697" i="10"/>
  <c r="M698" i="10"/>
  <c r="M699" i="10"/>
  <c r="M700" i="10"/>
  <c r="M701" i="10"/>
  <c r="M702" i="10"/>
  <c r="M703" i="10"/>
  <c r="M704" i="10"/>
  <c r="M705" i="10"/>
  <c r="M706" i="10"/>
  <c r="M707" i="10"/>
  <c r="M708" i="10"/>
  <c r="M709" i="10"/>
  <c r="M710" i="10"/>
  <c r="M711" i="10"/>
  <c r="M712" i="10"/>
  <c r="M713" i="10"/>
  <c r="M714" i="10"/>
  <c r="M715" i="10"/>
  <c r="M716" i="10"/>
  <c r="M717" i="10"/>
  <c r="M718" i="10"/>
  <c r="M719" i="10"/>
  <c r="M720" i="10"/>
  <c r="M721" i="10"/>
  <c r="M722" i="10"/>
  <c r="M723" i="10"/>
  <c r="M724" i="10"/>
  <c r="M725" i="10"/>
  <c r="M726" i="10"/>
  <c r="M727" i="10"/>
  <c r="M728" i="10"/>
  <c r="M729" i="10"/>
  <c r="M730" i="10"/>
  <c r="M731" i="10"/>
  <c r="M732" i="10"/>
  <c r="M733" i="10"/>
  <c r="M734" i="10"/>
  <c r="M735" i="10"/>
  <c r="M736" i="10"/>
  <c r="M737" i="10"/>
  <c r="M738" i="10"/>
  <c r="M739" i="10"/>
  <c r="M740" i="10"/>
  <c r="M741" i="10"/>
  <c r="M742" i="10"/>
  <c r="M743" i="10"/>
  <c r="M744" i="10"/>
  <c r="M745" i="10"/>
  <c r="M746" i="10"/>
  <c r="M747" i="10"/>
  <c r="M748" i="10"/>
  <c r="M749" i="10"/>
  <c r="M750" i="10"/>
  <c r="M751" i="10"/>
  <c r="M752" i="10"/>
  <c r="M753" i="10"/>
  <c r="M754" i="10"/>
  <c r="M755" i="10"/>
  <c r="M756" i="10"/>
  <c r="M757" i="10"/>
  <c r="M758" i="10"/>
  <c r="M759" i="10"/>
  <c r="M760" i="10"/>
  <c r="M761" i="10"/>
  <c r="M762" i="10"/>
  <c r="M763" i="10"/>
  <c r="M764" i="10"/>
  <c r="M765" i="10"/>
  <c r="M766" i="10"/>
  <c r="M767" i="10"/>
  <c r="M768" i="10"/>
  <c r="M769" i="10"/>
  <c r="M770" i="10"/>
  <c r="M771" i="10"/>
  <c r="M772" i="10"/>
  <c r="M773" i="10"/>
  <c r="M774" i="10"/>
  <c r="M775" i="10"/>
  <c r="M776" i="10"/>
  <c r="M777" i="10"/>
  <c r="M778" i="10"/>
  <c r="M779" i="10"/>
  <c r="M780" i="10"/>
  <c r="M781" i="10"/>
  <c r="M782" i="10"/>
  <c r="M783" i="10"/>
  <c r="M784" i="10"/>
  <c r="M785" i="10"/>
  <c r="M786" i="10"/>
  <c r="M787" i="10"/>
  <c r="M788" i="10"/>
  <c r="M789" i="10"/>
  <c r="M790" i="10"/>
  <c r="M791" i="10"/>
  <c r="M792" i="10"/>
  <c r="M793" i="10"/>
  <c r="M794" i="10"/>
  <c r="M795" i="10"/>
  <c r="M796" i="10"/>
  <c r="M797" i="10"/>
  <c r="M798" i="10"/>
  <c r="M799" i="10"/>
  <c r="M800" i="10"/>
  <c r="M801" i="10"/>
  <c r="M802" i="10"/>
  <c r="M803" i="10"/>
  <c r="M804" i="10"/>
  <c r="M805" i="10"/>
  <c r="M806" i="10"/>
  <c r="M807" i="10"/>
  <c r="M808" i="10"/>
  <c r="M809" i="10"/>
  <c r="M810" i="10"/>
  <c r="M811" i="10"/>
  <c r="M812" i="10"/>
  <c r="M813" i="10"/>
  <c r="M814" i="10"/>
  <c r="M815" i="10"/>
  <c r="M816" i="10"/>
  <c r="M817" i="10"/>
  <c r="M818" i="10"/>
  <c r="M819" i="10"/>
  <c r="M820" i="10"/>
  <c r="M821" i="10"/>
  <c r="M822" i="10"/>
  <c r="M823" i="10"/>
  <c r="M824" i="10"/>
  <c r="M825" i="10"/>
  <c r="M826" i="10"/>
  <c r="M827" i="10"/>
  <c r="M828" i="10"/>
  <c r="M829" i="10"/>
  <c r="M830" i="10"/>
  <c r="M831" i="10"/>
  <c r="M832" i="10"/>
  <c r="M833" i="10"/>
  <c r="M834" i="10"/>
  <c r="M835" i="10"/>
  <c r="M836" i="10"/>
  <c r="M837" i="10"/>
  <c r="M838" i="10"/>
  <c r="M839" i="10"/>
  <c r="M840" i="10"/>
  <c r="M841" i="10"/>
  <c r="M842" i="10"/>
  <c r="M843" i="10"/>
  <c r="M844" i="10"/>
  <c r="M845" i="10"/>
  <c r="M846" i="10"/>
  <c r="M847" i="10"/>
  <c r="M848" i="10"/>
  <c r="M849" i="10"/>
  <c r="M850" i="10"/>
  <c r="M851" i="10"/>
  <c r="M852" i="10"/>
  <c r="M853" i="10"/>
  <c r="M854" i="10"/>
  <c r="M855" i="10"/>
  <c r="M856" i="10"/>
  <c r="M857" i="10"/>
  <c r="M858" i="10"/>
  <c r="M859" i="10"/>
  <c r="M860" i="10"/>
  <c r="M861" i="10"/>
  <c r="M862" i="10"/>
  <c r="M863" i="10"/>
  <c r="M864" i="10"/>
  <c r="M865" i="10"/>
  <c r="M866" i="10"/>
  <c r="M867" i="10"/>
  <c r="M868" i="10"/>
  <c r="M869" i="10"/>
  <c r="M870" i="10"/>
  <c r="M871" i="10"/>
  <c r="M872" i="10"/>
  <c r="M873" i="10"/>
  <c r="M874" i="10"/>
  <c r="M875" i="10"/>
  <c r="M876" i="10"/>
  <c r="M877" i="10"/>
  <c r="M878" i="10"/>
  <c r="M879" i="10"/>
  <c r="M880" i="10"/>
  <c r="M881" i="10"/>
  <c r="M882" i="10"/>
  <c r="M883" i="10"/>
  <c r="M884" i="10"/>
  <c r="M885" i="10"/>
  <c r="M886" i="10"/>
  <c r="M887" i="10"/>
  <c r="M888" i="10"/>
  <c r="M889" i="10"/>
  <c r="M890" i="10"/>
  <c r="M891" i="10"/>
  <c r="M892" i="10"/>
  <c r="M893" i="10"/>
  <c r="M894" i="10"/>
  <c r="M895" i="10"/>
  <c r="M896" i="10"/>
  <c r="M897" i="10"/>
  <c r="M898" i="10"/>
  <c r="M899" i="10"/>
  <c r="M900" i="10"/>
  <c r="M901" i="10"/>
  <c r="M902" i="10"/>
  <c r="M903" i="10"/>
  <c r="M904" i="10"/>
  <c r="M905" i="10"/>
  <c r="M906" i="10"/>
  <c r="M907" i="10"/>
  <c r="M908" i="10"/>
  <c r="M909" i="10"/>
  <c r="M910" i="10"/>
  <c r="M911" i="10"/>
  <c r="M912" i="10"/>
  <c r="M913" i="10"/>
  <c r="M914" i="10"/>
  <c r="M915" i="10"/>
  <c r="M916" i="10"/>
  <c r="M917" i="10"/>
  <c r="M918" i="10"/>
  <c r="M919" i="10"/>
  <c r="M920" i="10"/>
  <c r="M921" i="10"/>
  <c r="M922" i="10"/>
  <c r="M923" i="10"/>
  <c r="M924" i="10"/>
  <c r="M925" i="10"/>
  <c r="M926" i="10"/>
  <c r="M927" i="10"/>
  <c r="M928" i="10"/>
  <c r="M929" i="10"/>
  <c r="M930" i="10"/>
  <c r="M931" i="10"/>
  <c r="M932" i="10"/>
  <c r="M933" i="10"/>
  <c r="M934" i="10"/>
  <c r="M935" i="10"/>
  <c r="M936" i="10"/>
  <c r="M937" i="10"/>
  <c r="M938" i="10"/>
  <c r="M939" i="10"/>
  <c r="M940" i="10"/>
  <c r="M941" i="10"/>
  <c r="M942" i="10"/>
  <c r="M943" i="10"/>
  <c r="M944" i="10"/>
  <c r="M945" i="10"/>
  <c r="M946" i="10"/>
  <c r="M947" i="10"/>
  <c r="M948" i="10"/>
  <c r="M949" i="10"/>
  <c r="M950" i="10"/>
  <c r="M951" i="10"/>
  <c r="M952" i="10"/>
  <c r="M953" i="10"/>
  <c r="M954" i="10"/>
  <c r="M955" i="10"/>
  <c r="M956" i="10"/>
  <c r="M957" i="10"/>
  <c r="M958" i="10"/>
  <c r="M959" i="10"/>
  <c r="M960" i="10"/>
  <c r="M961" i="10"/>
  <c r="M962" i="10"/>
  <c r="M963" i="10"/>
  <c r="M964" i="10"/>
  <c r="M965" i="10"/>
  <c r="M966" i="10"/>
  <c r="M967" i="10"/>
  <c r="M968" i="10"/>
  <c r="M969" i="10"/>
  <c r="M970" i="10"/>
  <c r="M971" i="10"/>
  <c r="M972" i="10"/>
  <c r="M973" i="10"/>
  <c r="M974" i="10"/>
  <c r="M975" i="10"/>
  <c r="M976" i="10"/>
  <c r="M977" i="10"/>
  <c r="M978" i="10"/>
  <c r="M979" i="10"/>
  <c r="M980" i="10"/>
  <c r="M981" i="10"/>
  <c r="M982" i="10"/>
  <c r="M983" i="10"/>
  <c r="M984" i="10"/>
  <c r="M985" i="10"/>
  <c r="M986" i="10"/>
  <c r="M987" i="10"/>
  <c r="M988" i="10"/>
  <c r="M989" i="10"/>
  <c r="M990" i="10"/>
  <c r="M991" i="10"/>
  <c r="M992" i="10"/>
  <c r="M993" i="10"/>
  <c r="M994" i="10"/>
  <c r="M995" i="10"/>
  <c r="M996" i="10"/>
  <c r="M997" i="10"/>
  <c r="M998" i="10"/>
  <c r="M999" i="10"/>
  <c r="M1000" i="10"/>
  <c r="M1001" i="10"/>
  <c r="M1002" i="10"/>
  <c r="M1003" i="10"/>
  <c r="M1004" i="10"/>
  <c r="M1005" i="10"/>
  <c r="M1006" i="10"/>
  <c r="M1007" i="10"/>
  <c r="M1008" i="10"/>
  <c r="M1009" i="10"/>
  <c r="M1010" i="10"/>
  <c r="AM75" i="2"/>
  <c r="CI75" i="2" s="1"/>
  <c r="Z42" i="2"/>
  <c r="AG42" i="2"/>
  <c r="BY42" i="2"/>
  <c r="BZ42" i="2"/>
  <c r="DC42" i="2" s="1"/>
  <c r="DE42" i="2" s="1"/>
  <c r="DL42" i="2" s="1"/>
  <c r="DN42" i="2" s="1"/>
  <c r="CA42" i="2"/>
  <c r="CB42" i="2"/>
  <c r="CC42" i="2"/>
  <c r="CF42" i="2"/>
  <c r="CG42" i="2"/>
  <c r="CH42" i="2"/>
  <c r="CN42" i="2"/>
  <c r="CR42" i="2"/>
  <c r="CS42" i="2"/>
  <c r="CU42" i="2"/>
  <c r="CZ42" i="2"/>
  <c r="DA42" i="2"/>
  <c r="AM103" i="2"/>
  <c r="CI103" i="2" s="1"/>
  <c r="AK71" i="2"/>
  <c r="AK46" i="2"/>
  <c r="CO46" i="2" s="1"/>
  <c r="Z43" i="2"/>
  <c r="AG43" i="2"/>
  <c r="BY43" i="2"/>
  <c r="BZ43" i="2"/>
  <c r="DC43" i="2" s="1"/>
  <c r="DE43" i="2" s="1"/>
  <c r="DL43" i="2" s="1"/>
  <c r="DN43" i="2" s="1"/>
  <c r="CA43" i="2"/>
  <c r="CB43" i="2"/>
  <c r="CC43" i="2"/>
  <c r="CF43" i="2"/>
  <c r="CG43" i="2"/>
  <c r="CH43" i="2"/>
  <c r="CI43" i="2"/>
  <c r="CJ43" i="2"/>
  <c r="CK43" i="2"/>
  <c r="CN43" i="2"/>
  <c r="CO43" i="2"/>
  <c r="CR43" i="2"/>
  <c r="CS43" i="2"/>
  <c r="CU43" i="2"/>
  <c r="CV43" i="2"/>
  <c r="CZ43" i="2"/>
  <c r="DA43" i="2"/>
  <c r="AM50" i="2"/>
  <c r="AK112" i="2"/>
  <c r="CJ112" i="2" s="1"/>
  <c r="M98" i="2"/>
  <c r="AK98" i="2" s="1"/>
  <c r="AM127" i="2"/>
  <c r="Z44" i="2"/>
  <c r="AG44" i="2"/>
  <c r="BY44" i="2"/>
  <c r="BZ44" i="2"/>
  <c r="DC44" i="2" s="1"/>
  <c r="DE44" i="2" s="1"/>
  <c r="DL44" i="2" s="1"/>
  <c r="DN44" i="2" s="1"/>
  <c r="CA44" i="2"/>
  <c r="CB44" i="2"/>
  <c r="CC44" i="2"/>
  <c r="CF44" i="2"/>
  <c r="CG44" i="2"/>
  <c r="CH44" i="2"/>
  <c r="CI44" i="2"/>
  <c r="CJ44" i="2"/>
  <c r="CK44" i="2"/>
  <c r="CN44" i="2"/>
  <c r="CO44" i="2"/>
  <c r="CR44" i="2"/>
  <c r="CS44" i="2"/>
  <c r="CU44" i="2"/>
  <c r="CV44" i="2"/>
  <c r="CZ44" i="2"/>
  <c r="DA44" i="2"/>
  <c r="AM124" i="2"/>
  <c r="CK124" i="2" s="1"/>
  <c r="AK124" i="2"/>
  <c r="AK62" i="2"/>
  <c r="CJ62" i="2" s="1"/>
  <c r="AK65" i="2"/>
  <c r="CI65" i="2" s="1"/>
  <c r="AK157" i="2"/>
  <c r="CI157" i="2" s="1"/>
  <c r="AK115" i="2"/>
  <c r="CO115" i="2" s="1"/>
  <c r="AK79" i="2"/>
  <c r="CS79" i="2" s="1"/>
  <c r="AK169" i="2"/>
  <c r="CS169" i="2" s="1"/>
  <c r="AM51" i="2"/>
  <c r="Z45" i="2"/>
  <c r="AG45" i="2"/>
  <c r="BY45" i="2"/>
  <c r="BZ45" i="2"/>
  <c r="DC45" i="2" s="1"/>
  <c r="DE45" i="2" s="1"/>
  <c r="DL45" i="2" s="1"/>
  <c r="DN45" i="2" s="1"/>
  <c r="CA45" i="2"/>
  <c r="CB45" i="2"/>
  <c r="CC45" i="2"/>
  <c r="CF45" i="2"/>
  <c r="CG45" i="2"/>
  <c r="CH45" i="2"/>
  <c r="CI45" i="2"/>
  <c r="CJ45" i="2"/>
  <c r="CK45" i="2"/>
  <c r="CN45" i="2"/>
  <c r="CO45" i="2"/>
  <c r="CR45" i="2"/>
  <c r="CS45" i="2"/>
  <c r="CU45" i="2"/>
  <c r="CV45" i="2"/>
  <c r="CZ45" i="2"/>
  <c r="DA45" i="2"/>
  <c r="Z46" i="2"/>
  <c r="AG46" i="2"/>
  <c r="BY46" i="2"/>
  <c r="BZ46" i="2"/>
  <c r="DC46" i="2" s="1"/>
  <c r="DE46" i="2" s="1"/>
  <c r="DL46" i="2" s="1"/>
  <c r="DN46" i="2" s="1"/>
  <c r="CA46" i="2"/>
  <c r="CB46" i="2"/>
  <c r="CC46" i="2"/>
  <c r="CF46" i="2"/>
  <c r="CG46" i="2"/>
  <c r="CH46" i="2"/>
  <c r="CK46" i="2"/>
  <c r="CN46" i="2"/>
  <c r="CR46" i="2"/>
  <c r="CU46" i="2"/>
  <c r="CV46" i="2"/>
  <c r="CZ46" i="2"/>
  <c r="DA46" i="2"/>
  <c r="Z47" i="2"/>
  <c r="AG47" i="2"/>
  <c r="BY47" i="2"/>
  <c r="BZ47" i="2"/>
  <c r="DC47" i="2" s="1"/>
  <c r="DE47" i="2" s="1"/>
  <c r="DL47" i="2" s="1"/>
  <c r="DN47" i="2" s="1"/>
  <c r="CA47" i="2"/>
  <c r="CB47" i="2"/>
  <c r="CC47" i="2"/>
  <c r="CF47" i="2"/>
  <c r="CG47" i="2"/>
  <c r="CH47" i="2"/>
  <c r="CI47" i="2"/>
  <c r="CJ47" i="2"/>
  <c r="CK47" i="2"/>
  <c r="CN47" i="2"/>
  <c r="CO47" i="2"/>
  <c r="CR47" i="2"/>
  <c r="CS47" i="2"/>
  <c r="CU47" i="2"/>
  <c r="CV47" i="2"/>
  <c r="CZ47" i="2"/>
  <c r="DA47" i="2"/>
  <c r="Z48" i="2"/>
  <c r="AG48" i="2"/>
  <c r="BY48" i="2"/>
  <c r="BZ48" i="2"/>
  <c r="DC48" i="2" s="1"/>
  <c r="DE48" i="2" s="1"/>
  <c r="DL48" i="2" s="1"/>
  <c r="DN48" i="2" s="1"/>
  <c r="CA48" i="2"/>
  <c r="CB48" i="2"/>
  <c r="CC48" i="2"/>
  <c r="CF48" i="2"/>
  <c r="CG48" i="2"/>
  <c r="CH48" i="2"/>
  <c r="CI48" i="2"/>
  <c r="CJ48" i="2"/>
  <c r="CK48" i="2"/>
  <c r="CN48" i="2"/>
  <c r="CO48" i="2"/>
  <c r="CR48" i="2"/>
  <c r="CS48" i="2"/>
  <c r="CU48" i="2"/>
  <c r="CV48" i="2"/>
  <c r="CZ48" i="2"/>
  <c r="DA48" i="2"/>
  <c r="Z49" i="2"/>
  <c r="AG49" i="2"/>
  <c r="BY49" i="2"/>
  <c r="BZ49" i="2"/>
  <c r="DC49" i="2" s="1"/>
  <c r="DE49" i="2" s="1"/>
  <c r="DL49" i="2" s="1"/>
  <c r="DN49" i="2" s="1"/>
  <c r="CA49" i="2"/>
  <c r="CB49" i="2"/>
  <c r="CC49" i="2"/>
  <c r="CF49" i="2"/>
  <c r="CG49" i="2"/>
  <c r="CH49" i="2"/>
  <c r="CN49" i="2"/>
  <c r="CR49" i="2"/>
  <c r="CU49" i="2"/>
  <c r="CZ49" i="2"/>
  <c r="DA49" i="2"/>
  <c r="AM83" i="2"/>
  <c r="CI83" i="2" s="1"/>
  <c r="AK200" i="2"/>
  <c r="AM118" i="2"/>
  <c r="CV118" i="2" s="1"/>
  <c r="AM160" i="2"/>
  <c r="CV160" i="2" s="1"/>
  <c r="AM97" i="2"/>
  <c r="AM84" i="2"/>
  <c r="CO84" i="2" s="1"/>
  <c r="AM188" i="2"/>
  <c r="CK188" i="2" s="1"/>
  <c r="AK186" i="2"/>
  <c r="CI186" i="2" s="1"/>
  <c r="BE169" i="2"/>
  <c r="AM79" i="2"/>
  <c r="AM61" i="2"/>
  <c r="CI61" i="2" s="1"/>
  <c r="AM68" i="2"/>
  <c r="CI68" i="2" s="1"/>
  <c r="Z50" i="2"/>
  <c r="AG50" i="2"/>
  <c r="BY50" i="2"/>
  <c r="BZ50" i="2"/>
  <c r="DC50" i="2" s="1"/>
  <c r="DE50" i="2" s="1"/>
  <c r="DL50" i="2" s="1"/>
  <c r="DN50" i="2" s="1"/>
  <c r="CA50" i="2"/>
  <c r="CB50" i="2"/>
  <c r="CC50" i="2"/>
  <c r="CF50" i="2"/>
  <c r="CG50" i="2"/>
  <c r="CH50" i="2"/>
  <c r="CJ50" i="2"/>
  <c r="CN50" i="2"/>
  <c r="CR50" i="2"/>
  <c r="CS50" i="2"/>
  <c r="CU50" i="2"/>
  <c r="CZ50" i="2"/>
  <c r="DA50" i="2"/>
  <c r="Z51" i="2"/>
  <c r="AG51" i="2"/>
  <c r="BY51" i="2"/>
  <c r="BZ51" i="2"/>
  <c r="DC51" i="2" s="1"/>
  <c r="DE51" i="2" s="1"/>
  <c r="DL51" i="2" s="1"/>
  <c r="DN51" i="2" s="1"/>
  <c r="CA51" i="2"/>
  <c r="CB51" i="2"/>
  <c r="CC51" i="2"/>
  <c r="CF51" i="2"/>
  <c r="CG51" i="2"/>
  <c r="CH51" i="2"/>
  <c r="CJ51" i="2"/>
  <c r="CN51" i="2"/>
  <c r="CR51" i="2"/>
  <c r="CS51" i="2"/>
  <c r="CU51" i="2"/>
  <c r="CZ51" i="2"/>
  <c r="DA51" i="2"/>
  <c r="Z52" i="2"/>
  <c r="AG52" i="2"/>
  <c r="BY52" i="2"/>
  <c r="BZ52" i="2"/>
  <c r="DC52" i="2" s="1"/>
  <c r="DE52" i="2" s="1"/>
  <c r="DL52" i="2" s="1"/>
  <c r="DN52" i="2" s="1"/>
  <c r="CA52" i="2"/>
  <c r="CB52" i="2"/>
  <c r="CC52" i="2"/>
  <c r="CF52" i="2"/>
  <c r="CG52" i="2"/>
  <c r="CH52" i="2"/>
  <c r="CI52" i="2"/>
  <c r="CJ52" i="2"/>
  <c r="CK52" i="2"/>
  <c r="CN52" i="2"/>
  <c r="CO52" i="2"/>
  <c r="CR52" i="2"/>
  <c r="CS52" i="2"/>
  <c r="CU52" i="2"/>
  <c r="CV52" i="2"/>
  <c r="CZ52" i="2"/>
  <c r="DA52" i="2"/>
  <c r="BU64" i="2"/>
  <c r="BA64" i="2"/>
  <c r="AT64" i="2"/>
  <c r="Z134" i="2"/>
  <c r="AG134" i="2"/>
  <c r="BY134" i="2"/>
  <c r="BZ134" i="2"/>
  <c r="DC134" i="2" s="1"/>
  <c r="DE134" i="2" s="1"/>
  <c r="DL134" i="2" s="1"/>
  <c r="DN134" i="2" s="1"/>
  <c r="CA134" i="2"/>
  <c r="CB134" i="2"/>
  <c r="CC134" i="2"/>
  <c r="CF134" i="2"/>
  <c r="CG134" i="2"/>
  <c r="CH134" i="2"/>
  <c r="CI134" i="2"/>
  <c r="CJ134" i="2"/>
  <c r="CK134" i="2"/>
  <c r="CN134" i="2"/>
  <c r="CO134" i="2"/>
  <c r="CR134" i="2"/>
  <c r="CS134" i="2"/>
  <c r="CU134" i="2"/>
  <c r="CV134" i="2"/>
  <c r="CZ134" i="2"/>
  <c r="DA134" i="2"/>
  <c r="I1035" i="10"/>
  <c r="H1035" i="10"/>
  <c r="I1032" i="10"/>
  <c r="I1038" i="10" s="1"/>
  <c r="H1032" i="10"/>
  <c r="H1024" i="10"/>
  <c r="H1020" i="10"/>
  <c r="H1027" i="10"/>
  <c r="H1026" i="10"/>
  <c r="H1025" i="10"/>
  <c r="H1023" i="10"/>
  <c r="H1022" i="10"/>
  <c r="H1021" i="10"/>
  <c r="H1019" i="10"/>
  <c r="H1018" i="10"/>
  <c r="H1017" i="10"/>
  <c r="J1017" i="10"/>
  <c r="D1017" i="10"/>
  <c r="F1031" i="10"/>
  <c r="Z148" i="2"/>
  <c r="AG148" i="2"/>
  <c r="BY148" i="2"/>
  <c r="BZ148" i="2"/>
  <c r="DC148" i="2" s="1"/>
  <c r="DE148" i="2" s="1"/>
  <c r="DL148" i="2" s="1"/>
  <c r="DN148" i="2" s="1"/>
  <c r="CA148" i="2"/>
  <c r="CB148" i="2"/>
  <c r="CC148" i="2"/>
  <c r="CF148" i="2"/>
  <c r="CG148" i="2"/>
  <c r="CH148" i="2"/>
  <c r="CI148" i="2"/>
  <c r="CJ148" i="2"/>
  <c r="CK148" i="2"/>
  <c r="CN148" i="2"/>
  <c r="CO148" i="2"/>
  <c r="CR148" i="2"/>
  <c r="CS148" i="2"/>
  <c r="CU148" i="2"/>
  <c r="CV148" i="2"/>
  <c r="CZ148" i="2"/>
  <c r="DA148" i="2"/>
  <c r="A357" i="10"/>
  <c r="A358" i="10"/>
  <c r="A359" i="10"/>
  <c r="A360" i="10"/>
  <c r="A363" i="10"/>
  <c r="A364" i="10"/>
  <c r="A365" i="10"/>
  <c r="A366" i="10"/>
  <c r="A367" i="10"/>
  <c r="A369" i="10"/>
  <c r="A371" i="10"/>
  <c r="A372" i="10"/>
  <c r="A373" i="10"/>
  <c r="A374" i="10"/>
  <c r="A375" i="10"/>
  <c r="A376" i="10"/>
  <c r="A377" i="10"/>
  <c r="A379" i="10"/>
  <c r="A380" i="10"/>
  <c r="A381" i="10"/>
  <c r="A382" i="10"/>
  <c r="A383" i="10"/>
  <c r="A384" i="10"/>
  <c r="A385" i="10"/>
  <c r="A390" i="10"/>
  <c r="A391" i="10"/>
  <c r="A392" i="10"/>
  <c r="A395" i="10"/>
  <c r="A396" i="10"/>
  <c r="A397" i="10"/>
  <c r="A398" i="10"/>
  <c r="A456" i="10"/>
  <c r="A457" i="10"/>
  <c r="A459" i="10"/>
  <c r="A460" i="10"/>
  <c r="A461" i="10"/>
  <c r="A462" i="10"/>
  <c r="A463" i="10"/>
  <c r="A464" i="10"/>
  <c r="A465" i="10"/>
  <c r="A467" i="10"/>
  <c r="A468" i="10"/>
  <c r="A469" i="10"/>
  <c r="A470" i="10"/>
  <c r="A471" i="10"/>
  <c r="A472" i="10"/>
  <c r="A473" i="10"/>
  <c r="A476" i="10"/>
  <c r="A477" i="10"/>
  <c r="A478" i="10"/>
  <c r="A479" i="10"/>
  <c r="A480" i="10"/>
  <c r="A484" i="10"/>
  <c r="A485" i="10"/>
  <c r="A486" i="10"/>
  <c r="A487" i="10"/>
  <c r="A488" i="10"/>
  <c r="A491" i="10"/>
  <c r="A492" i="10"/>
  <c r="A493" i="10"/>
  <c r="A494" i="10"/>
  <c r="A495" i="10"/>
  <c r="A496" i="10"/>
  <c r="A497" i="10"/>
  <c r="A499" i="10"/>
  <c r="A500" i="10"/>
  <c r="A501" i="10"/>
  <c r="A502" i="10"/>
  <c r="A503" i="10"/>
  <c r="A504" i="10"/>
  <c r="A505" i="10"/>
  <c r="A507" i="10"/>
  <c r="A508" i="10"/>
  <c r="A509" i="10"/>
  <c r="A510" i="10"/>
  <c r="A511" i="10"/>
  <c r="A512" i="10"/>
  <c r="A513" i="10"/>
  <c r="A454" i="10"/>
  <c r="A423" i="10"/>
  <c r="A424" i="10" s="1"/>
  <c r="A425" i="10" s="1"/>
  <c r="A435" i="10"/>
  <c r="A436" i="10"/>
  <c r="A437" i="10"/>
  <c r="A438" i="10"/>
  <c r="A439" i="10"/>
  <c r="A440" i="10"/>
  <c r="A441" i="10"/>
  <c r="A443" i="10"/>
  <c r="A444" i="10"/>
  <c r="A445" i="10"/>
  <c r="A446" i="10"/>
  <c r="A447" i="10"/>
  <c r="A448" i="10"/>
  <c r="A449" i="10"/>
  <c r="A451" i="10"/>
  <c r="A452" i="10"/>
  <c r="A453" i="10"/>
  <c r="A139" i="10"/>
  <c r="A140" i="10"/>
  <c r="A141" i="10"/>
  <c r="A142" i="10"/>
  <c r="A143" i="10"/>
  <c r="A144" i="10"/>
  <c r="A145" i="10"/>
  <c r="A146" i="10"/>
  <c r="A147" i="10"/>
  <c r="A148" i="10"/>
  <c r="A149" i="10"/>
  <c r="A150" i="10"/>
  <c r="A151" i="10"/>
  <c r="A152" i="10"/>
  <c r="A175" i="10"/>
  <c r="A176" i="10"/>
  <c r="A177" i="10"/>
  <c r="A180" i="10"/>
  <c r="A181" i="10"/>
  <c r="A182" i="10"/>
  <c r="A183" i="10"/>
  <c r="A184" i="10"/>
  <c r="A185" i="10"/>
  <c r="A27" i="10"/>
  <c r="A28" i="10"/>
  <c r="A29" i="10"/>
  <c r="A30" i="10"/>
  <c r="A31" i="10"/>
  <c r="A32" i="10"/>
  <c r="A33" i="10"/>
  <c r="A35" i="10"/>
  <c r="A36" i="10"/>
  <c r="A37" i="10"/>
  <c r="A38" i="10"/>
  <c r="A39" i="10"/>
  <c r="A40" i="10"/>
  <c r="A41"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9" i="10"/>
  <c r="A80" i="10"/>
  <c r="A81" i="10"/>
  <c r="A83" i="10"/>
  <c r="A84" i="10"/>
  <c r="A85" i="10"/>
  <c r="A86" i="10"/>
  <c r="A87" i="10"/>
  <c r="A88" i="10"/>
  <c r="A89" i="10"/>
  <c r="A92" i="10"/>
  <c r="A93" i="10"/>
  <c r="A94" i="10"/>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5" i="11"/>
  <c r="A76" i="11"/>
  <c r="A77" i="11"/>
  <c r="A78" i="11"/>
  <c r="A79" i="11"/>
  <c r="A80" i="11"/>
  <c r="A81" i="11"/>
  <c r="A82" i="11"/>
  <c r="A83" i="11"/>
  <c r="A84" i="11"/>
  <c r="A85" i="11"/>
  <c r="A86" i="11"/>
  <c r="A87" i="11"/>
  <c r="A88" i="11"/>
  <c r="A89" i="11"/>
  <c r="A90" i="11"/>
  <c r="A91" i="11"/>
  <c r="A92" i="11"/>
  <c r="A93" i="11"/>
  <c r="A94" i="11"/>
  <c r="A95" i="11"/>
  <c r="A96" i="11"/>
  <c r="Z83" i="2"/>
  <c r="AG83" i="2"/>
  <c r="BY83" i="2"/>
  <c r="BZ83" i="2"/>
  <c r="DC83" i="2" s="1"/>
  <c r="DE83" i="2" s="1"/>
  <c r="DL83" i="2" s="1"/>
  <c r="DN83" i="2" s="1"/>
  <c r="CA83" i="2"/>
  <c r="CB83" i="2"/>
  <c r="CC83" i="2"/>
  <c r="CF83" i="2"/>
  <c r="CG83" i="2"/>
  <c r="CH83" i="2"/>
  <c r="CJ83" i="2"/>
  <c r="CK83" i="2"/>
  <c r="CN83" i="2"/>
  <c r="CO83" i="2"/>
  <c r="CR83" i="2"/>
  <c r="CS83" i="2"/>
  <c r="CU83" i="2"/>
  <c r="CZ83" i="2"/>
  <c r="DA83" i="2"/>
  <c r="Z137" i="2"/>
  <c r="AG137" i="2"/>
  <c r="BY137" i="2"/>
  <c r="BZ137" i="2"/>
  <c r="DC137" i="2" s="1"/>
  <c r="DE137" i="2" s="1"/>
  <c r="DL137" i="2" s="1"/>
  <c r="DN137" i="2" s="1"/>
  <c r="CA137" i="2"/>
  <c r="CB137" i="2"/>
  <c r="CC137" i="2"/>
  <c r="CF137" i="2"/>
  <c r="CG137" i="2"/>
  <c r="CH137" i="2"/>
  <c r="CJ137" i="2"/>
  <c r="CN137" i="2"/>
  <c r="CR137" i="2"/>
  <c r="CS137" i="2"/>
  <c r="CU137" i="2"/>
  <c r="CZ137" i="2"/>
  <c r="DA137" i="2"/>
  <c r="Z102" i="2"/>
  <c r="AG102" i="2"/>
  <c r="BY102" i="2"/>
  <c r="BZ102" i="2"/>
  <c r="DC102" i="2" s="1"/>
  <c r="DE102" i="2" s="1"/>
  <c r="DL102" i="2" s="1"/>
  <c r="DN102" i="2" s="1"/>
  <c r="CA102" i="2"/>
  <c r="CB102" i="2"/>
  <c r="CC102" i="2"/>
  <c r="CF102" i="2"/>
  <c r="CG102" i="2"/>
  <c r="CH102" i="2"/>
  <c r="CI102" i="2"/>
  <c r="CJ102" i="2"/>
  <c r="CK102" i="2"/>
  <c r="CN102" i="2"/>
  <c r="CO102" i="2"/>
  <c r="CR102" i="2"/>
  <c r="CS102" i="2"/>
  <c r="CU102" i="2"/>
  <c r="CV102" i="2"/>
  <c r="CZ102" i="2"/>
  <c r="DA102" i="2"/>
  <c r="Z172" i="2"/>
  <c r="AG172" i="2"/>
  <c r="BY172" i="2"/>
  <c r="BZ172" i="2"/>
  <c r="DC172" i="2" s="1"/>
  <c r="DE172" i="2" s="1"/>
  <c r="DL172" i="2" s="1"/>
  <c r="DN172" i="2" s="1"/>
  <c r="CA172" i="2"/>
  <c r="CB172" i="2"/>
  <c r="CC172" i="2"/>
  <c r="CF172" i="2"/>
  <c r="CG172" i="2"/>
  <c r="CH172" i="2"/>
  <c r="CI172" i="2"/>
  <c r="CJ172" i="2"/>
  <c r="CK172" i="2"/>
  <c r="CN172" i="2"/>
  <c r="CO172" i="2"/>
  <c r="CR172" i="2"/>
  <c r="CS172" i="2"/>
  <c r="CU172" i="2"/>
  <c r="CV172" i="2"/>
  <c r="CZ172" i="2"/>
  <c r="DA172" i="2"/>
  <c r="AK163" i="2"/>
  <c r="CO163" i="2" s="1"/>
  <c r="Z188" i="2"/>
  <c r="AG188" i="2"/>
  <c r="BY188" i="2"/>
  <c r="BZ188" i="2"/>
  <c r="DC188" i="2" s="1"/>
  <c r="DE188" i="2" s="1"/>
  <c r="DL188" i="2" s="1"/>
  <c r="DN188" i="2" s="1"/>
  <c r="CA188" i="2"/>
  <c r="CB188" i="2"/>
  <c r="CC188" i="2"/>
  <c r="CF188" i="2"/>
  <c r="CG188" i="2"/>
  <c r="CH188" i="2"/>
  <c r="CJ188" i="2"/>
  <c r="CN188" i="2"/>
  <c r="CR188" i="2"/>
  <c r="CS188" i="2"/>
  <c r="CU188" i="2"/>
  <c r="CZ188" i="2"/>
  <c r="DA188" i="2"/>
  <c r="Z84" i="2"/>
  <c r="AG84" i="2"/>
  <c r="BY84" i="2"/>
  <c r="BZ84" i="2"/>
  <c r="DC84" i="2" s="1"/>
  <c r="DE84" i="2" s="1"/>
  <c r="DL84" i="2" s="1"/>
  <c r="DN84" i="2" s="1"/>
  <c r="CA84" i="2"/>
  <c r="CB84" i="2"/>
  <c r="CC84" i="2"/>
  <c r="CF84" i="2"/>
  <c r="CG84" i="2"/>
  <c r="CH84" i="2"/>
  <c r="CJ84" i="2"/>
  <c r="CN84" i="2"/>
  <c r="CR84" i="2"/>
  <c r="CS84" i="2"/>
  <c r="CU84" i="2"/>
  <c r="CZ84" i="2"/>
  <c r="DA84" i="2"/>
  <c r="AM100" i="2"/>
  <c r="CO100" i="2" s="1"/>
  <c r="Z154" i="2"/>
  <c r="BY154" i="2"/>
  <c r="BZ154" i="2"/>
  <c r="DC154" i="2" s="1"/>
  <c r="DE154" i="2" s="1"/>
  <c r="DL154" i="2" s="1"/>
  <c r="DN154" i="2" s="1"/>
  <c r="CA154" i="2"/>
  <c r="CB154" i="2"/>
  <c r="CC154" i="2"/>
  <c r="CF154" i="2"/>
  <c r="CG154" i="2"/>
  <c r="CH154" i="2"/>
  <c r="CI154" i="2"/>
  <c r="CJ154" i="2"/>
  <c r="CK154" i="2"/>
  <c r="CN154" i="2"/>
  <c r="CO154" i="2"/>
  <c r="CR154" i="2"/>
  <c r="CS154" i="2"/>
  <c r="CU154" i="2"/>
  <c r="CV154" i="2"/>
  <c r="CZ154" i="2"/>
  <c r="DA154" i="2"/>
  <c r="Z201" i="2"/>
  <c r="BY201" i="2"/>
  <c r="BZ201" i="2"/>
  <c r="DC201" i="2" s="1"/>
  <c r="DE201" i="2" s="1"/>
  <c r="DL201" i="2" s="1"/>
  <c r="DN201" i="2" s="1"/>
  <c r="CA201" i="2"/>
  <c r="CB201" i="2"/>
  <c r="CC201" i="2"/>
  <c r="CF201" i="2"/>
  <c r="CG201" i="2"/>
  <c r="CH201" i="2"/>
  <c r="CI201" i="2"/>
  <c r="CJ201" i="2"/>
  <c r="CK201" i="2"/>
  <c r="CN201" i="2"/>
  <c r="CO201" i="2"/>
  <c r="CR201" i="2"/>
  <c r="CS201" i="2"/>
  <c r="CU201" i="2"/>
  <c r="CV201" i="2"/>
  <c r="CZ201" i="2"/>
  <c r="DA201" i="2"/>
  <c r="DA121" i="2"/>
  <c r="CZ121" i="2"/>
  <c r="CU121" i="2"/>
  <c r="CS121" i="2"/>
  <c r="CR121" i="2"/>
  <c r="CO121" i="2"/>
  <c r="CN121" i="2"/>
  <c r="CK121" i="2"/>
  <c r="CJ121" i="2"/>
  <c r="CI121" i="2"/>
  <c r="CH121" i="2"/>
  <c r="CG121" i="2"/>
  <c r="CF121" i="2"/>
  <c r="CC121" i="2"/>
  <c r="CB121" i="2"/>
  <c r="CA121" i="2"/>
  <c r="BZ121" i="2"/>
  <c r="DC121" i="2" s="1"/>
  <c r="DE121" i="2" s="1"/>
  <c r="DL121" i="2" s="1"/>
  <c r="DN121" i="2" s="1"/>
  <c r="BY121" i="2"/>
  <c r="CV121" i="2"/>
  <c r="Z121" i="2"/>
  <c r="BE96" i="2"/>
  <c r="AN96" i="2"/>
  <c r="AM96" i="2"/>
  <c r="CV96" i="2" s="1"/>
  <c r="AK96" i="2"/>
  <c r="CJ96" i="2" s="1"/>
  <c r="AM104" i="2"/>
  <c r="CO104" i="2" s="1"/>
  <c r="CB127" i="2"/>
  <c r="Z127" i="2"/>
  <c r="AG127" i="2"/>
  <c r="CA127" i="2"/>
  <c r="CC127" i="2"/>
  <c r="CF127" i="2"/>
  <c r="CG127" i="2"/>
  <c r="CI127" i="2"/>
  <c r="CJ127" i="2"/>
  <c r="CK127" i="2"/>
  <c r="CN127" i="2"/>
  <c r="CO127" i="2"/>
  <c r="CR127" i="2"/>
  <c r="CS127" i="2"/>
  <c r="CU127" i="2"/>
  <c r="CZ127" i="2"/>
  <c r="DA127" i="2"/>
  <c r="Z69" i="2"/>
  <c r="AG69" i="2"/>
  <c r="BY69" i="2"/>
  <c r="BZ69" i="2"/>
  <c r="DC69" i="2" s="1"/>
  <c r="DE69" i="2" s="1"/>
  <c r="DL69" i="2" s="1"/>
  <c r="DN69" i="2" s="1"/>
  <c r="CA69" i="2"/>
  <c r="CB69" i="2"/>
  <c r="CC69" i="2"/>
  <c r="CF69" i="2"/>
  <c r="CG69" i="2"/>
  <c r="CH69" i="2"/>
  <c r="CI69" i="2"/>
  <c r="CJ69" i="2"/>
  <c r="CK69" i="2"/>
  <c r="CN69" i="2"/>
  <c r="CO69" i="2"/>
  <c r="CR69" i="2"/>
  <c r="CS69" i="2"/>
  <c r="CU69" i="2"/>
  <c r="CV69" i="2"/>
  <c r="CZ69" i="2"/>
  <c r="DA69" i="2"/>
  <c r="BY127" i="2"/>
  <c r="BZ127" i="2"/>
  <c r="DC127" i="2" s="1"/>
  <c r="DE127" i="2" s="1"/>
  <c r="DL127" i="2" s="1"/>
  <c r="DN127" i="2" s="1"/>
  <c r="CV127" i="2"/>
  <c r="CH127" i="2"/>
  <c r="Z163" i="2"/>
  <c r="AG163" i="2"/>
  <c r="BY163" i="2"/>
  <c r="BZ163" i="2"/>
  <c r="DC163" i="2" s="1"/>
  <c r="DE163" i="2" s="1"/>
  <c r="DL163" i="2" s="1"/>
  <c r="DN163" i="2" s="1"/>
  <c r="CA163" i="2"/>
  <c r="CB163" i="2"/>
  <c r="CC163" i="2"/>
  <c r="CF163" i="2"/>
  <c r="CG163" i="2"/>
  <c r="CH163" i="2"/>
  <c r="CK163" i="2"/>
  <c r="CN163" i="2"/>
  <c r="CR163" i="2"/>
  <c r="CU163" i="2"/>
  <c r="CV163" i="2"/>
  <c r="CZ163" i="2"/>
  <c r="DA163" i="2"/>
  <c r="Z171" i="2"/>
  <c r="AG171" i="2"/>
  <c r="BY171" i="2"/>
  <c r="BZ171" i="2"/>
  <c r="DC171" i="2" s="1"/>
  <c r="DE171" i="2" s="1"/>
  <c r="DL171" i="2" s="1"/>
  <c r="DN171" i="2" s="1"/>
  <c r="CA171" i="2"/>
  <c r="CB171" i="2"/>
  <c r="CC171" i="2"/>
  <c r="CF171" i="2"/>
  <c r="CG171" i="2"/>
  <c r="CH171" i="2"/>
  <c r="CI171" i="2"/>
  <c r="CJ171" i="2"/>
  <c r="CK171" i="2"/>
  <c r="CN171" i="2"/>
  <c r="CO171" i="2"/>
  <c r="CR171" i="2"/>
  <c r="CS171" i="2"/>
  <c r="CU171" i="2"/>
  <c r="CV171" i="2"/>
  <c r="CZ171" i="2"/>
  <c r="DA171" i="2"/>
  <c r="Z75" i="2"/>
  <c r="BY75" i="2"/>
  <c r="BZ75" i="2"/>
  <c r="DC75" i="2" s="1"/>
  <c r="DE75" i="2" s="1"/>
  <c r="DN75" i="2"/>
  <c r="CA75" i="2"/>
  <c r="CB75" i="2"/>
  <c r="CC75" i="2"/>
  <c r="CF75" i="2"/>
  <c r="CG75" i="2"/>
  <c r="CH75" i="2"/>
  <c r="CJ75" i="2"/>
  <c r="CN75" i="2"/>
  <c r="CR75" i="2"/>
  <c r="CS75" i="2"/>
  <c r="CU75" i="2"/>
  <c r="CZ75" i="2"/>
  <c r="DA75" i="2"/>
  <c r="Z54" i="2"/>
  <c r="AG54" i="2"/>
  <c r="BY54" i="2"/>
  <c r="BZ54" i="2"/>
  <c r="DC54" i="2" s="1"/>
  <c r="DE54" i="2" s="1"/>
  <c r="DL54" i="2" s="1"/>
  <c r="DN54" i="2" s="1"/>
  <c r="CA54" i="2"/>
  <c r="CB54" i="2"/>
  <c r="CC54" i="2"/>
  <c r="CF54" i="2"/>
  <c r="CG54" i="2"/>
  <c r="CH54" i="2"/>
  <c r="CI54" i="2"/>
  <c r="CJ54" i="2"/>
  <c r="CK54" i="2"/>
  <c r="CN54" i="2"/>
  <c r="CO54" i="2"/>
  <c r="CR54" i="2"/>
  <c r="CS54" i="2"/>
  <c r="CU54" i="2"/>
  <c r="CV54" i="2"/>
  <c r="CZ54" i="2"/>
  <c r="DA54" i="2"/>
  <c r="Z118" i="2"/>
  <c r="AG118" i="2"/>
  <c r="BY118" i="2"/>
  <c r="BZ118" i="2"/>
  <c r="DC118" i="2" s="1"/>
  <c r="DE118" i="2" s="1"/>
  <c r="DL118" i="2" s="1"/>
  <c r="DN118" i="2" s="1"/>
  <c r="CA118" i="2"/>
  <c r="CB118" i="2"/>
  <c r="CC118" i="2"/>
  <c r="CF118" i="2"/>
  <c r="CG118" i="2"/>
  <c r="CH118" i="2"/>
  <c r="CJ118" i="2"/>
  <c r="CN118" i="2"/>
  <c r="CR118" i="2"/>
  <c r="CS118" i="2"/>
  <c r="CU118" i="2"/>
  <c r="CZ118" i="2"/>
  <c r="DA118" i="2"/>
  <c r="Z97" i="2"/>
  <c r="AG97" i="2"/>
  <c r="BY97" i="2"/>
  <c r="BZ97" i="2"/>
  <c r="DC97" i="2" s="1"/>
  <c r="DE97" i="2" s="1"/>
  <c r="DL97" i="2" s="1"/>
  <c r="DN97" i="2" s="1"/>
  <c r="CA97" i="2"/>
  <c r="CB97" i="2"/>
  <c r="CC97" i="2"/>
  <c r="CF97" i="2"/>
  <c r="CG97" i="2"/>
  <c r="CH97" i="2"/>
  <c r="CJ97" i="2"/>
  <c r="CN97" i="2"/>
  <c r="CR97" i="2"/>
  <c r="CS97" i="2"/>
  <c r="CU97" i="2"/>
  <c r="CZ97" i="2"/>
  <c r="DA97" i="2"/>
  <c r="AK146" i="2"/>
  <c r="CO146" i="2" s="1"/>
  <c r="Z64" i="2"/>
  <c r="AG64" i="2"/>
  <c r="BY64" i="2"/>
  <c r="BZ64" i="2"/>
  <c r="DC64" i="2" s="1"/>
  <c r="DE64" i="2" s="1"/>
  <c r="DL64" i="2" s="1"/>
  <c r="DN64" i="2" s="1"/>
  <c r="CA64" i="2"/>
  <c r="CB64" i="2"/>
  <c r="CC64" i="2"/>
  <c r="CF64" i="2"/>
  <c r="CG64" i="2"/>
  <c r="CH64" i="2"/>
  <c r="CJ64" i="2"/>
  <c r="CN64" i="2"/>
  <c r="CR64" i="2"/>
  <c r="CS64" i="2"/>
  <c r="CU64" i="2"/>
  <c r="DA64" i="2"/>
  <c r="Z146" i="2"/>
  <c r="AG146" i="2"/>
  <c r="BY146" i="2"/>
  <c r="BZ146" i="2"/>
  <c r="DC146" i="2" s="1"/>
  <c r="DE146" i="2" s="1"/>
  <c r="DL146" i="2" s="1"/>
  <c r="DN146" i="2" s="1"/>
  <c r="CA146" i="2"/>
  <c r="CB146" i="2"/>
  <c r="CC146" i="2"/>
  <c r="CF146" i="2"/>
  <c r="CG146" i="2"/>
  <c r="CH146" i="2"/>
  <c r="CK146" i="2"/>
  <c r="CN146" i="2"/>
  <c r="CR146" i="2"/>
  <c r="CU146" i="2"/>
  <c r="CV146" i="2"/>
  <c r="CZ146" i="2"/>
  <c r="DA146" i="2"/>
  <c r="Z200" i="2"/>
  <c r="AG200" i="2"/>
  <c r="BY200" i="2"/>
  <c r="BZ200" i="2"/>
  <c r="DC200" i="2" s="1"/>
  <c r="DE200" i="2" s="1"/>
  <c r="DL200" i="2" s="1"/>
  <c r="DN200" i="2" s="1"/>
  <c r="CA200" i="2"/>
  <c r="CB200" i="2"/>
  <c r="CC200" i="2"/>
  <c r="CF200" i="2"/>
  <c r="CG200" i="2"/>
  <c r="CH200" i="2"/>
  <c r="CK200" i="2"/>
  <c r="CN200" i="2"/>
  <c r="CR200" i="2"/>
  <c r="CU200" i="2"/>
  <c r="CV200" i="2"/>
  <c r="CZ200" i="2"/>
  <c r="DA200" i="2"/>
  <c r="Z105" i="2"/>
  <c r="AG105" i="2"/>
  <c r="BY105" i="2"/>
  <c r="BZ105" i="2"/>
  <c r="DC105" i="2" s="1"/>
  <c r="DE105" i="2" s="1"/>
  <c r="DL105" i="2" s="1"/>
  <c r="DN105" i="2" s="1"/>
  <c r="CA105" i="2"/>
  <c r="CB105" i="2"/>
  <c r="CC105" i="2"/>
  <c r="CF105" i="2"/>
  <c r="CG105" i="2"/>
  <c r="CH105" i="2"/>
  <c r="CI105" i="2"/>
  <c r="CJ105" i="2"/>
  <c r="CK105" i="2"/>
  <c r="CN105" i="2"/>
  <c r="CO105" i="2"/>
  <c r="CR105" i="2"/>
  <c r="CS105" i="2"/>
  <c r="CU105" i="2"/>
  <c r="CV105" i="2"/>
  <c r="CZ105" i="2"/>
  <c r="DA105" i="2"/>
  <c r="BY194" i="2"/>
  <c r="Z194" i="2"/>
  <c r="AG194" i="2"/>
  <c r="CB194" i="2"/>
  <c r="CC194" i="2"/>
  <c r="CF194" i="2"/>
  <c r="CG194" i="2"/>
  <c r="CH194" i="2"/>
  <c r="CN194" i="2"/>
  <c r="CR194" i="2"/>
  <c r="CU194" i="2"/>
  <c r="CZ194" i="2"/>
  <c r="DA194" i="2"/>
  <c r="Z96" i="2"/>
  <c r="AG96" i="2"/>
  <c r="BY96" i="2"/>
  <c r="BZ96" i="2"/>
  <c r="DC96" i="2" s="1"/>
  <c r="DE96" i="2" s="1"/>
  <c r="DL96" i="2" s="1"/>
  <c r="DN96" i="2" s="1"/>
  <c r="CA96" i="2"/>
  <c r="CB96" i="2"/>
  <c r="CC96" i="2"/>
  <c r="CF96" i="2"/>
  <c r="CG96" i="2"/>
  <c r="CH96" i="2"/>
  <c r="CN96" i="2"/>
  <c r="CR96" i="2"/>
  <c r="CS96" i="2"/>
  <c r="CU96" i="2"/>
  <c r="CZ96" i="2"/>
  <c r="DA96" i="2"/>
  <c r="CA194" i="2"/>
  <c r="CQ194" i="2" s="1"/>
  <c r="BZ194" i="2"/>
  <c r="DC194" i="2" s="1"/>
  <c r="DE194" i="2" s="1"/>
  <c r="DL194" i="2" s="1"/>
  <c r="DN194" i="2" s="1"/>
  <c r="DA103" i="2"/>
  <c r="CZ103" i="2"/>
  <c r="CU103" i="2"/>
  <c r="CS103" i="2"/>
  <c r="CR103" i="2"/>
  <c r="CN103" i="2"/>
  <c r="CJ103" i="2"/>
  <c r="CH103" i="2"/>
  <c r="CG103" i="2"/>
  <c r="CC103" i="2"/>
  <c r="CB103" i="2"/>
  <c r="CA103" i="2"/>
  <c r="BZ103" i="2"/>
  <c r="DC103" i="2" s="1"/>
  <c r="DE103" i="2" s="1"/>
  <c r="DL103" i="2" s="1"/>
  <c r="DN103" i="2" s="1"/>
  <c r="BY103" i="2"/>
  <c r="AG103" i="2"/>
  <c r="Z103" i="2"/>
  <c r="Z99" i="2"/>
  <c r="AG99" i="2"/>
  <c r="BY99" i="2"/>
  <c r="BZ99" i="2"/>
  <c r="DC99" i="2" s="1"/>
  <c r="DE99" i="2" s="1"/>
  <c r="DL99" i="2" s="1"/>
  <c r="DN99" i="2" s="1"/>
  <c r="CA99" i="2"/>
  <c r="CB99" i="2"/>
  <c r="CC99" i="2"/>
  <c r="CF99" i="2"/>
  <c r="CG99" i="2"/>
  <c r="CH99" i="2"/>
  <c r="CI99" i="2"/>
  <c r="CJ99" i="2"/>
  <c r="CK99" i="2"/>
  <c r="CN99" i="2"/>
  <c r="CO99" i="2"/>
  <c r="CR99" i="2"/>
  <c r="CS99" i="2"/>
  <c r="CU99" i="2"/>
  <c r="CV99" i="2"/>
  <c r="CZ99" i="2"/>
  <c r="DA99" i="2"/>
  <c r="A123" i="11"/>
  <c r="A122" i="11"/>
  <c r="A121" i="11"/>
  <c r="A158" i="10"/>
  <c r="A157" i="10"/>
  <c r="A156" i="10"/>
  <c r="A155" i="10"/>
  <c r="A153" i="10"/>
  <c r="A111" i="10"/>
  <c r="A112" i="10" s="1"/>
  <c r="A113" i="10" s="1"/>
  <c r="A114" i="10" s="1"/>
  <c r="J1027" i="10"/>
  <c r="J1026" i="10"/>
  <c r="J1025" i="10"/>
  <c r="F1027" i="10"/>
  <c r="F1026" i="10"/>
  <c r="F1025" i="10"/>
  <c r="D1027" i="10"/>
  <c r="D1026" i="10"/>
  <c r="D1025" i="10"/>
  <c r="J1023" i="10"/>
  <c r="J1022" i="10"/>
  <c r="J1021" i="10"/>
  <c r="F1023" i="10"/>
  <c r="F1022" i="10"/>
  <c r="F1021" i="10"/>
  <c r="D1023" i="10"/>
  <c r="D1022" i="10"/>
  <c r="D1021" i="10"/>
  <c r="J1019" i="10"/>
  <c r="J1018" i="10"/>
  <c r="F1019" i="10"/>
  <c r="F1018" i="10"/>
  <c r="F1017" i="10"/>
  <c r="D1019" i="10"/>
  <c r="D1018" i="10"/>
  <c r="DM182" i="2"/>
  <c r="Z94" i="2"/>
  <c r="BY94" i="2"/>
  <c r="BZ94" i="2"/>
  <c r="DC94" i="2" s="1"/>
  <c r="DE94" i="2" s="1"/>
  <c r="DL94" i="2" s="1"/>
  <c r="DN94" i="2" s="1"/>
  <c r="CA94" i="2"/>
  <c r="CB94" i="2"/>
  <c r="CC94" i="2"/>
  <c r="CF94" i="2"/>
  <c r="CG94" i="2"/>
  <c r="CH94" i="2"/>
  <c r="CI94" i="2"/>
  <c r="CJ94" i="2"/>
  <c r="CK94" i="2"/>
  <c r="CN94" i="2"/>
  <c r="CO94" i="2"/>
  <c r="CR94" i="2"/>
  <c r="CS94" i="2"/>
  <c r="CU94" i="2"/>
  <c r="CV94" i="2"/>
  <c r="CZ94" i="2"/>
  <c r="DA94" i="2"/>
  <c r="Z197" i="2"/>
  <c r="AG197" i="2"/>
  <c r="BY197" i="2"/>
  <c r="BZ197" i="2"/>
  <c r="DC197" i="2" s="1"/>
  <c r="DE197" i="2" s="1"/>
  <c r="DL197" i="2" s="1"/>
  <c r="DN197" i="2" s="1"/>
  <c r="CA197" i="2"/>
  <c r="CB197" i="2"/>
  <c r="CC197" i="2"/>
  <c r="CF197" i="2"/>
  <c r="CG197" i="2"/>
  <c r="CH197" i="2"/>
  <c r="CI197" i="2"/>
  <c r="CJ197" i="2"/>
  <c r="CK197" i="2"/>
  <c r="CN197" i="2"/>
  <c r="CO197" i="2"/>
  <c r="CR197" i="2"/>
  <c r="CS197" i="2"/>
  <c r="CU197" i="2"/>
  <c r="CV197" i="2"/>
  <c r="CZ197" i="2"/>
  <c r="DA197" i="2"/>
  <c r="Z180" i="2"/>
  <c r="AG180" i="2"/>
  <c r="BY180" i="2"/>
  <c r="BZ180" i="2"/>
  <c r="DC180" i="2" s="1"/>
  <c r="DE180" i="2" s="1"/>
  <c r="DL180" i="2" s="1"/>
  <c r="DN180" i="2" s="1"/>
  <c r="CA180" i="2"/>
  <c r="CB180" i="2"/>
  <c r="CC180" i="2"/>
  <c r="CF180" i="2"/>
  <c r="CG180" i="2"/>
  <c r="CH180" i="2"/>
  <c r="CI180" i="2"/>
  <c r="CJ180" i="2"/>
  <c r="CK180" i="2"/>
  <c r="CN180" i="2"/>
  <c r="CO180" i="2"/>
  <c r="CR180" i="2"/>
  <c r="CS180" i="2"/>
  <c r="CU180" i="2"/>
  <c r="CV180" i="2"/>
  <c r="CZ180" i="2"/>
  <c r="DA180" i="2"/>
  <c r="Z100" i="2"/>
  <c r="AG100" i="2"/>
  <c r="BY100" i="2"/>
  <c r="BZ100" i="2"/>
  <c r="DC100" i="2" s="1"/>
  <c r="DE100" i="2" s="1"/>
  <c r="DL100" i="2" s="1"/>
  <c r="DN100" i="2" s="1"/>
  <c r="CA100" i="2"/>
  <c r="CB100" i="2"/>
  <c r="CC100" i="2"/>
  <c r="CF100" i="2"/>
  <c r="CG100" i="2"/>
  <c r="CH100" i="2"/>
  <c r="CI100" i="2"/>
  <c r="CJ100" i="2"/>
  <c r="CK100" i="2"/>
  <c r="CN100" i="2"/>
  <c r="CR100" i="2"/>
  <c r="CS100" i="2"/>
  <c r="CU100" i="2"/>
  <c r="CV100" i="2"/>
  <c r="CZ100" i="2"/>
  <c r="DA100" i="2"/>
  <c r="Z147" i="2"/>
  <c r="AG147" i="2"/>
  <c r="BY147" i="2"/>
  <c r="BZ147" i="2"/>
  <c r="DC147" i="2" s="1"/>
  <c r="DE147" i="2" s="1"/>
  <c r="DL147" i="2" s="1"/>
  <c r="DN147" i="2" s="1"/>
  <c r="CA147" i="2"/>
  <c r="CB147" i="2"/>
  <c r="CC147" i="2"/>
  <c r="CF147" i="2"/>
  <c r="CG147" i="2"/>
  <c r="CH147" i="2"/>
  <c r="CI147" i="2"/>
  <c r="CJ147" i="2"/>
  <c r="CK147" i="2"/>
  <c r="CN147" i="2"/>
  <c r="CO147" i="2"/>
  <c r="CR147" i="2"/>
  <c r="CS147" i="2"/>
  <c r="CU147" i="2"/>
  <c r="CV147" i="2"/>
  <c r="CZ147" i="2"/>
  <c r="DA147" i="2"/>
  <c r="Z109" i="2"/>
  <c r="AG109" i="2"/>
  <c r="BY109" i="2"/>
  <c r="BZ109" i="2"/>
  <c r="DC109" i="2" s="1"/>
  <c r="DE109" i="2" s="1"/>
  <c r="DL109" i="2" s="1"/>
  <c r="DN109" i="2" s="1"/>
  <c r="CA109" i="2"/>
  <c r="CB109" i="2"/>
  <c r="CC109" i="2"/>
  <c r="CF109" i="2"/>
  <c r="CG109" i="2"/>
  <c r="CH109" i="2"/>
  <c r="CI109" i="2"/>
  <c r="CJ109" i="2"/>
  <c r="CK109" i="2"/>
  <c r="CN109" i="2"/>
  <c r="CO109" i="2"/>
  <c r="CR109" i="2"/>
  <c r="CS109" i="2"/>
  <c r="CU109" i="2"/>
  <c r="CV109" i="2"/>
  <c r="CZ109" i="2"/>
  <c r="DA109" i="2"/>
  <c r="Z108" i="2"/>
  <c r="AG108" i="2"/>
  <c r="BY108" i="2"/>
  <c r="BZ108" i="2"/>
  <c r="DC108" i="2" s="1"/>
  <c r="DE108" i="2" s="1"/>
  <c r="DL108" i="2" s="1"/>
  <c r="DN108" i="2" s="1"/>
  <c r="CA108" i="2"/>
  <c r="CB108" i="2"/>
  <c r="CC108" i="2"/>
  <c r="CF108" i="2"/>
  <c r="CG108" i="2"/>
  <c r="CH108" i="2"/>
  <c r="CI108" i="2"/>
  <c r="CJ108" i="2"/>
  <c r="CK108" i="2"/>
  <c r="CN108" i="2"/>
  <c r="CO108" i="2"/>
  <c r="CR108" i="2"/>
  <c r="CS108" i="2"/>
  <c r="CU108" i="2"/>
  <c r="CV108" i="2"/>
  <c r="CZ108" i="2"/>
  <c r="DA108" i="2"/>
  <c r="Z76" i="2"/>
  <c r="BY76" i="2"/>
  <c r="BZ76" i="2"/>
  <c r="DC76" i="2" s="1"/>
  <c r="DE76" i="2" s="1"/>
  <c r="DL76" i="2" s="1"/>
  <c r="DN76" i="2" s="1"/>
  <c r="CA76" i="2"/>
  <c r="CB76" i="2"/>
  <c r="CC76" i="2"/>
  <c r="CF76" i="2"/>
  <c r="CG76" i="2"/>
  <c r="CH76" i="2"/>
  <c r="CI76" i="2"/>
  <c r="CJ76" i="2"/>
  <c r="CK76" i="2"/>
  <c r="CN76" i="2"/>
  <c r="CO76" i="2"/>
  <c r="CR76" i="2"/>
  <c r="CS76" i="2"/>
  <c r="CU76" i="2"/>
  <c r="CV76" i="2"/>
  <c r="CZ76" i="2"/>
  <c r="DA76" i="2"/>
  <c r="Z115" i="2"/>
  <c r="AG115" i="2"/>
  <c r="BY115" i="2"/>
  <c r="BZ115" i="2"/>
  <c r="DC115" i="2" s="1"/>
  <c r="DE115" i="2" s="1"/>
  <c r="DL115" i="2" s="1"/>
  <c r="DN115" i="2" s="1"/>
  <c r="CA115" i="2"/>
  <c r="CB115" i="2"/>
  <c r="CC115" i="2"/>
  <c r="CF115" i="2"/>
  <c r="CG115" i="2"/>
  <c r="CH115" i="2"/>
  <c r="CK115" i="2"/>
  <c r="CN115" i="2"/>
  <c r="CR115" i="2"/>
  <c r="CU115" i="2"/>
  <c r="CV115" i="2"/>
  <c r="CZ115" i="2"/>
  <c r="DA115" i="2"/>
  <c r="CF186" i="2"/>
  <c r="Z174" i="2"/>
  <c r="AG174" i="2"/>
  <c r="BY174" i="2"/>
  <c r="BZ174" i="2"/>
  <c r="DC174" i="2" s="1"/>
  <c r="DE174" i="2" s="1"/>
  <c r="DL174" i="2" s="1"/>
  <c r="DN174" i="2" s="1"/>
  <c r="CA174" i="2"/>
  <c r="CB174" i="2"/>
  <c r="CC174" i="2"/>
  <c r="CF174" i="2"/>
  <c r="CG174" i="2"/>
  <c r="CH174" i="2"/>
  <c r="CI174" i="2"/>
  <c r="CJ174" i="2"/>
  <c r="CK174" i="2"/>
  <c r="CN174" i="2"/>
  <c r="CO174" i="2"/>
  <c r="CR174" i="2"/>
  <c r="CS174" i="2"/>
  <c r="CU174" i="2"/>
  <c r="CV174" i="2"/>
  <c r="CZ174" i="2"/>
  <c r="DA174" i="2"/>
  <c r="Z143" i="2"/>
  <c r="AG143" i="2"/>
  <c r="BY143" i="2"/>
  <c r="BZ143" i="2"/>
  <c r="DC143" i="2" s="1"/>
  <c r="DE143" i="2" s="1"/>
  <c r="DL143" i="2" s="1"/>
  <c r="DN143" i="2" s="1"/>
  <c r="CA143" i="2"/>
  <c r="CB143" i="2"/>
  <c r="CC143" i="2"/>
  <c r="CF143" i="2"/>
  <c r="CG143" i="2"/>
  <c r="CH143" i="2"/>
  <c r="CI143" i="2"/>
  <c r="CJ143" i="2"/>
  <c r="CK143" i="2"/>
  <c r="CN143" i="2"/>
  <c r="CO143" i="2"/>
  <c r="CR143" i="2"/>
  <c r="CS143" i="2"/>
  <c r="CU143" i="2"/>
  <c r="CV143" i="2"/>
  <c r="CZ143" i="2"/>
  <c r="DA143" i="2"/>
  <c r="Z177" i="2"/>
  <c r="AG177" i="2"/>
  <c r="BY177" i="2"/>
  <c r="BZ177" i="2"/>
  <c r="DC177" i="2" s="1"/>
  <c r="DE177" i="2" s="1"/>
  <c r="DL177" i="2" s="1"/>
  <c r="DN177" i="2" s="1"/>
  <c r="CA177" i="2"/>
  <c r="CB177" i="2"/>
  <c r="CC177" i="2"/>
  <c r="CF177" i="2"/>
  <c r="CG177" i="2"/>
  <c r="CH177" i="2"/>
  <c r="CI177" i="2"/>
  <c r="CJ177" i="2"/>
  <c r="CK177" i="2"/>
  <c r="CN177" i="2"/>
  <c r="CO177" i="2"/>
  <c r="CR177" i="2"/>
  <c r="CS177" i="2"/>
  <c r="CU177" i="2"/>
  <c r="CV177" i="2"/>
  <c r="CZ177" i="2"/>
  <c r="DA177" i="2"/>
  <c r="Z160" i="2"/>
  <c r="AG160" i="2"/>
  <c r="BY160" i="2"/>
  <c r="BZ160" i="2"/>
  <c r="DC160" i="2" s="1"/>
  <c r="DE160" i="2" s="1"/>
  <c r="DL160" i="2" s="1"/>
  <c r="DN160" i="2" s="1"/>
  <c r="CA160" i="2"/>
  <c r="CB160" i="2"/>
  <c r="CC160" i="2"/>
  <c r="CF160" i="2"/>
  <c r="CG160" i="2"/>
  <c r="CH160" i="2"/>
  <c r="CN160" i="2"/>
  <c r="CR160" i="2"/>
  <c r="CU160" i="2"/>
  <c r="CZ160" i="2"/>
  <c r="DA160" i="2"/>
  <c r="Z178" i="2"/>
  <c r="AG178" i="2"/>
  <c r="BY178" i="2"/>
  <c r="BZ178" i="2"/>
  <c r="DC178" i="2" s="1"/>
  <c r="DE178" i="2" s="1"/>
  <c r="DL178" i="2" s="1"/>
  <c r="DN178" i="2" s="1"/>
  <c r="CA178" i="2"/>
  <c r="CB178" i="2"/>
  <c r="CC178" i="2"/>
  <c r="CF178" i="2"/>
  <c r="CG178" i="2"/>
  <c r="CH178" i="2"/>
  <c r="CI178" i="2"/>
  <c r="CJ178" i="2"/>
  <c r="CK178" i="2"/>
  <c r="CN178" i="2"/>
  <c r="CO178" i="2"/>
  <c r="CR178" i="2"/>
  <c r="CS178" i="2"/>
  <c r="CU178" i="2"/>
  <c r="CV178" i="2"/>
  <c r="CZ178" i="2"/>
  <c r="DA178" i="2"/>
  <c r="Z186" i="2"/>
  <c r="AG186" i="2"/>
  <c r="BY186" i="2"/>
  <c r="BZ186" i="2"/>
  <c r="DC186" i="2" s="1"/>
  <c r="DE186" i="2" s="1"/>
  <c r="DL186" i="2" s="1"/>
  <c r="DN186" i="2" s="1"/>
  <c r="CA186" i="2"/>
  <c r="CB186" i="2"/>
  <c r="CC186" i="2"/>
  <c r="CG186" i="2"/>
  <c r="CH186" i="2"/>
  <c r="CK186" i="2"/>
  <c r="CU186" i="2"/>
  <c r="CV186" i="2"/>
  <c r="CZ186" i="2"/>
  <c r="DA186" i="2"/>
  <c r="CR186" i="2"/>
  <c r="CN186" i="2"/>
  <c r="Z183" i="2"/>
  <c r="AG183" i="2"/>
  <c r="BY183" i="2"/>
  <c r="BZ183" i="2"/>
  <c r="DC183" i="2" s="1"/>
  <c r="DE183" i="2" s="1"/>
  <c r="DL183" i="2" s="1"/>
  <c r="DN183" i="2" s="1"/>
  <c r="CA183" i="2"/>
  <c r="CB183" i="2"/>
  <c r="CC183" i="2"/>
  <c r="CF183" i="2"/>
  <c r="CG183" i="2"/>
  <c r="CH183" i="2"/>
  <c r="CI183" i="2"/>
  <c r="CJ183" i="2"/>
  <c r="CK183" i="2"/>
  <c r="CN183" i="2"/>
  <c r="CO183" i="2"/>
  <c r="CR183" i="2"/>
  <c r="CS183" i="2"/>
  <c r="CU183" i="2"/>
  <c r="CV183" i="2"/>
  <c r="CZ183" i="2"/>
  <c r="DA183" i="2"/>
  <c r="Z128" i="2"/>
  <c r="AG128" i="2"/>
  <c r="BY128" i="2"/>
  <c r="BZ128" i="2"/>
  <c r="DC128" i="2" s="1"/>
  <c r="DE128" i="2" s="1"/>
  <c r="DL128" i="2" s="1"/>
  <c r="DN128" i="2" s="1"/>
  <c r="CA128" i="2"/>
  <c r="CB128" i="2"/>
  <c r="CC128" i="2"/>
  <c r="CF128" i="2"/>
  <c r="CG128" i="2"/>
  <c r="CH128" i="2"/>
  <c r="CI128" i="2"/>
  <c r="CJ128" i="2"/>
  <c r="CK128" i="2"/>
  <c r="CN128" i="2"/>
  <c r="CO128" i="2"/>
  <c r="CR128" i="2"/>
  <c r="CS128" i="2"/>
  <c r="CU128" i="2"/>
  <c r="CV128" i="2"/>
  <c r="CZ128" i="2"/>
  <c r="DA128" i="2"/>
  <c r="AM85" i="2"/>
  <c r="BU85" i="2" s="1"/>
  <c r="AK119" i="2"/>
  <c r="BE119" i="2" s="1"/>
  <c r="AM166" i="2"/>
  <c r="CI166" i="2" s="1"/>
  <c r="Z90" i="2"/>
  <c r="AG90" i="2"/>
  <c r="BY90" i="2"/>
  <c r="BZ90" i="2"/>
  <c r="DC90" i="2" s="1"/>
  <c r="DE90" i="2" s="1"/>
  <c r="DL90" i="2" s="1"/>
  <c r="DN90" i="2" s="1"/>
  <c r="CA90" i="2"/>
  <c r="CB90" i="2"/>
  <c r="CC90" i="2"/>
  <c r="CF90" i="2"/>
  <c r="CG90" i="2"/>
  <c r="CH90" i="2"/>
  <c r="CI90" i="2"/>
  <c r="CJ90" i="2"/>
  <c r="CK90" i="2"/>
  <c r="CN90" i="2"/>
  <c r="CO90" i="2"/>
  <c r="CR90" i="2"/>
  <c r="CS90" i="2"/>
  <c r="CU90" i="2"/>
  <c r="CV90" i="2"/>
  <c r="CZ90" i="2"/>
  <c r="DA90" i="2"/>
  <c r="AM101" i="2"/>
  <c r="CV101" i="2" s="1"/>
  <c r="AM193" i="2"/>
  <c r="CV193" i="2" s="1"/>
  <c r="AM192" i="2"/>
  <c r="CI192" i="2" s="1"/>
  <c r="AM116" i="2"/>
  <c r="CV116" i="2" s="1"/>
  <c r="D1031" i="10"/>
  <c r="Q1061" i="10" s="1"/>
  <c r="BE66" i="2"/>
  <c r="BE111" i="2"/>
  <c r="BE116" i="2"/>
  <c r="BE155" i="2"/>
  <c r="BE62" i="2"/>
  <c r="BE98" i="2"/>
  <c r="BE72" i="2"/>
  <c r="BU101" i="2"/>
  <c r="BE112" i="2"/>
  <c r="BE113" i="2"/>
  <c r="BE184" i="2"/>
  <c r="BE165" i="2"/>
  <c r="BU124" i="2"/>
  <c r="BE124" i="2"/>
  <c r="CZ153" i="2"/>
  <c r="DA153" i="2"/>
  <c r="CZ165" i="2"/>
  <c r="DA165" i="2"/>
  <c r="CZ79" i="2"/>
  <c r="DA79" i="2"/>
  <c r="CZ60" i="2"/>
  <c r="DA60" i="2"/>
  <c r="CZ184" i="2"/>
  <c r="DA184" i="2"/>
  <c r="CZ81" i="2"/>
  <c r="DA81" i="2"/>
  <c r="CZ158" i="2"/>
  <c r="DA158" i="2"/>
  <c r="CZ162" i="2"/>
  <c r="DA162" i="2"/>
  <c r="CZ135" i="2"/>
  <c r="DA135" i="2"/>
  <c r="CZ107" i="2"/>
  <c r="DA107" i="2"/>
  <c r="CZ77" i="2"/>
  <c r="DA77" i="2"/>
  <c r="CZ114" i="2"/>
  <c r="DA114" i="2"/>
  <c r="CZ113" i="2"/>
  <c r="DA113" i="2"/>
  <c r="CZ112" i="2"/>
  <c r="DA112" i="2"/>
  <c r="CZ192" i="2"/>
  <c r="DA192" i="2"/>
  <c r="CZ193" i="2"/>
  <c r="DA193" i="2"/>
  <c r="CZ157" i="2"/>
  <c r="DA157" i="2"/>
  <c r="CZ168" i="2"/>
  <c r="DA168" i="2"/>
  <c r="CZ191" i="2"/>
  <c r="DA191" i="2"/>
  <c r="CZ189" i="2"/>
  <c r="DA189" i="2"/>
  <c r="CZ190" i="2"/>
  <c r="DA190" i="2"/>
  <c r="CZ101" i="2"/>
  <c r="DA101" i="2"/>
  <c r="CZ72" i="2"/>
  <c r="DA72" i="2"/>
  <c r="CZ98" i="2"/>
  <c r="DA98" i="2"/>
  <c r="CZ62" i="2"/>
  <c r="DA62" i="2"/>
  <c r="CZ65" i="2"/>
  <c r="DA65" i="2"/>
  <c r="CZ169" i="2"/>
  <c r="DA169" i="2"/>
  <c r="CZ187" i="2"/>
  <c r="DA187" i="2"/>
  <c r="CZ161" i="2"/>
  <c r="DA161" i="2"/>
  <c r="CZ59" i="2"/>
  <c r="DA59" i="2"/>
  <c r="CZ68" i="2"/>
  <c r="DA68" i="2"/>
  <c r="CZ82" i="2"/>
  <c r="DA82" i="2"/>
  <c r="CZ155" i="2"/>
  <c r="DA155" i="2"/>
  <c r="CZ61" i="2"/>
  <c r="DA61" i="2"/>
  <c r="CZ110" i="2"/>
  <c r="DA110" i="2"/>
  <c r="CZ164" i="2"/>
  <c r="DA164" i="2"/>
  <c r="CZ198" i="2"/>
  <c r="DA198" i="2"/>
  <c r="CZ116" i="2"/>
  <c r="DA116" i="2"/>
  <c r="CZ93" i="2"/>
  <c r="DA93" i="2"/>
  <c r="CZ117" i="2"/>
  <c r="DA117" i="2"/>
  <c r="CZ111" i="2"/>
  <c r="DA111" i="2"/>
  <c r="CZ66" i="2"/>
  <c r="DA66" i="2"/>
  <c r="CR165" i="2"/>
  <c r="CU165" i="2"/>
  <c r="CV165" i="2"/>
  <c r="CR79" i="2"/>
  <c r="CU79" i="2"/>
  <c r="CR60" i="2"/>
  <c r="CS60" i="2"/>
  <c r="CU60" i="2"/>
  <c r="CV60" i="2"/>
  <c r="CR184" i="2"/>
  <c r="CU184" i="2"/>
  <c r="CV184" i="2"/>
  <c r="CR81" i="2"/>
  <c r="CS81" i="2"/>
  <c r="CU81" i="2"/>
  <c r="CV81" i="2"/>
  <c r="CR158" i="2"/>
  <c r="CS158" i="2"/>
  <c r="CU158" i="2"/>
  <c r="CV158" i="2"/>
  <c r="CR162" i="2"/>
  <c r="CS162" i="2"/>
  <c r="CU162" i="2"/>
  <c r="CV162" i="2"/>
  <c r="CR135" i="2"/>
  <c r="CS135" i="2"/>
  <c r="CU135" i="2"/>
  <c r="CV135" i="2"/>
  <c r="CR107" i="2"/>
  <c r="CS107" i="2"/>
  <c r="CU107" i="2"/>
  <c r="CV107" i="2"/>
  <c r="CR77" i="2"/>
  <c r="CS77" i="2"/>
  <c r="CU77" i="2"/>
  <c r="CV77" i="2"/>
  <c r="CR114" i="2"/>
  <c r="CS114" i="2"/>
  <c r="CU114" i="2"/>
  <c r="CV114" i="2"/>
  <c r="CR113" i="2"/>
  <c r="CU113" i="2"/>
  <c r="CV113" i="2"/>
  <c r="CR112" i="2"/>
  <c r="CU112" i="2"/>
  <c r="CV112" i="2"/>
  <c r="CR192" i="2"/>
  <c r="CU192" i="2"/>
  <c r="CR193" i="2"/>
  <c r="CU193" i="2"/>
  <c r="CR157" i="2"/>
  <c r="CU157" i="2"/>
  <c r="CV157" i="2"/>
  <c r="CR168" i="2"/>
  <c r="CS168" i="2"/>
  <c r="CU168" i="2"/>
  <c r="CV168" i="2"/>
  <c r="CR191" i="2"/>
  <c r="CS191" i="2"/>
  <c r="CU191" i="2"/>
  <c r="CV191" i="2"/>
  <c r="CR189" i="2"/>
  <c r="CS189" i="2"/>
  <c r="CU189" i="2"/>
  <c r="CV189" i="2"/>
  <c r="CR190" i="2"/>
  <c r="CS190" i="2"/>
  <c r="CU190" i="2"/>
  <c r="CV190" i="2"/>
  <c r="CR101" i="2"/>
  <c r="CU101" i="2"/>
  <c r="CR72" i="2"/>
  <c r="CU72" i="2"/>
  <c r="CV72" i="2"/>
  <c r="CR98" i="2"/>
  <c r="CU98" i="2"/>
  <c r="CV98" i="2"/>
  <c r="CR62" i="2"/>
  <c r="CU62" i="2"/>
  <c r="CV62" i="2"/>
  <c r="CR65" i="2"/>
  <c r="CV65" i="2"/>
  <c r="CR169" i="2"/>
  <c r="CU169" i="2"/>
  <c r="CV169" i="2"/>
  <c r="CR187" i="2"/>
  <c r="CS187" i="2"/>
  <c r="CU187" i="2"/>
  <c r="CV187" i="2"/>
  <c r="CR161" i="2"/>
  <c r="CS161" i="2"/>
  <c r="CU161" i="2"/>
  <c r="CV161" i="2"/>
  <c r="CR59" i="2"/>
  <c r="CU59" i="2"/>
  <c r="CR68" i="2"/>
  <c r="CU68" i="2"/>
  <c r="CR82" i="2"/>
  <c r="CU82" i="2"/>
  <c r="CR155" i="2"/>
  <c r="CU155" i="2"/>
  <c r="CR61" i="2"/>
  <c r="CU61" i="2"/>
  <c r="CR110" i="2"/>
  <c r="CS110" i="2"/>
  <c r="CU110" i="2"/>
  <c r="CV110" i="2"/>
  <c r="CR164" i="2"/>
  <c r="CU164" i="2"/>
  <c r="CV164" i="2"/>
  <c r="CR198" i="2"/>
  <c r="CS198" i="2"/>
  <c r="CU198" i="2"/>
  <c r="CV198" i="2"/>
  <c r="CR116" i="2"/>
  <c r="CU116" i="2"/>
  <c r="CR93" i="2"/>
  <c r="CU93" i="2"/>
  <c r="CR117" i="2"/>
  <c r="CS117" i="2"/>
  <c r="CU117" i="2"/>
  <c r="CV117" i="2"/>
  <c r="CR111" i="2"/>
  <c r="CU111" i="2"/>
  <c r="CR66" i="2"/>
  <c r="CU66" i="2"/>
  <c r="CR124" i="2"/>
  <c r="CU124" i="2"/>
  <c r="CR153" i="2"/>
  <c r="CS153" i="2"/>
  <c r="CU153" i="2"/>
  <c r="CV153" i="2"/>
  <c r="CK165" i="2"/>
  <c r="CN165" i="2"/>
  <c r="CN79" i="2"/>
  <c r="CI60" i="2"/>
  <c r="CJ60" i="2"/>
  <c r="CK60" i="2"/>
  <c r="CN60" i="2"/>
  <c r="CO60" i="2"/>
  <c r="CK184" i="2"/>
  <c r="CN184" i="2"/>
  <c r="CI81" i="2"/>
  <c r="CJ81" i="2"/>
  <c r="CK81" i="2"/>
  <c r="CN81" i="2"/>
  <c r="CO81" i="2"/>
  <c r="CI158" i="2"/>
  <c r="CJ158" i="2"/>
  <c r="CK158" i="2"/>
  <c r="CN158" i="2"/>
  <c r="CO158" i="2"/>
  <c r="CI162" i="2"/>
  <c r="CJ162" i="2"/>
  <c r="CK162" i="2"/>
  <c r="CN162" i="2"/>
  <c r="CO162" i="2"/>
  <c r="CI135" i="2"/>
  <c r="CJ135" i="2"/>
  <c r="CK135" i="2"/>
  <c r="CN135" i="2"/>
  <c r="CO135" i="2"/>
  <c r="CI107" i="2"/>
  <c r="CJ107" i="2"/>
  <c r="CK107" i="2"/>
  <c r="CN107" i="2"/>
  <c r="CO107" i="2"/>
  <c r="CI77" i="2"/>
  <c r="CJ77" i="2"/>
  <c r="CK77" i="2"/>
  <c r="CN77" i="2"/>
  <c r="CO77" i="2"/>
  <c r="CI114" i="2"/>
  <c r="CJ114" i="2"/>
  <c r="CK114" i="2"/>
  <c r="CN114" i="2"/>
  <c r="CO114" i="2"/>
  <c r="CK113" i="2"/>
  <c r="CN113" i="2"/>
  <c r="CK112" i="2"/>
  <c r="CN112" i="2"/>
  <c r="CN192" i="2"/>
  <c r="CN193" i="2"/>
  <c r="CK157" i="2"/>
  <c r="CN157" i="2"/>
  <c r="CI168" i="2"/>
  <c r="CJ168" i="2"/>
  <c r="CK168" i="2"/>
  <c r="CN168" i="2"/>
  <c r="CO168" i="2"/>
  <c r="CI191" i="2"/>
  <c r="CJ191" i="2"/>
  <c r="CK191" i="2"/>
  <c r="CN191" i="2"/>
  <c r="CO191" i="2"/>
  <c r="CI189" i="2"/>
  <c r="CJ189" i="2"/>
  <c r="CK189" i="2"/>
  <c r="CN189" i="2"/>
  <c r="CO189" i="2"/>
  <c r="CI190" i="2"/>
  <c r="CJ190" i="2"/>
  <c r="CK190" i="2"/>
  <c r="CN190" i="2"/>
  <c r="CO190" i="2"/>
  <c r="CN101" i="2"/>
  <c r="CK72" i="2"/>
  <c r="CN72" i="2"/>
  <c r="CK98" i="2"/>
  <c r="CN98" i="2"/>
  <c r="CK62" i="2"/>
  <c r="CN62" i="2"/>
  <c r="CK169" i="2"/>
  <c r="CN169" i="2"/>
  <c r="CI187" i="2"/>
  <c r="CJ187" i="2"/>
  <c r="CK187" i="2"/>
  <c r="CN187" i="2"/>
  <c r="CO187" i="2"/>
  <c r="CI161" i="2"/>
  <c r="CJ161" i="2"/>
  <c r="CK161" i="2"/>
  <c r="CN161" i="2"/>
  <c r="CO161" i="2"/>
  <c r="CN59" i="2"/>
  <c r="CN68" i="2"/>
  <c r="CN82" i="2"/>
  <c r="CN155" i="2"/>
  <c r="CN61" i="2"/>
  <c r="CI110" i="2"/>
  <c r="CJ110" i="2"/>
  <c r="CK110" i="2"/>
  <c r="CN110" i="2"/>
  <c r="CO110" i="2"/>
  <c r="CK164" i="2"/>
  <c r="CN164" i="2"/>
  <c r="CI198" i="2"/>
  <c r="CJ198" i="2"/>
  <c r="CK198" i="2"/>
  <c r="CN198" i="2"/>
  <c r="CO198" i="2"/>
  <c r="CN116" i="2"/>
  <c r="CN93" i="2"/>
  <c r="CI117" i="2"/>
  <c r="CJ117" i="2"/>
  <c r="CK117" i="2"/>
  <c r="CN117" i="2"/>
  <c r="CO117" i="2"/>
  <c r="CN111" i="2"/>
  <c r="CN66" i="2"/>
  <c r="CI153" i="2"/>
  <c r="CJ153" i="2"/>
  <c r="CK153" i="2"/>
  <c r="CN153" i="2"/>
  <c r="CO153" i="2"/>
  <c r="BZ60" i="2"/>
  <c r="DC60" i="2" s="1"/>
  <c r="DE60" i="2" s="1"/>
  <c r="DL60" i="2" s="1"/>
  <c r="DN60" i="2" s="1"/>
  <c r="CA60" i="2"/>
  <c r="CQ60" i="2" s="1"/>
  <c r="CB60" i="2"/>
  <c r="CT60" i="2" s="1"/>
  <c r="CC60" i="2"/>
  <c r="CF60" i="2"/>
  <c r="CG60" i="2"/>
  <c r="CH60" i="2"/>
  <c r="BZ184" i="2"/>
  <c r="DC184" i="2" s="1"/>
  <c r="DE184" i="2" s="1"/>
  <c r="DL184" i="2" s="1"/>
  <c r="DN184" i="2" s="1"/>
  <c r="CA184" i="2"/>
  <c r="CB184" i="2"/>
  <c r="CC184" i="2"/>
  <c r="CF184" i="2"/>
  <c r="CG184" i="2"/>
  <c r="CH184" i="2"/>
  <c r="BZ81" i="2"/>
  <c r="DC81" i="2" s="1"/>
  <c r="DE81" i="2" s="1"/>
  <c r="DL81" i="2" s="1"/>
  <c r="DN81" i="2" s="1"/>
  <c r="CA81" i="2"/>
  <c r="CB81" i="2"/>
  <c r="CC81" i="2"/>
  <c r="CF81" i="2"/>
  <c r="CG81" i="2"/>
  <c r="CH81" i="2"/>
  <c r="BZ158" i="2"/>
  <c r="DC158" i="2" s="1"/>
  <c r="DE158" i="2" s="1"/>
  <c r="DL158" i="2" s="1"/>
  <c r="DN158" i="2" s="1"/>
  <c r="CA158" i="2"/>
  <c r="CB158" i="2"/>
  <c r="CC158" i="2"/>
  <c r="CF158" i="2"/>
  <c r="CG158" i="2"/>
  <c r="CH158" i="2"/>
  <c r="BZ162" i="2"/>
  <c r="DC162" i="2" s="1"/>
  <c r="DE162" i="2" s="1"/>
  <c r="DL162" i="2" s="1"/>
  <c r="DN162" i="2" s="1"/>
  <c r="CA162" i="2"/>
  <c r="CB162" i="2"/>
  <c r="CC162" i="2"/>
  <c r="CF162" i="2"/>
  <c r="CG162" i="2"/>
  <c r="CH162" i="2"/>
  <c r="BZ135" i="2"/>
  <c r="DC135" i="2" s="1"/>
  <c r="DE135" i="2" s="1"/>
  <c r="DL135" i="2" s="1"/>
  <c r="DN135" i="2" s="1"/>
  <c r="CA135" i="2"/>
  <c r="CB135" i="2"/>
  <c r="CC135" i="2"/>
  <c r="CF135" i="2"/>
  <c r="CG135" i="2"/>
  <c r="CH135" i="2"/>
  <c r="BZ107" i="2"/>
  <c r="DC107" i="2" s="1"/>
  <c r="DE107" i="2" s="1"/>
  <c r="DL107" i="2" s="1"/>
  <c r="DN107" i="2" s="1"/>
  <c r="CA107" i="2"/>
  <c r="CB107" i="2"/>
  <c r="CC107" i="2"/>
  <c r="CF107" i="2"/>
  <c r="CG107" i="2"/>
  <c r="CH107" i="2"/>
  <c r="BZ77" i="2"/>
  <c r="DC77" i="2" s="1"/>
  <c r="DE77" i="2" s="1"/>
  <c r="DL77" i="2" s="1"/>
  <c r="DN77" i="2" s="1"/>
  <c r="CA77" i="2"/>
  <c r="CB77" i="2"/>
  <c r="CC77" i="2"/>
  <c r="CF77" i="2"/>
  <c r="CG77" i="2"/>
  <c r="CH77" i="2"/>
  <c r="BZ114" i="2"/>
  <c r="DC114" i="2" s="1"/>
  <c r="DE114" i="2" s="1"/>
  <c r="DL114" i="2" s="1"/>
  <c r="DN114" i="2" s="1"/>
  <c r="CA114" i="2"/>
  <c r="CB114" i="2"/>
  <c r="CC114" i="2"/>
  <c r="CF114" i="2"/>
  <c r="CG114" i="2"/>
  <c r="CH114" i="2"/>
  <c r="BZ113" i="2"/>
  <c r="DC113" i="2" s="1"/>
  <c r="DE113" i="2" s="1"/>
  <c r="DL113" i="2" s="1"/>
  <c r="DN113" i="2" s="1"/>
  <c r="CA113" i="2"/>
  <c r="CB113" i="2"/>
  <c r="CC113" i="2"/>
  <c r="CF113" i="2"/>
  <c r="CG113" i="2"/>
  <c r="CH113" i="2"/>
  <c r="BZ112" i="2"/>
  <c r="DC112" i="2" s="1"/>
  <c r="DE112" i="2" s="1"/>
  <c r="DL112" i="2" s="1"/>
  <c r="DN112" i="2" s="1"/>
  <c r="CA112" i="2"/>
  <c r="CB112" i="2"/>
  <c r="CC112" i="2"/>
  <c r="CF112" i="2"/>
  <c r="CG112" i="2"/>
  <c r="CH112" i="2"/>
  <c r="BZ192" i="2"/>
  <c r="DC192" i="2" s="1"/>
  <c r="DE192" i="2" s="1"/>
  <c r="DL192" i="2" s="1"/>
  <c r="DN192" i="2" s="1"/>
  <c r="CA192" i="2"/>
  <c r="CB192" i="2"/>
  <c r="CC192" i="2"/>
  <c r="CF192" i="2"/>
  <c r="CG192" i="2"/>
  <c r="CH192" i="2"/>
  <c r="BZ193" i="2"/>
  <c r="DC193" i="2" s="1"/>
  <c r="DE193" i="2" s="1"/>
  <c r="DL193" i="2" s="1"/>
  <c r="DN193" i="2" s="1"/>
  <c r="CA193" i="2"/>
  <c r="CB193" i="2"/>
  <c r="CC193" i="2"/>
  <c r="CF193" i="2"/>
  <c r="CG193" i="2"/>
  <c r="CH193" i="2"/>
  <c r="BZ157" i="2"/>
  <c r="DC157" i="2" s="1"/>
  <c r="DE157" i="2" s="1"/>
  <c r="DL157" i="2" s="1"/>
  <c r="DN157" i="2" s="1"/>
  <c r="CA157" i="2"/>
  <c r="CB157" i="2"/>
  <c r="CC157" i="2"/>
  <c r="CF157" i="2"/>
  <c r="CG157" i="2"/>
  <c r="CH157" i="2"/>
  <c r="BZ168" i="2"/>
  <c r="DC168" i="2" s="1"/>
  <c r="DE168" i="2" s="1"/>
  <c r="DL168" i="2" s="1"/>
  <c r="DN168" i="2" s="1"/>
  <c r="CA168" i="2"/>
  <c r="CQ168" i="2" s="1"/>
  <c r="CB168" i="2"/>
  <c r="CC168" i="2"/>
  <c r="CF168" i="2"/>
  <c r="CG168" i="2"/>
  <c r="CH168" i="2"/>
  <c r="BZ191" i="2"/>
  <c r="DC191" i="2" s="1"/>
  <c r="DE191" i="2" s="1"/>
  <c r="DL191" i="2" s="1"/>
  <c r="DN191" i="2" s="1"/>
  <c r="CA191" i="2"/>
  <c r="CB191" i="2"/>
  <c r="CC191" i="2"/>
  <c r="CF191" i="2"/>
  <c r="CG191" i="2"/>
  <c r="CH191" i="2"/>
  <c r="BZ189" i="2"/>
  <c r="DC189" i="2" s="1"/>
  <c r="DE189" i="2" s="1"/>
  <c r="DL189" i="2" s="1"/>
  <c r="DN189" i="2" s="1"/>
  <c r="CA189" i="2"/>
  <c r="CB189" i="2"/>
  <c r="CC189" i="2"/>
  <c r="CF189" i="2"/>
  <c r="CG189" i="2"/>
  <c r="CH189" i="2"/>
  <c r="BZ190" i="2"/>
  <c r="DC190" i="2" s="1"/>
  <c r="DE190" i="2" s="1"/>
  <c r="DL190" i="2" s="1"/>
  <c r="DN190" i="2" s="1"/>
  <c r="CA190" i="2"/>
  <c r="CB190" i="2"/>
  <c r="CC190" i="2"/>
  <c r="CF190" i="2"/>
  <c r="CG190" i="2"/>
  <c r="CH190" i="2"/>
  <c r="BZ101" i="2"/>
  <c r="DC101" i="2" s="1"/>
  <c r="DE101" i="2" s="1"/>
  <c r="DL101" i="2" s="1"/>
  <c r="DN101" i="2" s="1"/>
  <c r="CA101" i="2"/>
  <c r="CB101" i="2"/>
  <c r="CC101" i="2"/>
  <c r="CF101" i="2"/>
  <c r="CG101" i="2"/>
  <c r="CH101" i="2"/>
  <c r="BZ72" i="2"/>
  <c r="DC72" i="2" s="1"/>
  <c r="DE72" i="2" s="1"/>
  <c r="DL72" i="2" s="1"/>
  <c r="DN72" i="2" s="1"/>
  <c r="CA72" i="2"/>
  <c r="CB72" i="2"/>
  <c r="CT72" i="2" s="1"/>
  <c r="CC72" i="2"/>
  <c r="CF72" i="2"/>
  <c r="CG72" i="2"/>
  <c r="CH72" i="2"/>
  <c r="BZ98" i="2"/>
  <c r="DC98" i="2" s="1"/>
  <c r="DE98" i="2" s="1"/>
  <c r="DL98" i="2" s="1"/>
  <c r="DN98" i="2" s="1"/>
  <c r="CA98" i="2"/>
  <c r="CB98" i="2"/>
  <c r="CC98" i="2"/>
  <c r="CF98" i="2"/>
  <c r="CG98" i="2"/>
  <c r="CH98" i="2"/>
  <c r="BZ62" i="2"/>
  <c r="DC62" i="2" s="1"/>
  <c r="DE62" i="2" s="1"/>
  <c r="DL62" i="2" s="1"/>
  <c r="DN62" i="2" s="1"/>
  <c r="CA62" i="2"/>
  <c r="CB62" i="2"/>
  <c r="CC62" i="2"/>
  <c r="CF62" i="2"/>
  <c r="CG62" i="2"/>
  <c r="CH62" i="2"/>
  <c r="BZ65" i="2"/>
  <c r="DC65" i="2" s="1"/>
  <c r="DE65" i="2" s="1"/>
  <c r="DL65" i="2" s="1"/>
  <c r="DN65" i="2" s="1"/>
  <c r="CA65" i="2"/>
  <c r="CB65" i="2"/>
  <c r="CC65" i="2"/>
  <c r="CF65" i="2"/>
  <c r="CG65" i="2"/>
  <c r="CH65" i="2"/>
  <c r="BZ169" i="2"/>
  <c r="DC169" i="2" s="1"/>
  <c r="DE169" i="2" s="1"/>
  <c r="DL169" i="2" s="1"/>
  <c r="DN169" i="2" s="1"/>
  <c r="CA169" i="2"/>
  <c r="CB169" i="2"/>
  <c r="CC169" i="2"/>
  <c r="CF169" i="2"/>
  <c r="CG169" i="2"/>
  <c r="CH169" i="2"/>
  <c r="BZ187" i="2"/>
  <c r="DC187" i="2" s="1"/>
  <c r="DE187" i="2" s="1"/>
  <c r="DL187" i="2" s="1"/>
  <c r="DN187" i="2" s="1"/>
  <c r="CA187" i="2"/>
  <c r="CB187" i="2"/>
  <c r="CC187" i="2"/>
  <c r="CF187" i="2"/>
  <c r="CG187" i="2"/>
  <c r="CH187" i="2"/>
  <c r="BZ161" i="2"/>
  <c r="DC161" i="2" s="1"/>
  <c r="DE161" i="2" s="1"/>
  <c r="DL161" i="2" s="1"/>
  <c r="DN161" i="2" s="1"/>
  <c r="CA161" i="2"/>
  <c r="CB161" i="2"/>
  <c r="CC161" i="2"/>
  <c r="CF161" i="2"/>
  <c r="CG161" i="2"/>
  <c r="CH161" i="2"/>
  <c r="BZ59" i="2"/>
  <c r="DC59" i="2" s="1"/>
  <c r="DE59" i="2" s="1"/>
  <c r="DL59" i="2" s="1"/>
  <c r="DN59" i="2" s="1"/>
  <c r="CA59" i="2"/>
  <c r="CB59" i="2"/>
  <c r="CC59" i="2"/>
  <c r="CF59" i="2"/>
  <c r="CG59" i="2"/>
  <c r="CH59" i="2"/>
  <c r="BZ68" i="2"/>
  <c r="DC68" i="2" s="1"/>
  <c r="DE68" i="2" s="1"/>
  <c r="DL68" i="2" s="1"/>
  <c r="DN68" i="2" s="1"/>
  <c r="CA68" i="2"/>
  <c r="CB68" i="2"/>
  <c r="CC68" i="2"/>
  <c r="CF68" i="2"/>
  <c r="CG68" i="2"/>
  <c r="CH68" i="2"/>
  <c r="BZ82" i="2"/>
  <c r="DC82" i="2" s="1"/>
  <c r="DE82" i="2" s="1"/>
  <c r="DL82" i="2" s="1"/>
  <c r="DN82" i="2" s="1"/>
  <c r="CA82" i="2"/>
  <c r="CB82" i="2"/>
  <c r="CC82" i="2"/>
  <c r="CF82" i="2"/>
  <c r="CG82" i="2"/>
  <c r="CH82" i="2"/>
  <c r="BZ155" i="2"/>
  <c r="DC155" i="2" s="1"/>
  <c r="DE155" i="2" s="1"/>
  <c r="DL155" i="2" s="1"/>
  <c r="DN155" i="2" s="1"/>
  <c r="CA155" i="2"/>
  <c r="CB155" i="2"/>
  <c r="CC155" i="2"/>
  <c r="CF155" i="2"/>
  <c r="CG155" i="2"/>
  <c r="CH155" i="2"/>
  <c r="BZ61" i="2"/>
  <c r="DC61" i="2" s="1"/>
  <c r="DE61" i="2" s="1"/>
  <c r="DL61" i="2" s="1"/>
  <c r="DN61" i="2" s="1"/>
  <c r="CA61" i="2"/>
  <c r="CB61" i="2"/>
  <c r="CC61" i="2"/>
  <c r="CF61" i="2"/>
  <c r="CG61" i="2"/>
  <c r="CH61" i="2"/>
  <c r="BZ110" i="2"/>
  <c r="DC110" i="2" s="1"/>
  <c r="DE110" i="2" s="1"/>
  <c r="DL110" i="2" s="1"/>
  <c r="DN110" i="2" s="1"/>
  <c r="CA110" i="2"/>
  <c r="CB110" i="2"/>
  <c r="CC110" i="2"/>
  <c r="CF110" i="2"/>
  <c r="CG110" i="2"/>
  <c r="CH110" i="2"/>
  <c r="BZ164" i="2"/>
  <c r="DC164" i="2" s="1"/>
  <c r="DE164" i="2" s="1"/>
  <c r="DL164" i="2" s="1"/>
  <c r="DN164" i="2" s="1"/>
  <c r="CA164" i="2"/>
  <c r="CB164" i="2"/>
  <c r="CC164" i="2"/>
  <c r="CF164" i="2"/>
  <c r="CG164" i="2"/>
  <c r="CH164" i="2"/>
  <c r="BZ198" i="2"/>
  <c r="DC198" i="2" s="1"/>
  <c r="DE198" i="2" s="1"/>
  <c r="DL198" i="2" s="1"/>
  <c r="DN198" i="2" s="1"/>
  <c r="CA198" i="2"/>
  <c r="CB198" i="2"/>
  <c r="CC198" i="2"/>
  <c r="CF198" i="2"/>
  <c r="CG198" i="2"/>
  <c r="CH198" i="2"/>
  <c r="BZ116" i="2"/>
  <c r="DC116" i="2" s="1"/>
  <c r="DE116" i="2" s="1"/>
  <c r="DL116" i="2" s="1"/>
  <c r="DN116" i="2" s="1"/>
  <c r="CA116" i="2"/>
  <c r="CB116" i="2"/>
  <c r="CC116" i="2"/>
  <c r="CF116" i="2"/>
  <c r="CG116" i="2"/>
  <c r="CH116" i="2"/>
  <c r="BZ93" i="2"/>
  <c r="DC93" i="2" s="1"/>
  <c r="DE93" i="2" s="1"/>
  <c r="DL93" i="2" s="1"/>
  <c r="DN93" i="2" s="1"/>
  <c r="CA93" i="2"/>
  <c r="CB93" i="2"/>
  <c r="CC93" i="2"/>
  <c r="CF93" i="2"/>
  <c r="CG93" i="2"/>
  <c r="CH93" i="2"/>
  <c r="BZ117" i="2"/>
  <c r="DC117" i="2" s="1"/>
  <c r="DE117" i="2" s="1"/>
  <c r="DL117" i="2" s="1"/>
  <c r="DN117" i="2" s="1"/>
  <c r="CA117" i="2"/>
  <c r="CQ117" i="2" s="1"/>
  <c r="CB117" i="2"/>
  <c r="CT117" i="2" s="1"/>
  <c r="CC117" i="2"/>
  <c r="CF117" i="2"/>
  <c r="CG117" i="2"/>
  <c r="CH117" i="2"/>
  <c r="BZ111" i="2"/>
  <c r="DC111" i="2" s="1"/>
  <c r="DE111" i="2" s="1"/>
  <c r="DL111" i="2" s="1"/>
  <c r="DN111" i="2" s="1"/>
  <c r="CA111" i="2"/>
  <c r="CB111" i="2"/>
  <c r="CC111" i="2"/>
  <c r="CF111" i="2"/>
  <c r="CG111" i="2"/>
  <c r="CH111" i="2"/>
  <c r="BZ66" i="2"/>
  <c r="DC66" i="2" s="1"/>
  <c r="DE66" i="2" s="1"/>
  <c r="DL66" i="2" s="1"/>
  <c r="DN66" i="2" s="1"/>
  <c r="CA66" i="2"/>
  <c r="CB66" i="2"/>
  <c r="CC66" i="2"/>
  <c r="CF66" i="2"/>
  <c r="CG66" i="2"/>
  <c r="CH66" i="2"/>
  <c r="BZ165" i="2"/>
  <c r="DC165" i="2" s="1"/>
  <c r="DE165" i="2" s="1"/>
  <c r="DL165" i="2" s="1"/>
  <c r="DN165" i="2" s="1"/>
  <c r="CA165" i="2"/>
  <c r="CB165" i="2"/>
  <c r="CC165" i="2"/>
  <c r="CF165" i="2"/>
  <c r="CG165" i="2"/>
  <c r="CH165" i="2"/>
  <c r="BZ79" i="2"/>
  <c r="DC79" i="2" s="1"/>
  <c r="DE79" i="2" s="1"/>
  <c r="DL79" i="2" s="1"/>
  <c r="DN79" i="2" s="1"/>
  <c r="CA79" i="2"/>
  <c r="CB79" i="2"/>
  <c r="CC79" i="2"/>
  <c r="CF79" i="2"/>
  <c r="CG79" i="2"/>
  <c r="CH79" i="2"/>
  <c r="BZ153" i="2"/>
  <c r="DC153" i="2" s="1"/>
  <c r="DE153" i="2" s="1"/>
  <c r="DL153" i="2" s="1"/>
  <c r="DN153" i="2" s="1"/>
  <c r="CA153" i="2"/>
  <c r="CB153" i="2"/>
  <c r="CC153" i="2"/>
  <c r="CF153" i="2"/>
  <c r="CG153" i="2"/>
  <c r="CH153" i="2"/>
  <c r="BY81" i="2"/>
  <c r="BY158" i="2"/>
  <c r="BY162" i="2"/>
  <c r="BY135" i="2"/>
  <c r="BY107" i="2"/>
  <c r="BY77" i="2"/>
  <c r="BY114" i="2"/>
  <c r="BY113" i="2"/>
  <c r="BY112" i="2"/>
  <c r="BY192" i="2"/>
  <c r="BY193" i="2"/>
  <c r="BY157" i="2"/>
  <c r="BY168" i="2"/>
  <c r="BY191" i="2"/>
  <c r="BY189" i="2"/>
  <c r="BY190" i="2"/>
  <c r="BY101" i="2"/>
  <c r="BY72" i="2"/>
  <c r="BY98" i="2"/>
  <c r="BY62" i="2"/>
  <c r="BY65" i="2"/>
  <c r="BY169" i="2"/>
  <c r="BY187" i="2"/>
  <c r="BY161" i="2"/>
  <c r="BY59" i="2"/>
  <c r="BY68" i="2"/>
  <c r="BY82" i="2"/>
  <c r="BY155" i="2"/>
  <c r="BY61" i="2"/>
  <c r="BY110" i="2"/>
  <c r="BY164" i="2"/>
  <c r="BY198" i="2"/>
  <c r="BY116" i="2"/>
  <c r="BY93" i="2"/>
  <c r="BY117" i="2"/>
  <c r="BY111" i="2"/>
  <c r="BY66" i="2"/>
  <c r="BY60" i="2"/>
  <c r="BY184" i="2"/>
  <c r="BY79" i="2"/>
  <c r="BY165" i="2"/>
  <c r="BY153" i="2"/>
  <c r="Z124" i="2"/>
  <c r="AG124" i="2"/>
  <c r="BY124" i="2"/>
  <c r="BZ124" i="2"/>
  <c r="DC124" i="2" s="1"/>
  <c r="DE124" i="2" s="1"/>
  <c r="DL124" i="2" s="1"/>
  <c r="DN124" i="2" s="1"/>
  <c r="CA124" i="2"/>
  <c r="CB124" i="2"/>
  <c r="CC124" i="2"/>
  <c r="CF124" i="2"/>
  <c r="CG124" i="2"/>
  <c r="CH124" i="2"/>
  <c r="CN124" i="2"/>
  <c r="CZ124" i="2"/>
  <c r="DA124" i="2"/>
  <c r="AM59" i="2"/>
  <c r="CI59" i="2" s="1"/>
  <c r="AG153" i="2"/>
  <c r="AK165" i="2"/>
  <c r="CJ165" i="2" s="1"/>
  <c r="AG79" i="2"/>
  <c r="AG184" i="2"/>
  <c r="AK184" i="2"/>
  <c r="CI184" i="2" s="1"/>
  <c r="AG81" i="2"/>
  <c r="AG162" i="2"/>
  <c r="AG107" i="2"/>
  <c r="AG77" i="2"/>
  <c r="AG114" i="2"/>
  <c r="AG113" i="2"/>
  <c r="AK113" i="2"/>
  <c r="CO113" i="2" s="1"/>
  <c r="AG112" i="2"/>
  <c r="AG192" i="2"/>
  <c r="AG193" i="2"/>
  <c r="AG157" i="2"/>
  <c r="AG191" i="2"/>
  <c r="AG189" i="2"/>
  <c r="AG101" i="2"/>
  <c r="AG72" i="2"/>
  <c r="AK72" i="2"/>
  <c r="CI72" i="2" s="1"/>
  <c r="AG98" i="2"/>
  <c r="AG62" i="2"/>
  <c r="AG65" i="2"/>
  <c r="AG169" i="2"/>
  <c r="AG187" i="2"/>
  <c r="AG161" i="2"/>
  <c r="AG59" i="2"/>
  <c r="AG68" i="2"/>
  <c r="AG82" i="2"/>
  <c r="AM82" i="2"/>
  <c r="AG155" i="2"/>
  <c r="AM155" i="2"/>
  <c r="CV155" i="2" s="1"/>
  <c r="AG61" i="2"/>
  <c r="AG110" i="2"/>
  <c r="AG164" i="2"/>
  <c r="AG198" i="2"/>
  <c r="AG116" i="2"/>
  <c r="AG93" i="2"/>
  <c r="AG117" i="2"/>
  <c r="AG111" i="2"/>
  <c r="AM111" i="2"/>
  <c r="CO111" i="2" s="1"/>
  <c r="AG66" i="2"/>
  <c r="AM66" i="2"/>
  <c r="Z66" i="2"/>
  <c r="Z111" i="2"/>
  <c r="Z117" i="2"/>
  <c r="Z93" i="2"/>
  <c r="Z116" i="2"/>
  <c r="Z198" i="2"/>
  <c r="Z164" i="2"/>
  <c r="Z110" i="2"/>
  <c r="Z61" i="2"/>
  <c r="Z155" i="2"/>
  <c r="Z82" i="2"/>
  <c r="Z68" i="2"/>
  <c r="Z59" i="2"/>
  <c r="Z161" i="2"/>
  <c r="Z187" i="2"/>
  <c r="Z169" i="2"/>
  <c r="Z65" i="2"/>
  <c r="Z62" i="2"/>
  <c r="Z98" i="2"/>
  <c r="Z72" i="2"/>
  <c r="Z101" i="2"/>
  <c r="Z189" i="2"/>
  <c r="Z191" i="2"/>
  <c r="Z157" i="2"/>
  <c r="Z193" i="2"/>
  <c r="Z192" i="2"/>
  <c r="Z112" i="2"/>
  <c r="Z113" i="2"/>
  <c r="Z114" i="2"/>
  <c r="Z77" i="2"/>
  <c r="Z107" i="2"/>
  <c r="Z162" i="2"/>
  <c r="Z81" i="2"/>
  <c r="Z184" i="2"/>
  <c r="Z79" i="2"/>
  <c r="Z153" i="2"/>
  <c r="CV93" i="2"/>
  <c r="CK93" i="2"/>
  <c r="CS111" i="2"/>
  <c r="CJ111" i="2"/>
  <c r="CJ68" i="2"/>
  <c r="CS68" i="2"/>
  <c r="CS61" i="2"/>
  <c r="CJ61" i="2"/>
  <c r="CO93" i="2"/>
  <c r="CS93" i="2"/>
  <c r="CI93" i="2"/>
  <c r="CJ93" i="2"/>
  <c r="CS193" i="2"/>
  <c r="CJ193" i="2"/>
  <c r="CK65" i="2"/>
  <c r="CU65" i="2"/>
  <c r="CN65" i="2"/>
  <c r="CJ155" i="2"/>
  <c r="CS155" i="2"/>
  <c r="CS192" i="2"/>
  <c r="CJ192" i="2"/>
  <c r="CJ116" i="2"/>
  <c r="CS116" i="2"/>
  <c r="CS59" i="2"/>
  <c r="CJ59" i="2"/>
  <c r="CS66" i="2"/>
  <c r="CJ66" i="2"/>
  <c r="CJ82" i="2"/>
  <c r="CS82" i="2"/>
  <c r="CS101" i="2"/>
  <c r="CJ101" i="2"/>
  <c r="Z196" i="2"/>
  <c r="AG196" i="2"/>
  <c r="BY196" i="2"/>
  <c r="BZ196" i="2"/>
  <c r="DC196" i="2" s="1"/>
  <c r="DE196" i="2" s="1"/>
  <c r="DL196" i="2" s="1"/>
  <c r="DN196" i="2" s="1"/>
  <c r="CA196" i="2"/>
  <c r="CB196" i="2"/>
  <c r="CC196" i="2"/>
  <c r="CF196" i="2"/>
  <c r="CG196" i="2"/>
  <c r="CH196" i="2"/>
  <c r="CI196" i="2"/>
  <c r="CJ196" i="2"/>
  <c r="CK196" i="2"/>
  <c r="CN196" i="2"/>
  <c r="CO196" i="2"/>
  <c r="CR196" i="2"/>
  <c r="CS196" i="2"/>
  <c r="CU196" i="2"/>
  <c r="CV196" i="2"/>
  <c r="CZ196" i="2"/>
  <c r="DA196" i="2"/>
  <c r="Z71" i="2"/>
  <c r="AG71" i="2"/>
  <c r="BY71" i="2"/>
  <c r="BZ71" i="2"/>
  <c r="DC71" i="2" s="1"/>
  <c r="DE71" i="2" s="1"/>
  <c r="DL71" i="2" s="1"/>
  <c r="DN71" i="2" s="1"/>
  <c r="CA71" i="2"/>
  <c r="CB71" i="2"/>
  <c r="CC71" i="2"/>
  <c r="CF71" i="2"/>
  <c r="CG71" i="2"/>
  <c r="CH71" i="2"/>
  <c r="CK71" i="2"/>
  <c r="CN71" i="2"/>
  <c r="CR71" i="2"/>
  <c r="CU71" i="2"/>
  <c r="CV71" i="2"/>
  <c r="CZ71" i="2"/>
  <c r="DA71" i="2"/>
  <c r="Z63" i="2"/>
  <c r="AG63" i="2"/>
  <c r="BY63" i="2"/>
  <c r="BZ63" i="2"/>
  <c r="DC63" i="2" s="1"/>
  <c r="DE63" i="2" s="1"/>
  <c r="DL63" i="2" s="1"/>
  <c r="DN63" i="2" s="1"/>
  <c r="CA63" i="2"/>
  <c r="CB63" i="2"/>
  <c r="CC63" i="2"/>
  <c r="CF63" i="2"/>
  <c r="CG63" i="2"/>
  <c r="CH63" i="2"/>
  <c r="CI63" i="2"/>
  <c r="CJ63" i="2"/>
  <c r="CK63" i="2"/>
  <c r="CN63" i="2"/>
  <c r="CO63" i="2"/>
  <c r="CR63" i="2"/>
  <c r="CS63" i="2"/>
  <c r="CU63" i="2"/>
  <c r="CV63" i="2"/>
  <c r="CZ63" i="2"/>
  <c r="DA63" i="2"/>
  <c r="Z132" i="2"/>
  <c r="BY132" i="2"/>
  <c r="BZ132" i="2"/>
  <c r="DC132" i="2" s="1"/>
  <c r="DE132" i="2" s="1"/>
  <c r="DL132" i="2" s="1"/>
  <c r="DN132" i="2" s="1"/>
  <c r="CA132" i="2"/>
  <c r="CB132" i="2"/>
  <c r="CC132" i="2"/>
  <c r="CF132" i="2"/>
  <c r="CG132" i="2"/>
  <c r="CH132" i="2"/>
  <c r="CI132" i="2"/>
  <c r="CJ132" i="2"/>
  <c r="CK132" i="2"/>
  <c r="CN132" i="2"/>
  <c r="CO132" i="2"/>
  <c r="CR132" i="2"/>
  <c r="CS132" i="2"/>
  <c r="CU132" i="2"/>
  <c r="CV132" i="2"/>
  <c r="CZ132" i="2"/>
  <c r="DA132" i="2"/>
  <c r="Z80" i="2"/>
  <c r="BY80" i="2"/>
  <c r="BZ80" i="2"/>
  <c r="DC80" i="2" s="1"/>
  <c r="DE80" i="2" s="1"/>
  <c r="DL80" i="2" s="1"/>
  <c r="DN80" i="2" s="1"/>
  <c r="CA80" i="2"/>
  <c r="CB80" i="2"/>
  <c r="CC80" i="2"/>
  <c r="CF80" i="2"/>
  <c r="CG80" i="2"/>
  <c r="CH80" i="2"/>
  <c r="CI80" i="2"/>
  <c r="CJ80" i="2"/>
  <c r="CK80" i="2"/>
  <c r="CN80" i="2"/>
  <c r="CO80" i="2"/>
  <c r="CR80" i="2"/>
  <c r="CS80" i="2"/>
  <c r="CU80" i="2"/>
  <c r="CV80" i="2"/>
  <c r="CZ80" i="2"/>
  <c r="DA80" i="2"/>
  <c r="CC149" i="2"/>
  <c r="CC125" i="2"/>
  <c r="CC122" i="2"/>
  <c r="CC185" i="2"/>
  <c r="CC175" i="2"/>
  <c r="CC86" i="2"/>
  <c r="CC141" i="2"/>
  <c r="CC140" i="2"/>
  <c r="CC89" i="2"/>
  <c r="CC74" i="2"/>
  <c r="CC176" i="2"/>
  <c r="CC87" i="2"/>
  <c r="CC151" i="2"/>
  <c r="CC123" i="2"/>
  <c r="CC170" i="2"/>
  <c r="CC91" i="2"/>
  <c r="CC104" i="2"/>
  <c r="CC85" i="2"/>
  <c r="CC167" i="2"/>
  <c r="CC106" i="2"/>
  <c r="CC55" i="2"/>
  <c r="CC70" i="2"/>
  <c r="CC145" i="2"/>
  <c r="CC92" i="2"/>
  <c r="CC166" i="2"/>
  <c r="CC182" i="2"/>
  <c r="CC181" i="2"/>
  <c r="CC56" i="2"/>
  <c r="CC53" i="2"/>
  <c r="CC73" i="2"/>
  <c r="CC142" i="2"/>
  <c r="CC150" i="2"/>
  <c r="CC179" i="2"/>
  <c r="CC78" i="2"/>
  <c r="CC88" i="2"/>
  <c r="CC156" i="2"/>
  <c r="CC133" i="2"/>
  <c r="CC57" i="2"/>
  <c r="CC67" i="2"/>
  <c r="CC138" i="2"/>
  <c r="CC129" i="2"/>
  <c r="CC173" i="2"/>
  <c r="CC120" i="2"/>
  <c r="CC144" i="2"/>
  <c r="CC199" i="2"/>
  <c r="CC136" i="2"/>
  <c r="CC131" i="2"/>
  <c r="CC130" i="2"/>
  <c r="CC139" i="2"/>
  <c r="CC159" i="2"/>
  <c r="CC195" i="2"/>
  <c r="CC126" i="2"/>
  <c r="CC119" i="2"/>
  <c r="CC152" i="2"/>
  <c r="CC58" i="2"/>
  <c r="CC95" i="2"/>
  <c r="BZ149" i="2"/>
  <c r="DC149" i="2" s="1"/>
  <c r="DE149" i="2" s="1"/>
  <c r="DL149" i="2" s="1"/>
  <c r="DN149" i="2" s="1"/>
  <c r="BZ125" i="2"/>
  <c r="DC125" i="2" s="1"/>
  <c r="DE125" i="2" s="1"/>
  <c r="DL125" i="2" s="1"/>
  <c r="DN125" i="2" s="1"/>
  <c r="BZ122" i="2"/>
  <c r="DC122" i="2" s="1"/>
  <c r="DE122" i="2" s="1"/>
  <c r="DL122" i="2" s="1"/>
  <c r="DN122" i="2" s="1"/>
  <c r="BZ185" i="2"/>
  <c r="DC185" i="2" s="1"/>
  <c r="DE185" i="2" s="1"/>
  <c r="DL185" i="2" s="1"/>
  <c r="DN185" i="2" s="1"/>
  <c r="BZ175" i="2"/>
  <c r="DC175" i="2" s="1"/>
  <c r="DE175" i="2" s="1"/>
  <c r="DL175" i="2" s="1"/>
  <c r="DN175" i="2" s="1"/>
  <c r="BZ86" i="2"/>
  <c r="DC86" i="2" s="1"/>
  <c r="DE86" i="2" s="1"/>
  <c r="DL86" i="2" s="1"/>
  <c r="DN86" i="2" s="1"/>
  <c r="BZ141" i="2"/>
  <c r="DC141" i="2" s="1"/>
  <c r="DE141" i="2" s="1"/>
  <c r="DL141" i="2" s="1"/>
  <c r="DN141" i="2" s="1"/>
  <c r="BZ140" i="2"/>
  <c r="DC140" i="2" s="1"/>
  <c r="DE140" i="2" s="1"/>
  <c r="DL140" i="2" s="1"/>
  <c r="DN140" i="2" s="1"/>
  <c r="BZ89" i="2"/>
  <c r="DC89" i="2" s="1"/>
  <c r="DE89" i="2" s="1"/>
  <c r="DL89" i="2" s="1"/>
  <c r="DN89" i="2" s="1"/>
  <c r="BZ74" i="2"/>
  <c r="DC74" i="2" s="1"/>
  <c r="DE74" i="2" s="1"/>
  <c r="DL74" i="2" s="1"/>
  <c r="DN74" i="2" s="1"/>
  <c r="BZ176" i="2"/>
  <c r="DC176" i="2" s="1"/>
  <c r="DE176" i="2" s="1"/>
  <c r="DL176" i="2" s="1"/>
  <c r="DN176" i="2" s="1"/>
  <c r="BZ87" i="2"/>
  <c r="DC87" i="2" s="1"/>
  <c r="DE87" i="2" s="1"/>
  <c r="DL87" i="2" s="1"/>
  <c r="DN87" i="2" s="1"/>
  <c r="BZ151" i="2"/>
  <c r="DC151" i="2" s="1"/>
  <c r="DE151" i="2" s="1"/>
  <c r="DL151" i="2" s="1"/>
  <c r="DN151" i="2" s="1"/>
  <c r="BZ123" i="2"/>
  <c r="DC123" i="2" s="1"/>
  <c r="DE123" i="2" s="1"/>
  <c r="DL123" i="2" s="1"/>
  <c r="DN123" i="2" s="1"/>
  <c r="BZ170" i="2"/>
  <c r="DC170" i="2" s="1"/>
  <c r="DE170" i="2" s="1"/>
  <c r="DL170" i="2" s="1"/>
  <c r="DN170" i="2" s="1"/>
  <c r="BZ91" i="2"/>
  <c r="DC91" i="2" s="1"/>
  <c r="DE91" i="2" s="1"/>
  <c r="DL91" i="2" s="1"/>
  <c r="DN91" i="2" s="1"/>
  <c r="BZ104" i="2"/>
  <c r="DC104" i="2" s="1"/>
  <c r="DE104" i="2" s="1"/>
  <c r="DL104" i="2" s="1"/>
  <c r="DN104" i="2" s="1"/>
  <c r="BZ85" i="2"/>
  <c r="DC85" i="2" s="1"/>
  <c r="DE85" i="2" s="1"/>
  <c r="DL85" i="2" s="1"/>
  <c r="DN85" i="2" s="1"/>
  <c r="BZ167" i="2"/>
  <c r="DC167" i="2" s="1"/>
  <c r="DE167" i="2" s="1"/>
  <c r="DL167" i="2" s="1"/>
  <c r="DN167" i="2" s="1"/>
  <c r="BZ106" i="2"/>
  <c r="DC106" i="2" s="1"/>
  <c r="DE106" i="2" s="1"/>
  <c r="DL106" i="2" s="1"/>
  <c r="DN106" i="2" s="1"/>
  <c r="BZ55" i="2"/>
  <c r="DC55" i="2" s="1"/>
  <c r="DE55" i="2" s="1"/>
  <c r="DL55" i="2" s="1"/>
  <c r="DN55" i="2" s="1"/>
  <c r="BZ70" i="2"/>
  <c r="DC70" i="2" s="1"/>
  <c r="DE70" i="2" s="1"/>
  <c r="DL70" i="2" s="1"/>
  <c r="DN70" i="2" s="1"/>
  <c r="BZ145" i="2"/>
  <c r="DC145" i="2" s="1"/>
  <c r="DE145" i="2" s="1"/>
  <c r="DL145" i="2" s="1"/>
  <c r="DN145" i="2" s="1"/>
  <c r="BZ92" i="2"/>
  <c r="DC92" i="2" s="1"/>
  <c r="DE92" i="2" s="1"/>
  <c r="DL92" i="2" s="1"/>
  <c r="DN92" i="2" s="1"/>
  <c r="BZ166" i="2"/>
  <c r="DC166" i="2" s="1"/>
  <c r="DE166" i="2" s="1"/>
  <c r="DL166" i="2" s="1"/>
  <c r="DN166" i="2" s="1"/>
  <c r="BZ182" i="2"/>
  <c r="DC182" i="2" s="1"/>
  <c r="BZ181" i="2"/>
  <c r="DC181" i="2" s="1"/>
  <c r="DE181" i="2" s="1"/>
  <c r="DL181" i="2" s="1"/>
  <c r="DN181" i="2" s="1"/>
  <c r="BZ56" i="2"/>
  <c r="DC56" i="2" s="1"/>
  <c r="DE56" i="2" s="1"/>
  <c r="DL56" i="2" s="1"/>
  <c r="DN56" i="2" s="1"/>
  <c r="BZ53" i="2"/>
  <c r="DC53" i="2" s="1"/>
  <c r="DE53" i="2" s="1"/>
  <c r="DL53" i="2" s="1"/>
  <c r="DN53" i="2" s="1"/>
  <c r="BZ73" i="2"/>
  <c r="DC73" i="2" s="1"/>
  <c r="DE73" i="2" s="1"/>
  <c r="DL73" i="2" s="1"/>
  <c r="DN73" i="2" s="1"/>
  <c r="BZ142" i="2"/>
  <c r="DC142" i="2" s="1"/>
  <c r="DE142" i="2" s="1"/>
  <c r="DL142" i="2" s="1"/>
  <c r="DN142" i="2" s="1"/>
  <c r="BZ150" i="2"/>
  <c r="DC150" i="2" s="1"/>
  <c r="DE150" i="2" s="1"/>
  <c r="DL150" i="2" s="1"/>
  <c r="DN150" i="2" s="1"/>
  <c r="BZ179" i="2"/>
  <c r="DC179" i="2" s="1"/>
  <c r="DE179" i="2" s="1"/>
  <c r="DL179" i="2" s="1"/>
  <c r="DN179" i="2" s="1"/>
  <c r="BZ78" i="2"/>
  <c r="DC78" i="2" s="1"/>
  <c r="DE78" i="2" s="1"/>
  <c r="DL78" i="2" s="1"/>
  <c r="DN78" i="2" s="1"/>
  <c r="BZ88" i="2"/>
  <c r="DC88" i="2" s="1"/>
  <c r="DE88" i="2" s="1"/>
  <c r="DL88" i="2" s="1"/>
  <c r="DN88" i="2" s="1"/>
  <c r="BZ156" i="2"/>
  <c r="DC156" i="2" s="1"/>
  <c r="DE156" i="2" s="1"/>
  <c r="DL156" i="2" s="1"/>
  <c r="DN156" i="2" s="1"/>
  <c r="BZ133" i="2"/>
  <c r="DC133" i="2" s="1"/>
  <c r="DE133" i="2" s="1"/>
  <c r="DL133" i="2" s="1"/>
  <c r="DN133" i="2" s="1"/>
  <c r="BZ57" i="2"/>
  <c r="DC57" i="2" s="1"/>
  <c r="DE57" i="2" s="1"/>
  <c r="DL57" i="2" s="1"/>
  <c r="DN57" i="2" s="1"/>
  <c r="BZ67" i="2"/>
  <c r="DC67" i="2" s="1"/>
  <c r="DE67" i="2" s="1"/>
  <c r="DL67" i="2" s="1"/>
  <c r="DN67" i="2" s="1"/>
  <c r="BZ138" i="2"/>
  <c r="DC138" i="2" s="1"/>
  <c r="DE138" i="2" s="1"/>
  <c r="DL138" i="2" s="1"/>
  <c r="DN138" i="2" s="1"/>
  <c r="BZ129" i="2"/>
  <c r="DC129" i="2" s="1"/>
  <c r="DE129" i="2" s="1"/>
  <c r="DL129" i="2" s="1"/>
  <c r="DN129" i="2" s="1"/>
  <c r="BZ173" i="2"/>
  <c r="DC173" i="2" s="1"/>
  <c r="DE173" i="2" s="1"/>
  <c r="DL173" i="2" s="1"/>
  <c r="DN173" i="2" s="1"/>
  <c r="BZ120" i="2"/>
  <c r="DC120" i="2" s="1"/>
  <c r="DE120" i="2" s="1"/>
  <c r="DL120" i="2" s="1"/>
  <c r="DN120" i="2" s="1"/>
  <c r="BZ144" i="2"/>
  <c r="DC144" i="2" s="1"/>
  <c r="DE144" i="2" s="1"/>
  <c r="DL144" i="2" s="1"/>
  <c r="DN144" i="2" s="1"/>
  <c r="BZ199" i="2"/>
  <c r="DC199" i="2" s="1"/>
  <c r="DE199" i="2" s="1"/>
  <c r="DL199" i="2" s="1"/>
  <c r="DN199" i="2" s="1"/>
  <c r="BZ136" i="2"/>
  <c r="DC136" i="2" s="1"/>
  <c r="DE136" i="2" s="1"/>
  <c r="DL136" i="2" s="1"/>
  <c r="DN136" i="2" s="1"/>
  <c r="BZ131" i="2"/>
  <c r="DC131" i="2" s="1"/>
  <c r="DE131" i="2" s="1"/>
  <c r="DL131" i="2" s="1"/>
  <c r="DN131" i="2" s="1"/>
  <c r="BZ130" i="2"/>
  <c r="DC130" i="2" s="1"/>
  <c r="DE130" i="2" s="1"/>
  <c r="DL130" i="2" s="1"/>
  <c r="DN130" i="2" s="1"/>
  <c r="BZ139" i="2"/>
  <c r="DC139" i="2" s="1"/>
  <c r="DE139" i="2" s="1"/>
  <c r="DL139" i="2" s="1"/>
  <c r="DN139" i="2" s="1"/>
  <c r="BZ159" i="2"/>
  <c r="DC159" i="2" s="1"/>
  <c r="DE159" i="2" s="1"/>
  <c r="DL159" i="2" s="1"/>
  <c r="DN159" i="2" s="1"/>
  <c r="BZ195" i="2"/>
  <c r="DC195" i="2" s="1"/>
  <c r="DE195" i="2" s="1"/>
  <c r="DL195" i="2" s="1"/>
  <c r="DN195" i="2" s="1"/>
  <c r="BZ126" i="2"/>
  <c r="DC126" i="2" s="1"/>
  <c r="DE126" i="2" s="1"/>
  <c r="DL126" i="2" s="1"/>
  <c r="DN126" i="2" s="1"/>
  <c r="BZ119" i="2"/>
  <c r="DC119" i="2" s="1"/>
  <c r="DE119" i="2" s="1"/>
  <c r="DL119" i="2" s="1"/>
  <c r="DN119" i="2" s="1"/>
  <c r="BZ152" i="2"/>
  <c r="DC152" i="2" s="1"/>
  <c r="DE152" i="2" s="1"/>
  <c r="DL152" i="2" s="1"/>
  <c r="DN152" i="2" s="1"/>
  <c r="BZ58" i="2"/>
  <c r="DC58" i="2" s="1"/>
  <c r="DE58" i="2" s="1"/>
  <c r="DL58" i="2" s="1"/>
  <c r="DN58" i="2" s="1"/>
  <c r="BZ95" i="2"/>
  <c r="DC95" i="2" s="1"/>
  <c r="DE95" i="2" s="1"/>
  <c r="DL95" i="2" s="1"/>
  <c r="DN95" i="2" s="1"/>
  <c r="BY149" i="2"/>
  <c r="BY125" i="2"/>
  <c r="BY122" i="2"/>
  <c r="BY185" i="2"/>
  <c r="BY175" i="2"/>
  <c r="BY86" i="2"/>
  <c r="BY141" i="2"/>
  <c r="BY140" i="2"/>
  <c r="BY89" i="2"/>
  <c r="BY74" i="2"/>
  <c r="BY176" i="2"/>
  <c r="BY87" i="2"/>
  <c r="BY151" i="2"/>
  <c r="BY123" i="2"/>
  <c r="BY170" i="2"/>
  <c r="BY91" i="2"/>
  <c r="BY104" i="2"/>
  <c r="BY85" i="2"/>
  <c r="BY167" i="2"/>
  <c r="BY106" i="2"/>
  <c r="BY55" i="2"/>
  <c r="BY70" i="2"/>
  <c r="BY145" i="2"/>
  <c r="BY92" i="2"/>
  <c r="BY166" i="2"/>
  <c r="BY182" i="2"/>
  <c r="BY181" i="2"/>
  <c r="BY56" i="2"/>
  <c r="BY53" i="2"/>
  <c r="BY73" i="2"/>
  <c r="BY142" i="2"/>
  <c r="BY150" i="2"/>
  <c r="BY179" i="2"/>
  <c r="BY78" i="2"/>
  <c r="BY88" i="2"/>
  <c r="BY156" i="2"/>
  <c r="BY133" i="2"/>
  <c r="BY57" i="2"/>
  <c r="BY67" i="2"/>
  <c r="BY138" i="2"/>
  <c r="BY129" i="2"/>
  <c r="BY173" i="2"/>
  <c r="BY120" i="2"/>
  <c r="BY144" i="2"/>
  <c r="BY199" i="2"/>
  <c r="BY136" i="2"/>
  <c r="BY131" i="2"/>
  <c r="BY130" i="2"/>
  <c r="BY139" i="2"/>
  <c r="BY159" i="2"/>
  <c r="BY195" i="2"/>
  <c r="BY126" i="2"/>
  <c r="BY119" i="2"/>
  <c r="BY152" i="2"/>
  <c r="BY58" i="2"/>
  <c r="BY95" i="2"/>
  <c r="CF149" i="2"/>
  <c r="CF125" i="2"/>
  <c r="CF122" i="2"/>
  <c r="CF185" i="2"/>
  <c r="CF175" i="2"/>
  <c r="CF86" i="2"/>
  <c r="CF141" i="2"/>
  <c r="CF140" i="2"/>
  <c r="CF89" i="2"/>
  <c r="CF74" i="2"/>
  <c r="CF176" i="2"/>
  <c r="CF87" i="2"/>
  <c r="CF151" i="2"/>
  <c r="CF123" i="2"/>
  <c r="CF170" i="2"/>
  <c r="CF91" i="2"/>
  <c r="CF104" i="2"/>
  <c r="CF85" i="2"/>
  <c r="CF167" i="2"/>
  <c r="CF106" i="2"/>
  <c r="CF55" i="2"/>
  <c r="CF70" i="2"/>
  <c r="CF145" i="2"/>
  <c r="CF92" i="2"/>
  <c r="CF166" i="2"/>
  <c r="CF182" i="2"/>
  <c r="CF181" i="2"/>
  <c r="CF56" i="2"/>
  <c r="CF53" i="2"/>
  <c r="CF73" i="2"/>
  <c r="CF142" i="2"/>
  <c r="CF150" i="2"/>
  <c r="CF179" i="2"/>
  <c r="CF78" i="2"/>
  <c r="CF88" i="2"/>
  <c r="CF156" i="2"/>
  <c r="CF133" i="2"/>
  <c r="CF57" i="2"/>
  <c r="CF67" i="2"/>
  <c r="CF138" i="2"/>
  <c r="CF129" i="2"/>
  <c r="CF173" i="2"/>
  <c r="CF120" i="2"/>
  <c r="CF144" i="2"/>
  <c r="CF199" i="2"/>
  <c r="CF136" i="2"/>
  <c r="CF131" i="2"/>
  <c r="CF130" i="2"/>
  <c r="CF139" i="2"/>
  <c r="CF159" i="2"/>
  <c r="CF195" i="2"/>
  <c r="CF126" i="2"/>
  <c r="CF119" i="2"/>
  <c r="CF152" i="2"/>
  <c r="CF58" i="2"/>
  <c r="CF95" i="2"/>
  <c r="Z149" i="2"/>
  <c r="AG149" i="2"/>
  <c r="CA149" i="2"/>
  <c r="CB149" i="2"/>
  <c r="CG149" i="2"/>
  <c r="CH149" i="2"/>
  <c r="CI149" i="2"/>
  <c r="CJ149" i="2"/>
  <c r="CK149" i="2"/>
  <c r="CN149" i="2"/>
  <c r="CO149" i="2"/>
  <c r="CR149" i="2"/>
  <c r="CS149" i="2"/>
  <c r="CU149" i="2"/>
  <c r="CV149" i="2"/>
  <c r="CZ149" i="2"/>
  <c r="DA149" i="2"/>
  <c r="Z95" i="2"/>
  <c r="AG95" i="2"/>
  <c r="CA95" i="2"/>
  <c r="CB95" i="2"/>
  <c r="CG95" i="2"/>
  <c r="CH95" i="2"/>
  <c r="CI95" i="2"/>
  <c r="CJ95" i="2"/>
  <c r="CK95" i="2"/>
  <c r="CN95" i="2"/>
  <c r="CO95" i="2"/>
  <c r="CR95" i="2"/>
  <c r="CS95" i="2"/>
  <c r="CU95" i="2"/>
  <c r="CV95" i="2"/>
  <c r="CZ95" i="2"/>
  <c r="DA95" i="2"/>
  <c r="Z58" i="2"/>
  <c r="AG58" i="2"/>
  <c r="CA58" i="2"/>
  <c r="CB58" i="2"/>
  <c r="CG58" i="2"/>
  <c r="CH58" i="2"/>
  <c r="CI58" i="2"/>
  <c r="CJ58" i="2"/>
  <c r="CK58" i="2"/>
  <c r="CN58" i="2"/>
  <c r="CO58" i="2"/>
  <c r="CR58" i="2"/>
  <c r="CS58" i="2"/>
  <c r="CU58" i="2"/>
  <c r="CV58" i="2"/>
  <c r="CZ58" i="2"/>
  <c r="DA58" i="2"/>
  <c r="Z152" i="2"/>
  <c r="AG152" i="2"/>
  <c r="CA152" i="2"/>
  <c r="CE152" i="2" s="1"/>
  <c r="CB152" i="2"/>
  <c r="CG152" i="2"/>
  <c r="CH152" i="2"/>
  <c r="CI152" i="2"/>
  <c r="CJ152" i="2"/>
  <c r="CK152" i="2"/>
  <c r="CN152" i="2"/>
  <c r="CO152" i="2"/>
  <c r="CR152" i="2"/>
  <c r="CS152" i="2"/>
  <c r="CU152" i="2"/>
  <c r="CV152" i="2"/>
  <c r="CZ152" i="2"/>
  <c r="DA152" i="2"/>
  <c r="Z119" i="2"/>
  <c r="AG119" i="2"/>
  <c r="CA119" i="2"/>
  <c r="CB119" i="2"/>
  <c r="CG119" i="2"/>
  <c r="CH119" i="2"/>
  <c r="CK119" i="2"/>
  <c r="CN119" i="2"/>
  <c r="CR119" i="2"/>
  <c r="CU119" i="2"/>
  <c r="CV119" i="2"/>
  <c r="CZ119" i="2"/>
  <c r="DA119" i="2"/>
  <c r="Z126" i="2"/>
  <c r="AG126" i="2"/>
  <c r="CA126" i="2"/>
  <c r="CE126" i="2" s="1"/>
  <c r="CB126" i="2"/>
  <c r="CG126" i="2"/>
  <c r="CH126" i="2"/>
  <c r="CI126" i="2"/>
  <c r="CJ126" i="2"/>
  <c r="CK126" i="2"/>
  <c r="CN126" i="2"/>
  <c r="CO126" i="2"/>
  <c r="CR126" i="2"/>
  <c r="CS126" i="2"/>
  <c r="CU126" i="2"/>
  <c r="CV126" i="2"/>
  <c r="CZ126" i="2"/>
  <c r="DA126" i="2"/>
  <c r="Z195" i="2"/>
  <c r="AG195" i="2"/>
  <c r="CA195" i="2"/>
  <c r="CB195" i="2"/>
  <c r="CG195" i="2"/>
  <c r="CH195" i="2"/>
  <c r="CI195" i="2"/>
  <c r="CJ195" i="2"/>
  <c r="CK195" i="2"/>
  <c r="CN195" i="2"/>
  <c r="CO195" i="2"/>
  <c r="CR195" i="2"/>
  <c r="CS195" i="2"/>
  <c r="CU195" i="2"/>
  <c r="CV195" i="2"/>
  <c r="CZ195" i="2"/>
  <c r="DA195" i="2"/>
  <c r="Z159" i="2"/>
  <c r="AG159" i="2"/>
  <c r="CA159" i="2"/>
  <c r="CB159" i="2"/>
  <c r="CG159" i="2"/>
  <c r="CH159" i="2"/>
  <c r="CI159" i="2"/>
  <c r="CJ159" i="2"/>
  <c r="CK159" i="2"/>
  <c r="CN159" i="2"/>
  <c r="CO159" i="2"/>
  <c r="CR159" i="2"/>
  <c r="CS159" i="2"/>
  <c r="CU159" i="2"/>
  <c r="CV159" i="2"/>
  <c r="CZ159" i="2"/>
  <c r="DA159" i="2"/>
  <c r="Z139" i="2"/>
  <c r="AG139" i="2"/>
  <c r="CA139" i="2"/>
  <c r="CB139" i="2"/>
  <c r="CG139" i="2"/>
  <c r="CH139" i="2"/>
  <c r="CI139" i="2"/>
  <c r="CJ139" i="2"/>
  <c r="CK139" i="2"/>
  <c r="CN139" i="2"/>
  <c r="CO139" i="2"/>
  <c r="CR139" i="2"/>
  <c r="CS139" i="2"/>
  <c r="CU139" i="2"/>
  <c r="CV139" i="2"/>
  <c r="CZ139" i="2"/>
  <c r="DA139" i="2"/>
  <c r="Z130" i="2"/>
  <c r="AG130" i="2"/>
  <c r="CA130" i="2"/>
  <c r="CE130" i="2" s="1"/>
  <c r="CB130" i="2"/>
  <c r="CG130" i="2"/>
  <c r="CH130" i="2"/>
  <c r="CI130" i="2"/>
  <c r="CJ130" i="2"/>
  <c r="CK130" i="2"/>
  <c r="CN130" i="2"/>
  <c r="CO130" i="2"/>
  <c r="CR130" i="2"/>
  <c r="CS130" i="2"/>
  <c r="CU130" i="2"/>
  <c r="CV130" i="2"/>
  <c r="CZ130" i="2"/>
  <c r="DA130" i="2"/>
  <c r="Z131" i="2"/>
  <c r="AG131" i="2"/>
  <c r="CA131" i="2"/>
  <c r="CB131" i="2"/>
  <c r="CG131" i="2"/>
  <c r="CH131" i="2"/>
  <c r="CI131" i="2"/>
  <c r="CJ131" i="2"/>
  <c r="CK131" i="2"/>
  <c r="CN131" i="2"/>
  <c r="CO131" i="2"/>
  <c r="CR131" i="2"/>
  <c r="CS131" i="2"/>
  <c r="CU131" i="2"/>
  <c r="CV131" i="2"/>
  <c r="CZ131" i="2"/>
  <c r="DA131" i="2"/>
  <c r="Z136" i="2"/>
  <c r="AG136" i="2"/>
  <c r="CA136" i="2"/>
  <c r="CB136" i="2"/>
  <c r="CG136" i="2"/>
  <c r="CH136" i="2"/>
  <c r="CI136" i="2"/>
  <c r="CJ136" i="2"/>
  <c r="CK136" i="2"/>
  <c r="CN136" i="2"/>
  <c r="CO136" i="2"/>
  <c r="CR136" i="2"/>
  <c r="CS136" i="2"/>
  <c r="CU136" i="2"/>
  <c r="CV136" i="2"/>
  <c r="CZ136" i="2"/>
  <c r="DA136" i="2"/>
  <c r="Z199" i="2"/>
  <c r="AG199" i="2"/>
  <c r="CA199" i="2"/>
  <c r="CB199" i="2"/>
  <c r="CG199" i="2"/>
  <c r="CH199" i="2"/>
  <c r="CI199" i="2"/>
  <c r="CJ199" i="2"/>
  <c r="CK199" i="2"/>
  <c r="CN199" i="2"/>
  <c r="CO199" i="2"/>
  <c r="CR199" i="2"/>
  <c r="CS199" i="2"/>
  <c r="CU199" i="2"/>
  <c r="CV199" i="2"/>
  <c r="CZ199" i="2"/>
  <c r="DA199" i="2"/>
  <c r="Z144" i="2"/>
  <c r="AG144" i="2"/>
  <c r="CA144" i="2"/>
  <c r="CE144" i="2" s="1"/>
  <c r="CB144" i="2"/>
  <c r="CG144" i="2"/>
  <c r="CH144" i="2"/>
  <c r="CI144" i="2"/>
  <c r="CJ144" i="2"/>
  <c r="CK144" i="2"/>
  <c r="CN144" i="2"/>
  <c r="CO144" i="2"/>
  <c r="CR144" i="2"/>
  <c r="CS144" i="2"/>
  <c r="CU144" i="2"/>
  <c r="CV144" i="2"/>
  <c r="CZ144" i="2"/>
  <c r="DA144" i="2"/>
  <c r="Z120" i="2"/>
  <c r="AG120" i="2"/>
  <c r="CA120" i="2"/>
  <c r="CB120" i="2"/>
  <c r="CG120" i="2"/>
  <c r="CH120" i="2"/>
  <c r="CI120" i="2"/>
  <c r="CJ120" i="2"/>
  <c r="CK120" i="2"/>
  <c r="CN120" i="2"/>
  <c r="CO120" i="2"/>
  <c r="CR120" i="2"/>
  <c r="CS120" i="2"/>
  <c r="CU120" i="2"/>
  <c r="CV120" i="2"/>
  <c r="CZ120" i="2"/>
  <c r="DA120" i="2"/>
  <c r="Z173" i="2"/>
  <c r="AG173" i="2"/>
  <c r="CA173" i="2"/>
  <c r="CB173" i="2"/>
  <c r="CG173" i="2"/>
  <c r="CH173" i="2"/>
  <c r="CI173" i="2"/>
  <c r="CP173" i="2" s="1"/>
  <c r="CJ173" i="2"/>
  <c r="CK173" i="2"/>
  <c r="CN173" i="2"/>
  <c r="CO173" i="2"/>
  <c r="CR173" i="2"/>
  <c r="CS173" i="2"/>
  <c r="CU173" i="2"/>
  <c r="CV173" i="2"/>
  <c r="CZ173" i="2"/>
  <c r="DA173" i="2"/>
  <c r="Z129" i="2"/>
  <c r="AG129" i="2"/>
  <c r="CA129" i="2"/>
  <c r="CB129" i="2"/>
  <c r="CG129" i="2"/>
  <c r="CH129" i="2"/>
  <c r="CI129" i="2"/>
  <c r="CJ129" i="2"/>
  <c r="CK129" i="2"/>
  <c r="CN129" i="2"/>
  <c r="CO129" i="2"/>
  <c r="CR129" i="2"/>
  <c r="CS129" i="2"/>
  <c r="CU129" i="2"/>
  <c r="CV129" i="2"/>
  <c r="CZ129" i="2"/>
  <c r="DA129" i="2"/>
  <c r="Z138" i="2"/>
  <c r="AG138" i="2"/>
  <c r="CA138" i="2"/>
  <c r="CE138" i="2" s="1"/>
  <c r="CB138" i="2"/>
  <c r="CG138" i="2"/>
  <c r="CH138" i="2"/>
  <c r="CI138" i="2"/>
  <c r="CJ138" i="2"/>
  <c r="CK138" i="2"/>
  <c r="CN138" i="2"/>
  <c r="CO138" i="2"/>
  <c r="CR138" i="2"/>
  <c r="CS138" i="2"/>
  <c r="CU138" i="2"/>
  <c r="CV138" i="2"/>
  <c r="CZ138" i="2"/>
  <c r="DA138" i="2"/>
  <c r="Z67" i="2"/>
  <c r="AG67" i="2"/>
  <c r="CA67" i="2"/>
  <c r="CB67" i="2"/>
  <c r="CG67" i="2"/>
  <c r="CH67" i="2"/>
  <c r="CI67" i="2"/>
  <c r="CJ67" i="2"/>
  <c r="CK67" i="2"/>
  <c r="CN67" i="2"/>
  <c r="CO67" i="2"/>
  <c r="CR67" i="2"/>
  <c r="CS67" i="2"/>
  <c r="CU67" i="2"/>
  <c r="CV67" i="2"/>
  <c r="CZ67" i="2"/>
  <c r="DA67" i="2"/>
  <c r="Z57" i="2"/>
  <c r="AG57" i="2"/>
  <c r="CA57" i="2"/>
  <c r="CB57" i="2"/>
  <c r="CG57" i="2"/>
  <c r="CH57" i="2"/>
  <c r="CI57" i="2"/>
  <c r="CJ57" i="2"/>
  <c r="CK57" i="2"/>
  <c r="CN57" i="2"/>
  <c r="CO57" i="2"/>
  <c r="CR57" i="2"/>
  <c r="CS57" i="2"/>
  <c r="CU57" i="2"/>
  <c r="CV57" i="2"/>
  <c r="CZ57" i="2"/>
  <c r="DA57" i="2"/>
  <c r="Z156" i="2"/>
  <c r="AG156" i="2"/>
  <c r="CA156" i="2"/>
  <c r="CB156" i="2"/>
  <c r="CG156" i="2"/>
  <c r="CH156" i="2"/>
  <c r="CI156" i="2"/>
  <c r="CJ156" i="2"/>
  <c r="CK156" i="2"/>
  <c r="CN156" i="2"/>
  <c r="CO156" i="2"/>
  <c r="CR156" i="2"/>
  <c r="CS156" i="2"/>
  <c r="CU156" i="2"/>
  <c r="CV156" i="2"/>
  <c r="CZ156" i="2"/>
  <c r="DA156" i="2"/>
  <c r="Z88" i="2"/>
  <c r="AG88" i="2"/>
  <c r="CA88" i="2"/>
  <c r="CB88" i="2"/>
  <c r="CG88" i="2"/>
  <c r="CH88" i="2"/>
  <c r="CI88" i="2"/>
  <c r="CJ88" i="2"/>
  <c r="CK88" i="2"/>
  <c r="CN88" i="2"/>
  <c r="CO88" i="2"/>
  <c r="CR88" i="2"/>
  <c r="CS88" i="2"/>
  <c r="CU88" i="2"/>
  <c r="CV88" i="2"/>
  <c r="CZ88" i="2"/>
  <c r="DA88" i="2"/>
  <c r="Z78" i="2"/>
  <c r="AG78" i="2"/>
  <c r="CA78" i="2"/>
  <c r="CB78" i="2"/>
  <c r="CG78" i="2"/>
  <c r="CH78" i="2"/>
  <c r="CI78" i="2"/>
  <c r="CJ78" i="2"/>
  <c r="CK78" i="2"/>
  <c r="CN78" i="2"/>
  <c r="CO78" i="2"/>
  <c r="CR78" i="2"/>
  <c r="CS78" i="2"/>
  <c r="CU78" i="2"/>
  <c r="CV78" i="2"/>
  <c r="CZ78" i="2"/>
  <c r="DA78" i="2"/>
  <c r="Z179" i="2"/>
  <c r="AG179" i="2"/>
  <c r="CA179" i="2"/>
  <c r="CB179" i="2"/>
  <c r="CG179" i="2"/>
  <c r="CH179" i="2"/>
  <c r="CI179" i="2"/>
  <c r="CJ179" i="2"/>
  <c r="CK179" i="2"/>
  <c r="CN179" i="2"/>
  <c r="CO179" i="2"/>
  <c r="CR179" i="2"/>
  <c r="CS179" i="2"/>
  <c r="CU179" i="2"/>
  <c r="CV179" i="2"/>
  <c r="CZ179" i="2"/>
  <c r="DA179" i="2"/>
  <c r="Z150" i="2"/>
  <c r="AG150" i="2"/>
  <c r="CA150" i="2"/>
  <c r="CB150" i="2"/>
  <c r="CG150" i="2"/>
  <c r="CH150" i="2"/>
  <c r="CI150" i="2"/>
  <c r="CJ150" i="2"/>
  <c r="CK150" i="2"/>
  <c r="CN150" i="2"/>
  <c r="CO150" i="2"/>
  <c r="CR150" i="2"/>
  <c r="CS150" i="2"/>
  <c r="CU150" i="2"/>
  <c r="CV150" i="2"/>
  <c r="CZ150" i="2"/>
  <c r="DA150" i="2"/>
  <c r="Z142" i="2"/>
  <c r="AG142" i="2"/>
  <c r="CA142" i="2"/>
  <c r="CB142" i="2"/>
  <c r="CG142" i="2"/>
  <c r="CH142" i="2"/>
  <c r="CI142" i="2"/>
  <c r="CJ142" i="2"/>
  <c r="CK142" i="2"/>
  <c r="CN142" i="2"/>
  <c r="CO142" i="2"/>
  <c r="CR142" i="2"/>
  <c r="CS142" i="2"/>
  <c r="CU142" i="2"/>
  <c r="CV142" i="2"/>
  <c r="CZ142" i="2"/>
  <c r="DA142" i="2"/>
  <c r="Z73" i="2"/>
  <c r="CA73" i="2"/>
  <c r="CB73" i="2"/>
  <c r="CG73" i="2"/>
  <c r="CH73" i="2"/>
  <c r="CI73" i="2"/>
  <c r="CJ73" i="2"/>
  <c r="CK73" i="2"/>
  <c r="CN73" i="2"/>
  <c r="CO73" i="2"/>
  <c r="CR73" i="2"/>
  <c r="CS73" i="2"/>
  <c r="CU73" i="2"/>
  <c r="CV73" i="2"/>
  <c r="CZ73" i="2"/>
  <c r="DA73" i="2"/>
  <c r="Z53" i="2"/>
  <c r="AG53" i="2"/>
  <c r="CA53" i="2"/>
  <c r="CB53" i="2"/>
  <c r="CG53" i="2"/>
  <c r="CH53" i="2"/>
  <c r="CI53" i="2"/>
  <c r="CJ53" i="2"/>
  <c r="CK53" i="2"/>
  <c r="CN53" i="2"/>
  <c r="CO53" i="2"/>
  <c r="CR53" i="2"/>
  <c r="CS53" i="2"/>
  <c r="CU53" i="2"/>
  <c r="CV53" i="2"/>
  <c r="CZ53" i="2"/>
  <c r="DA53" i="2"/>
  <c r="Z56" i="2"/>
  <c r="AG56" i="2"/>
  <c r="CA56" i="2"/>
  <c r="CB56" i="2"/>
  <c r="CG56" i="2"/>
  <c r="CH56" i="2"/>
  <c r="CI56" i="2"/>
  <c r="CJ56" i="2"/>
  <c r="CK56" i="2"/>
  <c r="CN56" i="2"/>
  <c r="CO56" i="2"/>
  <c r="CR56" i="2"/>
  <c r="CS56" i="2"/>
  <c r="CU56" i="2"/>
  <c r="CV56" i="2"/>
  <c r="CZ56" i="2"/>
  <c r="DA56" i="2"/>
  <c r="Z181" i="2"/>
  <c r="AG181" i="2"/>
  <c r="CA181" i="2"/>
  <c r="CB181" i="2"/>
  <c r="CG181" i="2"/>
  <c r="CH181" i="2"/>
  <c r="CI181" i="2"/>
  <c r="CJ181" i="2"/>
  <c r="CK181" i="2"/>
  <c r="CN181" i="2"/>
  <c r="CO181" i="2"/>
  <c r="CR181" i="2"/>
  <c r="CS181" i="2"/>
  <c r="CU181" i="2"/>
  <c r="CV181" i="2"/>
  <c r="CZ181" i="2"/>
  <c r="DA181" i="2"/>
  <c r="Z182" i="2"/>
  <c r="AG182" i="2"/>
  <c r="CA182" i="2"/>
  <c r="CB182" i="2"/>
  <c r="CG182" i="2"/>
  <c r="CH182" i="2"/>
  <c r="CI182" i="2"/>
  <c r="CJ182" i="2"/>
  <c r="CK182" i="2"/>
  <c r="CN182" i="2"/>
  <c r="CO182" i="2"/>
  <c r="CR182" i="2"/>
  <c r="CS182" i="2"/>
  <c r="CU182" i="2"/>
  <c r="CV182" i="2"/>
  <c r="CZ182" i="2"/>
  <c r="DA182" i="2"/>
  <c r="Z166" i="2"/>
  <c r="AG166" i="2"/>
  <c r="CA166" i="2"/>
  <c r="CB166" i="2"/>
  <c r="CG166" i="2"/>
  <c r="CH166" i="2"/>
  <c r="CJ166" i="2"/>
  <c r="CN166" i="2"/>
  <c r="CR166" i="2"/>
  <c r="CS166" i="2"/>
  <c r="CU166" i="2"/>
  <c r="CZ166" i="2"/>
  <c r="DA166" i="2"/>
  <c r="Z92" i="2"/>
  <c r="CA92" i="2"/>
  <c r="CB92" i="2"/>
  <c r="CG92" i="2"/>
  <c r="CH92" i="2"/>
  <c r="CI92" i="2"/>
  <c r="CJ92" i="2"/>
  <c r="CK92" i="2"/>
  <c r="CN92" i="2"/>
  <c r="CO92" i="2"/>
  <c r="CR92" i="2"/>
  <c r="CS92" i="2"/>
  <c r="CU92" i="2"/>
  <c r="CV92" i="2"/>
  <c r="CZ92" i="2"/>
  <c r="DA92" i="2"/>
  <c r="Z145" i="2"/>
  <c r="AG145" i="2"/>
  <c r="CA145" i="2"/>
  <c r="CB145" i="2"/>
  <c r="CG145" i="2"/>
  <c r="CH145" i="2"/>
  <c r="CI145" i="2"/>
  <c r="CJ145" i="2"/>
  <c r="CK145" i="2"/>
  <c r="CN145" i="2"/>
  <c r="CO145" i="2"/>
  <c r="CR145" i="2"/>
  <c r="CS145" i="2"/>
  <c r="CU145" i="2"/>
  <c r="CV145" i="2"/>
  <c r="CZ145" i="2"/>
  <c r="DA145" i="2"/>
  <c r="Z70" i="2"/>
  <c r="AG70" i="2"/>
  <c r="CA70" i="2"/>
  <c r="CB70" i="2"/>
  <c r="CG70" i="2"/>
  <c r="CH70" i="2"/>
  <c r="CI70" i="2"/>
  <c r="CJ70" i="2"/>
  <c r="CK70" i="2"/>
  <c r="CN70" i="2"/>
  <c r="CO70" i="2"/>
  <c r="CR70" i="2"/>
  <c r="CS70" i="2"/>
  <c r="CU70" i="2"/>
  <c r="CV70" i="2"/>
  <c r="CZ70" i="2"/>
  <c r="DA70" i="2"/>
  <c r="DL182" i="2"/>
  <c r="Z106" i="2"/>
  <c r="AG106" i="2"/>
  <c r="CA106" i="2"/>
  <c r="CB106" i="2"/>
  <c r="CG106" i="2"/>
  <c r="CH106" i="2"/>
  <c r="CI106" i="2"/>
  <c r="CJ106" i="2"/>
  <c r="CK106" i="2"/>
  <c r="CN106" i="2"/>
  <c r="CO106" i="2"/>
  <c r="CR106" i="2"/>
  <c r="CS106" i="2"/>
  <c r="CU106" i="2"/>
  <c r="CV106" i="2"/>
  <c r="CZ106" i="2"/>
  <c r="DA106" i="2"/>
  <c r="Z167" i="2"/>
  <c r="AG167" i="2"/>
  <c r="CA167" i="2"/>
  <c r="CB167" i="2"/>
  <c r="CG167" i="2"/>
  <c r="CH167" i="2"/>
  <c r="CI167" i="2"/>
  <c r="CJ167" i="2"/>
  <c r="CK167" i="2"/>
  <c r="CN167" i="2"/>
  <c r="CO167" i="2"/>
  <c r="CR167" i="2"/>
  <c r="CS167" i="2"/>
  <c r="CU167" i="2"/>
  <c r="CV167" i="2"/>
  <c r="CZ167" i="2"/>
  <c r="DA167" i="2"/>
  <c r="Z85" i="2"/>
  <c r="AG85" i="2"/>
  <c r="CA85" i="2"/>
  <c r="CB85" i="2"/>
  <c r="CG85" i="2"/>
  <c r="CH85" i="2"/>
  <c r="CJ85" i="2"/>
  <c r="CN85" i="2"/>
  <c r="CR85" i="2"/>
  <c r="CS85" i="2"/>
  <c r="CU85" i="2"/>
  <c r="CZ85" i="2"/>
  <c r="DA85" i="2"/>
  <c r="Z104" i="2"/>
  <c r="AG104" i="2"/>
  <c r="CA104" i="2"/>
  <c r="CB104" i="2"/>
  <c r="CG104" i="2"/>
  <c r="CH104" i="2"/>
  <c r="CJ104" i="2"/>
  <c r="CN104" i="2"/>
  <c r="CR104" i="2"/>
  <c r="CS104" i="2"/>
  <c r="CU104" i="2"/>
  <c r="CZ104" i="2"/>
  <c r="DA104" i="2"/>
  <c r="Z91" i="2"/>
  <c r="AG91" i="2"/>
  <c r="CA91" i="2"/>
  <c r="CB91" i="2"/>
  <c r="CG91" i="2"/>
  <c r="CH91" i="2"/>
  <c r="CI91" i="2"/>
  <c r="CJ91" i="2"/>
  <c r="CK91" i="2"/>
  <c r="CN91" i="2"/>
  <c r="CO91" i="2"/>
  <c r="CR91" i="2"/>
  <c r="CS91" i="2"/>
  <c r="CU91" i="2"/>
  <c r="CV91" i="2"/>
  <c r="CZ91" i="2"/>
  <c r="DA91" i="2"/>
  <c r="Z170" i="2"/>
  <c r="AG170" i="2"/>
  <c r="CA170" i="2"/>
  <c r="CB170" i="2"/>
  <c r="CG170" i="2"/>
  <c r="CH170" i="2"/>
  <c r="CI170" i="2"/>
  <c r="CJ170" i="2"/>
  <c r="CK170" i="2"/>
  <c r="CN170" i="2"/>
  <c r="CO170" i="2"/>
  <c r="CR170" i="2"/>
  <c r="CS170" i="2"/>
  <c r="CU170" i="2"/>
  <c r="CV170" i="2"/>
  <c r="CZ170" i="2"/>
  <c r="DA170" i="2"/>
  <c r="Z123" i="2"/>
  <c r="AG123" i="2"/>
  <c r="CA123" i="2"/>
  <c r="CB123" i="2"/>
  <c r="CG123" i="2"/>
  <c r="CH123" i="2"/>
  <c r="CI123" i="2"/>
  <c r="CJ123" i="2"/>
  <c r="CK123" i="2"/>
  <c r="CN123" i="2"/>
  <c r="CO123" i="2"/>
  <c r="CR123" i="2"/>
  <c r="CS123" i="2"/>
  <c r="CU123" i="2"/>
  <c r="CV123" i="2"/>
  <c r="CZ123" i="2"/>
  <c r="DA123" i="2"/>
  <c r="Z151" i="2"/>
  <c r="AG151" i="2"/>
  <c r="CA151" i="2"/>
  <c r="CB151" i="2"/>
  <c r="CG151" i="2"/>
  <c r="CH151" i="2"/>
  <c r="CI151" i="2"/>
  <c r="CJ151" i="2"/>
  <c r="CK151" i="2"/>
  <c r="CN151" i="2"/>
  <c r="CO151" i="2"/>
  <c r="CR151" i="2"/>
  <c r="CS151" i="2"/>
  <c r="CU151" i="2"/>
  <c r="CV151" i="2"/>
  <c r="CZ151" i="2"/>
  <c r="DA151" i="2"/>
  <c r="Z87" i="2"/>
  <c r="AG87" i="2"/>
  <c r="CA87" i="2"/>
  <c r="CB87" i="2"/>
  <c r="CG87" i="2"/>
  <c r="CH87" i="2"/>
  <c r="CI87" i="2"/>
  <c r="CJ87" i="2"/>
  <c r="CK87" i="2"/>
  <c r="CN87" i="2"/>
  <c r="CO87" i="2"/>
  <c r="CR87" i="2"/>
  <c r="CS87" i="2"/>
  <c r="CU87" i="2"/>
  <c r="CV87" i="2"/>
  <c r="CZ87" i="2"/>
  <c r="DA87" i="2"/>
  <c r="Z176" i="2"/>
  <c r="AG176" i="2"/>
  <c r="CA176" i="2"/>
  <c r="CB176" i="2"/>
  <c r="CG176" i="2"/>
  <c r="CH176" i="2"/>
  <c r="CI176" i="2"/>
  <c r="CJ176" i="2"/>
  <c r="CK176" i="2"/>
  <c r="CN176" i="2"/>
  <c r="CO176" i="2"/>
  <c r="CR176" i="2"/>
  <c r="CS176" i="2"/>
  <c r="CU176" i="2"/>
  <c r="CV176" i="2"/>
  <c r="CZ176" i="2"/>
  <c r="DA176" i="2"/>
  <c r="Z89" i="2"/>
  <c r="AG89" i="2"/>
  <c r="CA89" i="2"/>
  <c r="CB89" i="2"/>
  <c r="CG89" i="2"/>
  <c r="CH89" i="2"/>
  <c r="CI89" i="2"/>
  <c r="CJ89" i="2"/>
  <c r="CK89" i="2"/>
  <c r="CN89" i="2"/>
  <c r="CO89" i="2"/>
  <c r="CR89" i="2"/>
  <c r="CS89" i="2"/>
  <c r="CU89" i="2"/>
  <c r="CV89" i="2"/>
  <c r="CZ89" i="2"/>
  <c r="DA89" i="2"/>
  <c r="K1034" i="10"/>
  <c r="T1085" i="10" s="1"/>
  <c r="J1034" i="10"/>
  <c r="T1064" i="10" s="1"/>
  <c r="K1031" i="10"/>
  <c r="Q1085" i="10" s="1"/>
  <c r="J1031" i="10"/>
  <c r="Q1064" i="10" s="1"/>
  <c r="G1034" i="10"/>
  <c r="F1034" i="10"/>
  <c r="G1031" i="10"/>
  <c r="E1034" i="10"/>
  <c r="T1082" i="10" s="1"/>
  <c r="D1034" i="10"/>
  <c r="E1031" i="10"/>
  <c r="Q1082" i="10" s="1"/>
  <c r="J1024" i="10"/>
  <c r="P1043" i="10" s="1"/>
  <c r="J1020" i="10"/>
  <c r="F1024" i="10"/>
  <c r="F1020" i="10"/>
  <c r="D1024" i="10"/>
  <c r="P1040" i="10" s="1"/>
  <c r="D1020" i="10"/>
  <c r="S1040" i="10" s="1"/>
  <c r="A667" i="11"/>
  <c r="A666" i="11"/>
  <c r="A665" i="11"/>
  <c r="A664" i="11"/>
  <c r="A663" i="11"/>
  <c r="A662" i="11"/>
  <c r="A661" i="11"/>
  <c r="A660" i="11"/>
  <c r="A659" i="11"/>
  <c r="A658" i="11"/>
  <c r="A657" i="11"/>
  <c r="A656" i="11"/>
  <c r="A655" i="11"/>
  <c r="A654" i="11"/>
  <c r="A653" i="11"/>
  <c r="A652" i="11"/>
  <c r="A651" i="11"/>
  <c r="A650" i="11"/>
  <c r="A649" i="11"/>
  <c r="A648" i="11"/>
  <c r="A647" i="11"/>
  <c r="A646" i="11"/>
  <c r="A645" i="11"/>
  <c r="A644" i="11"/>
  <c r="A643" i="11"/>
  <c r="A642" i="11"/>
  <c r="A641" i="11"/>
  <c r="A640" i="11"/>
  <c r="A639" i="11"/>
  <c r="A638" i="11"/>
  <c r="A637" i="11"/>
  <c r="A636" i="11"/>
  <c r="A635" i="11"/>
  <c r="A634" i="11"/>
  <c r="A633" i="11"/>
  <c r="A632" i="11"/>
  <c r="A631" i="11"/>
  <c r="A630" i="11"/>
  <c r="A629" i="11"/>
  <c r="A628" i="11"/>
  <c r="A627" i="11"/>
  <c r="A626" i="11"/>
  <c r="A625" i="11"/>
  <c r="A624" i="11"/>
  <c r="A623" i="11"/>
  <c r="A622" i="11"/>
  <c r="A621" i="11"/>
  <c r="A620" i="11"/>
  <c r="A619" i="11"/>
  <c r="A618" i="11"/>
  <c r="A617" i="11"/>
  <c r="A616" i="11"/>
  <c r="A615" i="11"/>
  <c r="A614" i="11"/>
  <c r="A613" i="11"/>
  <c r="A612" i="11"/>
  <c r="A611" i="11"/>
  <c r="A610" i="11"/>
  <c r="A609" i="11"/>
  <c r="A608" i="11"/>
  <c r="A607" i="11"/>
  <c r="A606" i="11"/>
  <c r="A605" i="11"/>
  <c r="A604" i="11"/>
  <c r="A603" i="11"/>
  <c r="A602" i="11"/>
  <c r="A601" i="11"/>
  <c r="A600" i="11"/>
  <c r="A599" i="11"/>
  <c r="A598" i="11"/>
  <c r="A597" i="11"/>
  <c r="A596" i="11"/>
  <c r="A595" i="11"/>
  <c r="A594" i="11"/>
  <c r="A593" i="11"/>
  <c r="A592" i="11"/>
  <c r="A591" i="11"/>
  <c r="A590" i="11"/>
  <c r="A589" i="11"/>
  <c r="A588" i="11"/>
  <c r="A587" i="11"/>
  <c r="A586" i="11"/>
  <c r="A585" i="11"/>
  <c r="A584" i="11"/>
  <c r="A583" i="11"/>
  <c r="A582" i="11"/>
  <c r="A581" i="11"/>
  <c r="A580" i="11"/>
  <c r="A579" i="11"/>
  <c r="A578" i="11"/>
  <c r="A577" i="11"/>
  <c r="A576" i="11"/>
  <c r="A575" i="11"/>
  <c r="A574" i="11"/>
  <c r="A573" i="11"/>
  <c r="A572" i="11"/>
  <c r="A571" i="11"/>
  <c r="A570" i="11"/>
  <c r="A569" i="11"/>
  <c r="A568" i="11"/>
  <c r="A567" i="11"/>
  <c r="A566" i="11"/>
  <c r="A565" i="11"/>
  <c r="A564" i="11"/>
  <c r="A563" i="11"/>
  <c r="A562" i="11"/>
  <c r="A561" i="11"/>
  <c r="A560" i="11"/>
  <c r="A559" i="11"/>
  <c r="A558" i="11"/>
  <c r="A557" i="11"/>
  <c r="A556" i="11"/>
  <c r="A555" i="11"/>
  <c r="A554" i="11"/>
  <c r="A553" i="11"/>
  <c r="A552" i="11"/>
  <c r="A551" i="11"/>
  <c r="A550" i="11"/>
  <c r="A549" i="11"/>
  <c r="A548" i="11"/>
  <c r="A547" i="11"/>
  <c r="A546" i="11"/>
  <c r="A545" i="11"/>
  <c r="A544" i="11"/>
  <c r="A543" i="11"/>
  <c r="A506" i="11"/>
  <c r="A507" i="11" s="1"/>
  <c r="A508" i="11" s="1"/>
  <c r="A501" i="11"/>
  <c r="A500" i="11"/>
  <c r="A499" i="11"/>
  <c r="A498" i="11"/>
  <c r="A497" i="11"/>
  <c r="A496" i="11"/>
  <c r="A495" i="11"/>
  <c r="A494" i="11"/>
  <c r="A493" i="11"/>
  <c r="A492" i="11"/>
  <c r="A491" i="11"/>
  <c r="A490" i="11"/>
  <c r="A489" i="11"/>
  <c r="A488" i="11"/>
  <c r="A487" i="11"/>
  <c r="A486" i="11"/>
  <c r="A485" i="11"/>
  <c r="A484" i="11"/>
  <c r="A483" i="11"/>
  <c r="A482" i="11"/>
  <c r="A481" i="11"/>
  <c r="A480" i="11"/>
  <c r="A479" i="11"/>
  <c r="A427" i="11"/>
  <c r="A426" i="11"/>
  <c r="A425" i="11"/>
  <c r="A424" i="11"/>
  <c r="A423" i="11"/>
  <c r="A422" i="11"/>
  <c r="A421" i="11"/>
  <c r="A420" i="11"/>
  <c r="A419" i="11"/>
  <c r="A418" i="11"/>
  <c r="A411" i="11"/>
  <c r="A401" i="11"/>
  <c r="A400" i="11"/>
  <c r="A399" i="11"/>
  <c r="A398" i="11"/>
  <c r="A397" i="11"/>
  <c r="A396" i="11"/>
  <c r="A395" i="11"/>
  <c r="A394" i="11"/>
  <c r="A393" i="11"/>
  <c r="A392" i="11"/>
  <c r="A391" i="11"/>
  <c r="A390" i="11"/>
  <c r="A389" i="11"/>
  <c r="A388" i="11"/>
  <c r="A387" i="11"/>
  <c r="A386" i="11"/>
  <c r="A385" i="11"/>
  <c r="A384" i="11"/>
  <c r="A383" i="11"/>
  <c r="A382" i="11"/>
  <c r="A381" i="11"/>
  <c r="A380" i="11"/>
  <c r="A379" i="11"/>
  <c r="A378" i="11"/>
  <c r="A370" i="11"/>
  <c r="A369" i="11"/>
  <c r="A368" i="11"/>
  <c r="A367" i="11"/>
  <c r="A366" i="11"/>
  <c r="A365" i="11"/>
  <c r="A364" i="11"/>
  <c r="A315" i="11"/>
  <c r="A314" i="11"/>
  <c r="A313" i="11"/>
  <c r="A312" i="11"/>
  <c r="A311" i="11"/>
  <c r="A296" i="11"/>
  <c r="A291" i="11"/>
  <c r="A290" i="11"/>
  <c r="A289" i="11"/>
  <c r="A288" i="11"/>
  <c r="A287" i="11"/>
  <c r="A286" i="11"/>
  <c r="A285" i="11"/>
  <c r="A284" i="11"/>
  <c r="A283" i="11"/>
  <c r="A282" i="11"/>
  <c r="A281" i="11"/>
  <c r="A280" i="11"/>
  <c r="A279" i="11"/>
  <c r="A278" i="11"/>
  <c r="A277" i="11"/>
  <c r="A276" i="11"/>
  <c r="A275" i="11"/>
  <c r="A274" i="11"/>
  <c r="A273" i="11"/>
  <c r="A272" i="11"/>
  <c r="A271" i="11"/>
  <c r="A270" i="11"/>
  <c r="A269" i="11"/>
  <c r="A268" i="11"/>
  <c r="A267" i="11"/>
  <c r="A266" i="11"/>
  <c r="A265" i="11"/>
  <c r="A264" i="11"/>
  <c r="A263" i="11"/>
  <c r="A262" i="11"/>
  <c r="A261" i="11"/>
  <c r="A260" i="11"/>
  <c r="A259" i="11"/>
  <c r="A258" i="11"/>
  <c r="A257" i="11"/>
  <c r="A256" i="11"/>
  <c r="A255" i="11"/>
  <c r="A254" i="11"/>
  <c r="A253" i="11"/>
  <c r="A252" i="11"/>
  <c r="A251" i="11"/>
  <c r="A250" i="11"/>
  <c r="A249" i="11"/>
  <c r="A248" i="11"/>
  <c r="A247" i="11"/>
  <c r="A246" i="11"/>
  <c r="A245" i="11"/>
  <c r="A244" i="11"/>
  <c r="A243" i="11"/>
  <c r="A242" i="11"/>
  <c r="A241" i="11"/>
  <c r="A240" i="11"/>
  <c r="A239" i="11"/>
  <c r="A238" i="11"/>
  <c r="A237" i="11"/>
  <c r="A236" i="11"/>
  <c r="A235" i="11"/>
  <c r="A234" i="11"/>
  <c r="A233" i="11"/>
  <c r="A232" i="11"/>
  <c r="A231" i="11"/>
  <c r="A230" i="11"/>
  <c r="A229" i="11"/>
  <c r="A228" i="11"/>
  <c r="A227" i="11"/>
  <c r="A226" i="11"/>
  <c r="A225" i="11"/>
  <c r="A224" i="11"/>
  <c r="A223" i="11"/>
  <c r="A222" i="11"/>
  <c r="A221" i="11"/>
  <c r="A220" i="11"/>
  <c r="A219" i="11"/>
  <c r="A218" i="11"/>
  <c r="A217" i="11"/>
  <c r="A216" i="11"/>
  <c r="A215" i="11"/>
  <c r="A214" i="11"/>
  <c r="A213" i="11"/>
  <c r="A212" i="11"/>
  <c r="A211" i="11"/>
  <c r="A210" i="11"/>
  <c r="A209" i="11"/>
  <c r="A208" i="11"/>
  <c r="A207" i="11"/>
  <c r="A206" i="11"/>
  <c r="A205" i="11"/>
  <c r="A204" i="11"/>
  <c r="A203" i="11"/>
  <c r="A202" i="11"/>
  <c r="A201" i="11"/>
  <c r="A200" i="11"/>
  <c r="A199" i="11"/>
  <c r="A198" i="11"/>
  <c r="A192" i="11"/>
  <c r="A187" i="11"/>
  <c r="A186" i="11"/>
  <c r="A185" i="11"/>
  <c r="A184" i="11"/>
  <c r="A183" i="11"/>
  <c r="A182" i="11"/>
  <c r="A181" i="11"/>
  <c r="A180" i="11"/>
  <c r="A179" i="11"/>
  <c r="A178" i="11"/>
  <c r="A177" i="11"/>
  <c r="A176" i="11"/>
  <c r="A175" i="11"/>
  <c r="A174" i="11"/>
  <c r="A173" i="11"/>
  <c r="A172" i="11"/>
  <c r="A171" i="11"/>
  <c r="A170" i="11"/>
  <c r="A169" i="11"/>
  <c r="A168" i="11"/>
  <c r="A167" i="11"/>
  <c r="A166" i="11"/>
  <c r="A165" i="11"/>
  <c r="A164" i="11"/>
  <c r="A163" i="11"/>
  <c r="A162" i="11"/>
  <c r="A161" i="11"/>
  <c r="A160" i="11"/>
  <c r="A159" i="11"/>
  <c r="A158" i="11"/>
  <c r="A157" i="11"/>
  <c r="A156" i="11"/>
  <c r="A155" i="11"/>
  <c r="A154" i="11"/>
  <c r="A153" i="11"/>
  <c r="A152" i="11"/>
  <c r="A151" i="11"/>
  <c r="A150" i="11"/>
  <c r="A149" i="11"/>
  <c r="A148" i="11"/>
  <c r="A147" i="11"/>
  <c r="A146" i="11"/>
  <c r="A145" i="11"/>
  <c r="A144" i="11"/>
  <c r="A143" i="11"/>
  <c r="A142" i="11"/>
  <c r="A141" i="11"/>
  <c r="A140" i="11"/>
  <c r="A139" i="11"/>
  <c r="A138" i="11"/>
  <c r="A137" i="11"/>
  <c r="A136" i="11"/>
  <c r="A135" i="11"/>
  <c r="A134" i="11"/>
  <c r="A133" i="11"/>
  <c r="A132" i="11"/>
  <c r="A131" i="11"/>
  <c r="A130" i="11"/>
  <c r="A129" i="11"/>
  <c r="A128" i="11"/>
  <c r="A127" i="11"/>
  <c r="A126" i="11"/>
  <c r="A125" i="11"/>
  <c r="A124" i="11"/>
  <c r="A108" i="11"/>
  <c r="A107" i="11"/>
  <c r="A106" i="11"/>
  <c r="A105" i="11"/>
  <c r="A104" i="11"/>
  <c r="A103" i="11"/>
  <c r="A102" i="11"/>
  <c r="A101" i="11"/>
  <c r="A100" i="11"/>
  <c r="A99" i="11"/>
  <c r="A98" i="11"/>
  <c r="A97" i="11"/>
  <c r="A74" i="11"/>
  <c r="A9" i="11"/>
  <c r="A10" i="11" s="1"/>
  <c r="A11" i="11" s="1"/>
  <c r="A12" i="11" s="1"/>
  <c r="S6" i="11"/>
  <c r="S5" i="11"/>
  <c r="A9" i="10"/>
  <c r="A10" i="10" s="1"/>
  <c r="A11" i="10" s="1"/>
  <c r="A12" i="10" s="1"/>
  <c r="A13" i="10" s="1"/>
  <c r="A43" i="10"/>
  <c r="A78" i="10"/>
  <c r="A95" i="10"/>
  <c r="A96" i="10"/>
  <c r="A97" i="10"/>
  <c r="A98" i="10"/>
  <c r="A99" i="10"/>
  <c r="A100" i="10"/>
  <c r="A101" i="10"/>
  <c r="A102" i="10"/>
  <c r="A103" i="10"/>
  <c r="A104" i="10"/>
  <c r="A105" i="10"/>
  <c r="A106" i="10"/>
  <c r="A159" i="10"/>
  <c r="A160" i="10"/>
  <c r="A161" i="10"/>
  <c r="A162" i="10"/>
  <c r="A163" i="10"/>
  <c r="A164" i="10"/>
  <c r="A165" i="10"/>
  <c r="A166" i="10"/>
  <c r="A167" i="10"/>
  <c r="A168" i="10"/>
  <c r="A169" i="10"/>
  <c r="A170" i="10"/>
  <c r="A171" i="10"/>
  <c r="A172" i="10"/>
  <c r="A173" i="10"/>
  <c r="A174"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A301" i="10"/>
  <c r="A302" i="10"/>
  <c r="A303" i="10"/>
  <c r="A304" i="10"/>
  <c r="A305" i="10"/>
  <c r="A306" i="10"/>
  <c r="A307" i="10"/>
  <c r="A308" i="10"/>
  <c r="A309" i="10"/>
  <c r="A310" i="10"/>
  <c r="A311" i="10"/>
  <c r="A312" i="10"/>
  <c r="A313" i="10"/>
  <c r="A349" i="10"/>
  <c r="A350" i="10"/>
  <c r="A351" i="10"/>
  <c r="A352" i="10"/>
  <c r="A353" i="10"/>
  <c r="A354" i="10"/>
  <c r="A355" i="10"/>
  <c r="A356" i="10"/>
  <c r="A368" i="10"/>
  <c r="A387" i="10"/>
  <c r="A388" i="10"/>
  <c r="A389" i="10"/>
  <c r="A399" i="10"/>
  <c r="A400" i="10"/>
  <c r="A401" i="10"/>
  <c r="A402" i="10"/>
  <c r="A403" i="10"/>
  <c r="A404" i="10"/>
  <c r="A405" i="10"/>
  <c r="A406" i="10"/>
  <c r="A407" i="10"/>
  <c r="A408" i="10"/>
  <c r="A409" i="10"/>
  <c r="A410" i="10"/>
  <c r="A411" i="10"/>
  <c r="A412" i="10"/>
  <c r="A413" i="10"/>
  <c r="A414" i="10"/>
  <c r="A415" i="10"/>
  <c r="A416" i="10"/>
  <c r="A417" i="10"/>
  <c r="A455" i="10"/>
  <c r="A519" i="10"/>
  <c r="A520" i="10" s="1"/>
  <c r="A521" i="10" s="1"/>
  <c r="A522" i="10" s="1"/>
  <c r="A523" i="10" s="1"/>
  <c r="A524" i="10" s="1"/>
  <c r="A525" i="10" s="1"/>
  <c r="Z133" i="2"/>
  <c r="AG133" i="2"/>
  <c r="CA133" i="2"/>
  <c r="CB133" i="2"/>
  <c r="CG133" i="2"/>
  <c r="CH133" i="2"/>
  <c r="CI133" i="2"/>
  <c r="CJ133" i="2"/>
  <c r="CK133" i="2"/>
  <c r="CN133" i="2"/>
  <c r="CO133" i="2"/>
  <c r="CR133" i="2"/>
  <c r="CS133" i="2"/>
  <c r="CU133" i="2"/>
  <c r="CV133" i="2"/>
  <c r="CZ133" i="2"/>
  <c r="DA133" i="2"/>
  <c r="Z55" i="2"/>
  <c r="AG55" i="2"/>
  <c r="CA55" i="2"/>
  <c r="CB55" i="2"/>
  <c r="CG55" i="2"/>
  <c r="CH55" i="2"/>
  <c r="CI55" i="2"/>
  <c r="CJ55" i="2"/>
  <c r="CK55" i="2"/>
  <c r="CN55" i="2"/>
  <c r="CO55" i="2"/>
  <c r="CR55" i="2"/>
  <c r="CS55" i="2"/>
  <c r="CU55" i="2"/>
  <c r="CV55" i="2"/>
  <c r="CZ55" i="2"/>
  <c r="DA55" i="2"/>
  <c r="M1011" i="10"/>
  <c r="M5" i="10"/>
  <c r="Z74" i="2"/>
  <c r="AG74" i="2"/>
  <c r="CA74" i="2"/>
  <c r="CB74" i="2"/>
  <c r="CG74" i="2"/>
  <c r="CH74" i="2"/>
  <c r="CI74" i="2"/>
  <c r="CJ74" i="2"/>
  <c r="CK74" i="2"/>
  <c r="CN74" i="2"/>
  <c r="CO74" i="2"/>
  <c r="CR74" i="2"/>
  <c r="CS74" i="2"/>
  <c r="CU74" i="2"/>
  <c r="CV74" i="2"/>
  <c r="CZ74" i="2"/>
  <c r="DA74" i="2"/>
  <c r="Z140" i="2"/>
  <c r="AG140" i="2"/>
  <c r="CA140" i="2"/>
  <c r="CB140" i="2"/>
  <c r="CG140" i="2"/>
  <c r="CH140" i="2"/>
  <c r="CI140" i="2"/>
  <c r="CJ140" i="2"/>
  <c r="CK140" i="2"/>
  <c r="CN140" i="2"/>
  <c r="CO140" i="2"/>
  <c r="CR140" i="2"/>
  <c r="CS140" i="2"/>
  <c r="CU140" i="2"/>
  <c r="CV140" i="2"/>
  <c r="CZ140" i="2"/>
  <c r="DA140" i="2"/>
  <c r="Z141" i="2"/>
  <c r="AG141" i="2"/>
  <c r="CA141" i="2"/>
  <c r="CB141" i="2"/>
  <c r="CG141" i="2"/>
  <c r="CH141" i="2"/>
  <c r="CI141" i="2"/>
  <c r="CJ141" i="2"/>
  <c r="CK141" i="2"/>
  <c r="CN141" i="2"/>
  <c r="CO141" i="2"/>
  <c r="CR141" i="2"/>
  <c r="CS141" i="2"/>
  <c r="CU141" i="2"/>
  <c r="CV141" i="2"/>
  <c r="CZ141" i="2"/>
  <c r="DA141" i="2"/>
  <c r="Z86" i="2"/>
  <c r="AG86" i="2"/>
  <c r="CA86" i="2"/>
  <c r="CB86" i="2"/>
  <c r="CG86" i="2"/>
  <c r="CH86" i="2"/>
  <c r="CI86" i="2"/>
  <c r="CJ86" i="2"/>
  <c r="CK86" i="2"/>
  <c r="CN86" i="2"/>
  <c r="CO86" i="2"/>
  <c r="CR86" i="2"/>
  <c r="CS86" i="2"/>
  <c r="CU86" i="2"/>
  <c r="CV86" i="2"/>
  <c r="CZ86" i="2"/>
  <c r="DA86" i="2"/>
  <c r="Z175" i="2"/>
  <c r="AG175" i="2"/>
  <c r="CA175" i="2"/>
  <c r="CB175" i="2"/>
  <c r="CG175" i="2"/>
  <c r="CH175" i="2"/>
  <c r="CI175" i="2"/>
  <c r="CJ175" i="2"/>
  <c r="CK175" i="2"/>
  <c r="CN175" i="2"/>
  <c r="CO175" i="2"/>
  <c r="CR175" i="2"/>
  <c r="CS175" i="2"/>
  <c r="CU175" i="2"/>
  <c r="CV175" i="2"/>
  <c r="CZ175" i="2"/>
  <c r="DA175" i="2"/>
  <c r="Z185" i="2"/>
  <c r="AG185" i="2"/>
  <c r="CA185" i="2"/>
  <c r="CB185" i="2"/>
  <c r="CG185" i="2"/>
  <c r="CH185" i="2"/>
  <c r="CI185" i="2"/>
  <c r="CJ185" i="2"/>
  <c r="CK185" i="2"/>
  <c r="CN185" i="2"/>
  <c r="CO185" i="2"/>
  <c r="CR185" i="2"/>
  <c r="CS185" i="2"/>
  <c r="CU185" i="2"/>
  <c r="CV185" i="2"/>
  <c r="CZ185" i="2"/>
  <c r="DA185" i="2"/>
  <c r="Z122" i="2"/>
  <c r="AG122" i="2"/>
  <c r="CA122" i="2"/>
  <c r="CB122" i="2"/>
  <c r="CG122" i="2"/>
  <c r="CH122" i="2"/>
  <c r="CI122" i="2"/>
  <c r="CJ122" i="2"/>
  <c r="CK122" i="2"/>
  <c r="CN122" i="2"/>
  <c r="CO122" i="2"/>
  <c r="CR122" i="2"/>
  <c r="CS122" i="2"/>
  <c r="CU122" i="2"/>
  <c r="CV122" i="2"/>
  <c r="CZ122" i="2"/>
  <c r="DA122" i="2"/>
  <c r="DA125" i="2"/>
  <c r="CZ125" i="2"/>
  <c r="CV125" i="2"/>
  <c r="CU125" i="2"/>
  <c r="CS125" i="2"/>
  <c r="CR125" i="2"/>
  <c r="CO125" i="2"/>
  <c r="CN125" i="2"/>
  <c r="CK125" i="2"/>
  <c r="CJ125" i="2"/>
  <c r="CI125" i="2"/>
  <c r="CH125" i="2"/>
  <c r="CG125" i="2"/>
  <c r="CB125" i="2"/>
  <c r="CA125" i="2"/>
  <c r="AG125" i="2"/>
  <c r="Z125" i="2"/>
  <c r="A412" i="11"/>
  <c r="A413" i="11"/>
  <c r="A414" i="11"/>
  <c r="A415" i="11"/>
  <c r="A416" i="11"/>
  <c r="A417" i="11"/>
  <c r="A120" i="11"/>
  <c r="A335" i="10"/>
  <c r="A336" i="10"/>
  <c r="A337" i="10"/>
  <c r="A338" i="10"/>
  <c r="A339" i="10"/>
  <c r="A340" i="10"/>
  <c r="A341" i="10"/>
  <c r="A342" i="10"/>
  <c r="A343" i="10"/>
  <c r="A344" i="10"/>
  <c r="A345" i="10"/>
  <c r="A346" i="10"/>
  <c r="A347" i="10"/>
  <c r="A348" i="10"/>
  <c r="A226" i="10"/>
  <c r="A227" i="10"/>
  <c r="A228" i="10"/>
  <c r="A229" i="10"/>
  <c r="A230" i="10"/>
  <c r="A231" i="10"/>
  <c r="A232" i="10"/>
  <c r="A306" i="11"/>
  <c r="A307" i="11"/>
  <c r="A308" i="11"/>
  <c r="A309" i="11"/>
  <c r="A310" i="11"/>
  <c r="CO59" i="2"/>
  <c r="CV166" i="2"/>
  <c r="CO101" i="2"/>
  <c r="CJ119" i="2"/>
  <c r="CI101" i="2"/>
  <c r="CS119" i="2"/>
  <c r="CK101" i="2"/>
  <c r="CK116" i="2"/>
  <c r="CO119" i="2"/>
  <c r="CI119" i="2"/>
  <c r="CI116" i="2"/>
  <c r="CO116" i="2"/>
  <c r="CO165" i="2"/>
  <c r="CJ160" i="2"/>
  <c r="CO184" i="2"/>
  <c r="CS160" i="2"/>
  <c r="CO72" i="2"/>
  <c r="CK111" i="2"/>
  <c r="CS194" i="2"/>
  <c r="CV85" i="2"/>
  <c r="CO85" i="2"/>
  <c r="CI85" i="2"/>
  <c r="CK85" i="2"/>
  <c r="CS72" i="2"/>
  <c r="CJ146" i="2"/>
  <c r="CS184" i="2"/>
  <c r="CJ72" i="2"/>
  <c r="CI146" i="2"/>
  <c r="CJ184" i="2"/>
  <c r="CS146" i="2"/>
  <c r="P1082" i="10"/>
  <c r="CI66" i="2"/>
  <c r="CO66" i="2"/>
  <c r="CV66" i="2"/>
  <c r="CK66" i="2"/>
  <c r="H1038" i="10" l="1"/>
  <c r="CI112" i="2"/>
  <c r="J1016" i="10"/>
  <c r="DB9" i="2"/>
  <c r="CV103" i="2"/>
  <c r="CP80" i="2"/>
  <c r="CK59" i="2"/>
  <c r="CT59" i="2" s="1"/>
  <c r="CI155" i="2"/>
  <c r="CL155" i="2" s="1"/>
  <c r="CM155" i="2" s="1"/>
  <c r="CO96" i="2"/>
  <c r="CJ79" i="2"/>
  <c r="CQ79" i="2" s="1"/>
  <c r="CK155" i="2"/>
  <c r="CT155" i="2" s="1"/>
  <c r="CK96" i="2"/>
  <c r="CT96" i="2" s="1"/>
  <c r="CV59" i="2"/>
  <c r="CX59" i="2" s="1"/>
  <c r="CI111" i="2"/>
  <c r="CL111" i="2" s="1"/>
  <c r="CM111" i="2" s="1"/>
  <c r="CI96" i="2"/>
  <c r="CL96" i="2" s="1"/>
  <c r="CM96" i="2" s="1"/>
  <c r="CJ186" i="2"/>
  <c r="CL186" i="2" s="1"/>
  <c r="CM186" i="2" s="1"/>
  <c r="CX72" i="2"/>
  <c r="CQ68" i="2"/>
  <c r="CI193" i="2"/>
  <c r="CP193" i="2" s="1"/>
  <c r="CO166" i="2"/>
  <c r="CO193" i="2"/>
  <c r="CK166" i="2"/>
  <c r="CT166" i="2" s="1"/>
  <c r="CK193" i="2"/>
  <c r="CT193" i="2" s="1"/>
  <c r="CV192" i="2"/>
  <c r="CX192" i="2" s="1"/>
  <c r="CP28" i="2"/>
  <c r="CP184" i="2"/>
  <c r="CP180" i="2"/>
  <c r="CW65" i="2"/>
  <c r="P1064" i="10"/>
  <c r="CS113" i="2"/>
  <c r="CX113" i="2" s="1"/>
  <c r="CI113" i="2"/>
  <c r="CO192" i="2"/>
  <c r="CK192" i="2"/>
  <c r="CT192" i="2" s="1"/>
  <c r="CV111" i="2"/>
  <c r="CX111" i="2" s="1"/>
  <c r="CJ113" i="2"/>
  <c r="CQ113" i="2" s="1"/>
  <c r="CO155" i="2"/>
  <c r="CS165" i="2"/>
  <c r="CX165" i="2" s="1"/>
  <c r="DN182" i="2"/>
  <c r="S1076" i="10"/>
  <c r="A115" i="10"/>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CJ163" i="2"/>
  <c r="CQ163" i="2" s="1"/>
  <c r="CI165" i="2"/>
  <c r="CL165" i="2" s="1"/>
  <c r="CM165" i="2" s="1"/>
  <c r="CI163" i="2"/>
  <c r="CP163" i="2" s="1"/>
  <c r="CS163" i="2"/>
  <c r="CX163" i="2" s="1"/>
  <c r="A319" i="10"/>
  <c r="A320" i="10" s="1"/>
  <c r="A215" i="10"/>
  <c r="A216" i="10" s="1"/>
  <c r="A217" i="10" s="1"/>
  <c r="CW200" i="2"/>
  <c r="CQ101" i="2"/>
  <c r="CX198" i="2"/>
  <c r="A509" i="1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A539" i="11" s="1"/>
  <c r="A540" i="11" s="1"/>
  <c r="A541" i="11" s="1"/>
  <c r="A542" i="11" s="1"/>
  <c r="D1016" i="10"/>
  <c r="S1061" i="10"/>
  <c r="S1082" i="10"/>
  <c r="A13" i="11"/>
  <c r="A14" i="11" s="1"/>
  <c r="A15" i="11" s="1"/>
  <c r="A16" i="11" s="1"/>
  <c r="A17" i="11" s="1"/>
  <c r="A18" i="11" s="1"/>
  <c r="A19" i="11" s="1"/>
  <c r="D1037" i="10"/>
  <c r="T1040" i="10" s="1"/>
  <c r="A426" i="10"/>
  <c r="A427" i="10" s="1"/>
  <c r="A428" i="10" s="1"/>
  <c r="A429" i="10" s="1"/>
  <c r="A430" i="10" s="1"/>
  <c r="A431" i="10" s="1"/>
  <c r="A432" i="10" s="1"/>
  <c r="A433" i="10" s="1"/>
  <c r="A434" i="10" s="1"/>
  <c r="G1037" i="10"/>
  <c r="P1061" i="10"/>
  <c r="S1085" i="10"/>
  <c r="F1037" i="10"/>
  <c r="A321" i="10"/>
  <c r="A322" i="10" s="1"/>
  <c r="A323" i="10" s="1"/>
  <c r="A324" i="10" s="1"/>
  <c r="A325" i="10" s="1"/>
  <c r="A326" i="10" s="1"/>
  <c r="A327" i="10" s="1"/>
  <c r="A328" i="10" s="1"/>
  <c r="A329" i="10" s="1"/>
  <c r="A330" i="10" s="1"/>
  <c r="A331" i="10" s="1"/>
  <c r="A332" i="10" s="1"/>
  <c r="A333" i="10" s="1"/>
  <c r="Q1055" i="10"/>
  <c r="H1016" i="10"/>
  <c r="A218" i="10"/>
  <c r="A219" i="10" s="1"/>
  <c r="A220" i="10" s="1"/>
  <c r="A221" i="10" s="1"/>
  <c r="A222" i="10" s="1"/>
  <c r="A223" i="10" s="1"/>
  <c r="A224" i="10" s="1"/>
  <c r="A225" i="10" s="1"/>
  <c r="F1016" i="10"/>
  <c r="P1058" i="10"/>
  <c r="S1079" i="10"/>
  <c r="CL63" i="2"/>
  <c r="CM63" i="2" s="1"/>
  <c r="CL109" i="2"/>
  <c r="CM109" i="2" s="1"/>
  <c r="CQ94" i="2"/>
  <c r="CO103" i="2"/>
  <c r="CT34" i="2"/>
  <c r="CJ65" i="2"/>
  <c r="CL65" i="2" s="1"/>
  <c r="CM65" i="2" s="1"/>
  <c r="CK103" i="2"/>
  <c r="CT103" i="2" s="1"/>
  <c r="CP175" i="2"/>
  <c r="CP66" i="2"/>
  <c r="CW161" i="2"/>
  <c r="CE191" i="2"/>
  <c r="CT77" i="2"/>
  <c r="CQ96" i="2"/>
  <c r="CI79" i="2"/>
  <c r="CP133" i="2"/>
  <c r="CT198" i="2"/>
  <c r="CT113" i="2"/>
  <c r="CL162" i="2"/>
  <c r="CM162" i="2" s="1"/>
  <c r="CW198" i="2"/>
  <c r="CW193" i="2"/>
  <c r="CW113" i="2"/>
  <c r="CY110" i="2"/>
  <c r="A193" i="11"/>
  <c r="A194" i="11" s="1"/>
  <c r="A195" i="11" s="1"/>
  <c r="A196" i="11" s="1"/>
  <c r="A114" i="11"/>
  <c r="A115" i="11" s="1"/>
  <c r="A116" i="11" s="1"/>
  <c r="A117" i="11" s="1"/>
  <c r="A118" i="11" s="1"/>
  <c r="A119" i="11" s="1"/>
  <c r="T1055" i="10"/>
  <c r="P1055" i="10"/>
  <c r="A526" i="10"/>
  <c r="A527" i="10" s="1"/>
  <c r="A528" i="10" s="1"/>
  <c r="A529" i="10" s="1"/>
  <c r="A530" i="10" s="1"/>
  <c r="A531" i="10" s="1"/>
  <c r="A532" i="10" s="1"/>
  <c r="A533" i="10" s="1"/>
  <c r="A534" i="10" s="1"/>
  <c r="A535" i="10" s="1"/>
  <c r="A536" i="10" s="1"/>
  <c r="A537" i="10" s="1"/>
  <c r="A538" i="10" s="1"/>
  <c r="A539" i="10" s="1"/>
  <c r="A540" i="10" s="1"/>
  <c r="A541" i="10" s="1"/>
  <c r="A542" i="10" s="1"/>
  <c r="A543" i="10" s="1"/>
  <c r="A544" i="10" s="1"/>
  <c r="A545" i="10" s="1"/>
  <c r="A546" i="10" s="1"/>
  <c r="A547" i="10" s="1"/>
  <c r="A548" i="10" s="1"/>
  <c r="A549" i="10" s="1"/>
  <c r="A550" i="10" s="1"/>
  <c r="A551" i="10" s="1"/>
  <c r="A552" i="10" s="1"/>
  <c r="A553" i="10" s="1"/>
  <c r="A554" i="10" s="1"/>
  <c r="A555" i="10" s="1"/>
  <c r="A556" i="10" s="1"/>
  <c r="A557" i="10" s="1"/>
  <c r="A558" i="10" s="1"/>
  <c r="A559" i="10" s="1"/>
  <c r="A560" i="10" s="1"/>
  <c r="A561" i="10" s="1"/>
  <c r="A562" i="10" s="1"/>
  <c r="A563" i="10" s="1"/>
  <c r="A564" i="10" s="1"/>
  <c r="A565" i="10" s="1"/>
  <c r="A566" i="10" s="1"/>
  <c r="A567" i="10" s="1"/>
  <c r="A568" i="10" s="1"/>
  <c r="A569" i="10" s="1"/>
  <c r="A570" i="10" s="1"/>
  <c r="A571" i="10" s="1"/>
  <c r="A572" i="10" s="1"/>
  <c r="A573" i="10" s="1"/>
  <c r="A574" i="10" s="1"/>
  <c r="A575" i="10" s="1"/>
  <c r="A576" i="10" s="1"/>
  <c r="A577" i="10" s="1"/>
  <c r="A578" i="10" s="1"/>
  <c r="A579" i="10" s="1"/>
  <c r="A580" i="10" s="1"/>
  <c r="A581" i="10" s="1"/>
  <c r="A582" i="10" s="1"/>
  <c r="A583" i="10" s="1"/>
  <c r="A584" i="10" s="1"/>
  <c r="A585" i="10" s="1"/>
  <c r="A586" i="10" s="1"/>
  <c r="A587" i="10" s="1"/>
  <c r="A588" i="10" s="1"/>
  <c r="A589" i="10" s="1"/>
  <c r="A590" i="10" s="1"/>
  <c r="A591" i="10" s="1"/>
  <c r="A592" i="10" s="1"/>
  <c r="A593" i="10" s="1"/>
  <c r="A594" i="10" s="1"/>
  <c r="A595" i="10" s="1"/>
  <c r="A596" i="10" s="1"/>
  <c r="A597" i="10" s="1"/>
  <c r="A598" i="10" s="1"/>
  <c r="A599" i="10" s="1"/>
  <c r="A600" i="10" s="1"/>
  <c r="A601" i="10" s="1"/>
  <c r="A602" i="10" s="1"/>
  <c r="A603" i="10" s="1"/>
  <c r="A604" i="10" s="1"/>
  <c r="A605" i="10" s="1"/>
  <c r="A606" i="10" s="1"/>
  <c r="A607" i="10" s="1"/>
  <c r="A608" i="10" s="1"/>
  <c r="A609" i="10" s="1"/>
  <c r="A610" i="10" s="1"/>
  <c r="A611" i="10" s="1"/>
  <c r="A612" i="10" s="1"/>
  <c r="A613" i="10" s="1"/>
  <c r="A614" i="10" s="1"/>
  <c r="A615" i="10" s="1"/>
  <c r="A616" i="10" s="1"/>
  <c r="A617" i="10" s="1"/>
  <c r="A618" i="10" s="1"/>
  <c r="A619" i="10" s="1"/>
  <c r="A620" i="10" s="1"/>
  <c r="A621" i="10" s="1"/>
  <c r="A622" i="10" s="1"/>
  <c r="A623" i="10" s="1"/>
  <c r="A624" i="10" s="1"/>
  <c r="T1058" i="10"/>
  <c r="A14" i="10"/>
  <c r="A15" i="10" s="1"/>
  <c r="A16" i="10" s="1"/>
  <c r="A17" i="10" s="1"/>
  <c r="A18" i="10" s="1"/>
  <c r="A19" i="10" s="1"/>
  <c r="A20" i="10" s="1"/>
  <c r="A21" i="10" s="1"/>
  <c r="A22" i="10" s="1"/>
  <c r="A23" i="10" s="1"/>
  <c r="A24" i="10" s="1"/>
  <c r="A25" i="10" s="1"/>
  <c r="A26" i="10" s="1"/>
  <c r="A297" i="11"/>
  <c r="A298" i="11" s="1"/>
  <c r="A299" i="11" s="1"/>
  <c r="A300" i="11" s="1"/>
  <c r="A301" i="11" s="1"/>
  <c r="A302" i="11" s="1"/>
  <c r="A303" i="11" s="1"/>
  <c r="A304" i="11" s="1"/>
  <c r="J1037" i="10"/>
  <c r="T1043" i="10" s="1"/>
  <c r="V1040" i="10" s="1"/>
  <c r="Q1076" i="10"/>
  <c r="Q1079" i="10"/>
  <c r="Q1058" i="10"/>
  <c r="K1037" i="10"/>
  <c r="Q1043" i="10" s="1"/>
  <c r="T1079" i="10"/>
  <c r="T1061" i="10"/>
  <c r="V1061" i="10" s="1"/>
  <c r="S1034" i="10"/>
  <c r="S1055" i="10"/>
  <c r="P1079" i="10"/>
  <c r="P1037" i="10"/>
  <c r="S1037" i="10"/>
  <c r="P1089" i="10"/>
  <c r="R1089" i="10" s="1"/>
  <c r="S1058" i="10"/>
  <c r="P1085" i="10"/>
  <c r="N1082" i="10" s="1"/>
  <c r="P1034" i="10"/>
  <c r="S1043" i="10"/>
  <c r="U1040" i="10" s="1"/>
  <c r="T1076" i="10"/>
  <c r="E1037" i="10"/>
  <c r="Q1040" i="10" s="1"/>
  <c r="A407" i="11"/>
  <c r="A408" i="11" s="1"/>
  <c r="A409" i="11" s="1"/>
  <c r="A410" i="11" s="1"/>
  <c r="O1082" i="10"/>
  <c r="N1040" i="10"/>
  <c r="S1064" i="10"/>
  <c r="P1076" i="10"/>
  <c r="V1082" i="10"/>
  <c r="CL80" i="2"/>
  <c r="CM80" i="2" s="1"/>
  <c r="CL168" i="2"/>
  <c r="CM168" i="2" s="1"/>
  <c r="CW82" i="2"/>
  <c r="CW184" i="2"/>
  <c r="CY192" i="2"/>
  <c r="CY158" i="2"/>
  <c r="CQ147" i="2"/>
  <c r="CX197" i="2"/>
  <c r="CP197" i="2"/>
  <c r="P1047" i="10"/>
  <c r="R1047" i="10" s="1"/>
  <c r="O1061" i="10"/>
  <c r="CW191" i="2"/>
  <c r="CL76" i="2"/>
  <c r="CM76" i="2" s="1"/>
  <c r="CL180" i="2"/>
  <c r="CM180" i="2" s="1"/>
  <c r="CW54" i="2"/>
  <c r="CQ112" i="2"/>
  <c r="CY147" i="2"/>
  <c r="CP105" i="2"/>
  <c r="CP116" i="2"/>
  <c r="CP47" i="2"/>
  <c r="CY199" i="2"/>
  <c r="CY136" i="2"/>
  <c r="CL153" i="2"/>
  <c r="CM153" i="2" s="1"/>
  <c r="CL107" i="2"/>
  <c r="CM107" i="2" s="1"/>
  <c r="CW169" i="2"/>
  <c r="CW157" i="2"/>
  <c r="CY117" i="2"/>
  <c r="CY162" i="2"/>
  <c r="CL90" i="2"/>
  <c r="CM90" i="2" s="1"/>
  <c r="CL177" i="2"/>
  <c r="CM177" i="2" s="1"/>
  <c r="CP177" i="2"/>
  <c r="CW108" i="2"/>
  <c r="CX178" i="2"/>
  <c r="CE50" i="2"/>
  <c r="CW79" i="2"/>
  <c r="CY164" i="2"/>
  <c r="CY98" i="2"/>
  <c r="CL183" i="2"/>
  <c r="CM183" i="2" s="1"/>
  <c r="CT174" i="2"/>
  <c r="CT76" i="2"/>
  <c r="CQ76" i="2"/>
  <c r="CY180" i="2"/>
  <c r="CD180" i="2"/>
  <c r="CT94" i="2"/>
  <c r="CX105" i="2"/>
  <c r="CE146" i="2"/>
  <c r="CQ64" i="2"/>
  <c r="CE64" i="2"/>
  <c r="CQ146" i="2"/>
  <c r="CY103" i="2"/>
  <c r="CL184" i="2"/>
  <c r="CM184" i="2" s="1"/>
  <c r="CJ157" i="2"/>
  <c r="CL157" i="2" s="1"/>
  <c r="CM157" i="2" s="1"/>
  <c r="CE61" i="2"/>
  <c r="CP146" i="2"/>
  <c r="CT190" i="2"/>
  <c r="CW153" i="2"/>
  <c r="CE128" i="2"/>
  <c r="CW147" i="2"/>
  <c r="CP141" i="2"/>
  <c r="CJ46" i="2"/>
  <c r="CQ46" i="2" s="1"/>
  <c r="CP95" i="2"/>
  <c r="CL103" i="2"/>
  <c r="CM103" i="2" s="1"/>
  <c r="CP154" i="2"/>
  <c r="CV61" i="2"/>
  <c r="CX61" i="2" s="1"/>
  <c r="CE150" i="2"/>
  <c r="CQ180" i="2"/>
  <c r="CQ86" i="2"/>
  <c r="CP91" i="2"/>
  <c r="CP92" i="2"/>
  <c r="CP130" i="2"/>
  <c r="CT66" i="2"/>
  <c r="CP158" i="2"/>
  <c r="CX143" i="2"/>
  <c r="CP143" i="2"/>
  <c r="CX184" i="2"/>
  <c r="CE91" i="2"/>
  <c r="CE92" i="2"/>
  <c r="CQ138" i="2"/>
  <c r="CT139" i="2"/>
  <c r="CE174" i="2"/>
  <c r="CE143" i="2"/>
  <c r="CX180" i="2"/>
  <c r="CW71" i="2"/>
  <c r="CX93" i="2"/>
  <c r="CE164" i="2"/>
  <c r="CY169" i="2"/>
  <c r="CY79" i="2"/>
  <c r="CW160" i="2"/>
  <c r="CW115" i="2"/>
  <c r="CP186" i="2"/>
  <c r="CE160" i="2"/>
  <c r="CX80" i="2"/>
  <c r="CX63" i="2"/>
  <c r="CE71" i="2"/>
  <c r="CW189" i="2"/>
  <c r="CD94" i="2"/>
  <c r="CQ103" i="2"/>
  <c r="CI84" i="2"/>
  <c r="CP84" i="2" s="1"/>
  <c r="CP153" i="2"/>
  <c r="CW61" i="2"/>
  <c r="CT186" i="2"/>
  <c r="CL143" i="2"/>
  <c r="CM143" i="2" s="1"/>
  <c r="CL108" i="2"/>
  <c r="CM108" i="2" s="1"/>
  <c r="CV84" i="2"/>
  <c r="CX84" i="2" s="1"/>
  <c r="CT177" i="2"/>
  <c r="CX135" i="2"/>
  <c r="CY109" i="2"/>
  <c r="CQ109" i="2"/>
  <c r="CK84" i="2"/>
  <c r="CT84" i="2" s="1"/>
  <c r="CX56" i="2"/>
  <c r="CE95" i="2"/>
  <c r="CL146" i="2"/>
  <c r="CM146" i="2" s="1"/>
  <c r="CQ25" i="2"/>
  <c r="CT138" i="2"/>
  <c r="CQ111" i="2"/>
  <c r="CL117" i="2"/>
  <c r="CM117" i="2" s="1"/>
  <c r="CL161" i="2"/>
  <c r="CM161" i="2" s="1"/>
  <c r="CL189" i="2"/>
  <c r="CM189" i="2" s="1"/>
  <c r="CL158" i="2"/>
  <c r="CM158" i="2" s="1"/>
  <c r="CT14" i="2"/>
  <c r="CL149" i="2"/>
  <c r="CM149" i="2" s="1"/>
  <c r="CP53" i="2"/>
  <c r="CE60" i="2"/>
  <c r="CL73" i="2"/>
  <c r="CM73" i="2" s="1"/>
  <c r="CY150" i="2"/>
  <c r="CP144" i="2"/>
  <c r="CE87" i="2"/>
  <c r="CT132" i="2"/>
  <c r="CP162" i="2"/>
  <c r="CT81" i="2"/>
  <c r="CT110" i="2"/>
  <c r="CQ187" i="2"/>
  <c r="CQ191" i="2"/>
  <c r="CP77" i="2"/>
  <c r="CW68" i="2"/>
  <c r="CW72" i="2"/>
  <c r="CY81" i="2"/>
  <c r="CW63" i="2"/>
  <c r="CW117" i="2"/>
  <c r="CX187" i="2"/>
  <c r="CX189" i="2"/>
  <c r="CX168" i="2"/>
  <c r="CX60" i="2"/>
  <c r="CQ195" i="2"/>
  <c r="CT95" i="2"/>
  <c r="CT98" i="2"/>
  <c r="CY183" i="2"/>
  <c r="CK68" i="2"/>
  <c r="CT68" i="2" s="1"/>
  <c r="CE175" i="2"/>
  <c r="CE133" i="2"/>
  <c r="CL166" i="2"/>
  <c r="CM166" i="2" s="1"/>
  <c r="CP166" i="2"/>
  <c r="CE187" i="2"/>
  <c r="CP109" i="2"/>
  <c r="CE109" i="2"/>
  <c r="CW144" i="2"/>
  <c r="CD119" i="2"/>
  <c r="CT191" i="2"/>
  <c r="CP55" i="2"/>
  <c r="CL77" i="2"/>
  <c r="CM77" i="2" s="1"/>
  <c r="CO68" i="2"/>
  <c r="CQ132" i="2"/>
  <c r="CQ59" i="2"/>
  <c r="CL187" i="2"/>
  <c r="CM187" i="2" s="1"/>
  <c r="CL81" i="2"/>
  <c r="CM81" i="2" s="1"/>
  <c r="CW124" i="2"/>
  <c r="CL61" i="2"/>
  <c r="CM61" i="2" s="1"/>
  <c r="CW38" i="2"/>
  <c r="CQ12" i="2"/>
  <c r="CD109" i="2"/>
  <c r="CP174" i="2"/>
  <c r="CQ144" i="2"/>
  <c r="CV68" i="2"/>
  <c r="CX68" i="2" s="1"/>
  <c r="CL101" i="2"/>
  <c r="CM101" i="2" s="1"/>
  <c r="CW131" i="2"/>
  <c r="CW139" i="2"/>
  <c r="CX152" i="2"/>
  <c r="CX193" i="2"/>
  <c r="CQ183" i="2"/>
  <c r="CP87" i="2"/>
  <c r="CL151" i="2"/>
  <c r="CM151" i="2" s="1"/>
  <c r="CY123" i="2"/>
  <c r="CY85" i="2"/>
  <c r="CL182" i="2"/>
  <c r="CM182" i="2" s="1"/>
  <c r="CQ88" i="2"/>
  <c r="CD130" i="2"/>
  <c r="CQ126" i="2"/>
  <c r="CY119" i="2"/>
  <c r="CQ95" i="2"/>
  <c r="CD198" i="2"/>
  <c r="CE190" i="2"/>
  <c r="CE113" i="2"/>
  <c r="CT157" i="2"/>
  <c r="CD126" i="2"/>
  <c r="CP156" i="2"/>
  <c r="CT173" i="2"/>
  <c r="CT152" i="2"/>
  <c r="CP58" i="2"/>
  <c r="CP60" i="2"/>
  <c r="CY54" i="2"/>
  <c r="CT116" i="2"/>
  <c r="CL175" i="2"/>
  <c r="CM175" i="2" s="1"/>
  <c r="CL133" i="2"/>
  <c r="CM133" i="2" s="1"/>
  <c r="CD78" i="2"/>
  <c r="CP125" i="2"/>
  <c r="CL132" i="2"/>
  <c r="CM132" i="2" s="1"/>
  <c r="CL59" i="2"/>
  <c r="CM59" i="2" s="1"/>
  <c r="CD116" i="2"/>
  <c r="CE68" i="2"/>
  <c r="CD72" i="2"/>
  <c r="CD158" i="2"/>
  <c r="CQ198" i="2"/>
  <c r="CL110" i="2"/>
  <c r="CM110" i="2" s="1"/>
  <c r="CT161" i="2"/>
  <c r="CT189" i="2"/>
  <c r="CP135" i="2"/>
  <c r="CW187" i="2"/>
  <c r="CX114" i="2"/>
  <c r="CX107" i="2"/>
  <c r="CX162" i="2"/>
  <c r="CW60" i="2"/>
  <c r="CY113" i="2"/>
  <c r="CY90" i="2"/>
  <c r="CW128" i="2"/>
  <c r="CW178" i="2"/>
  <c r="CX174" i="2"/>
  <c r="CE115" i="2"/>
  <c r="CW76" i="2"/>
  <c r="CX109" i="2"/>
  <c r="CX100" i="2"/>
  <c r="CE100" i="2"/>
  <c r="CW180" i="2"/>
  <c r="CE197" i="2"/>
  <c r="CW94" i="2"/>
  <c r="CX99" i="2"/>
  <c r="CE99" i="2"/>
  <c r="CW103" i="2"/>
  <c r="CE105" i="2"/>
  <c r="CW64" i="2"/>
  <c r="CX34" i="2"/>
  <c r="CE67" i="2"/>
  <c r="CE131" i="2"/>
  <c r="CX161" i="2"/>
  <c r="CE31" i="2"/>
  <c r="CP187" i="2"/>
  <c r="CE153" i="2"/>
  <c r="CO124" i="2"/>
  <c r="CY128" i="2"/>
  <c r="CE158" i="2"/>
  <c r="CW90" i="2"/>
  <c r="CW183" i="2"/>
  <c r="BE65" i="2"/>
  <c r="CX74" i="2"/>
  <c r="CW176" i="2"/>
  <c r="CX106" i="2"/>
  <c r="CX78" i="2"/>
  <c r="CW159" i="2"/>
  <c r="CX195" i="2"/>
  <c r="CW152" i="2"/>
  <c r="CX58" i="2"/>
  <c r="CY149" i="2"/>
  <c r="CW146" i="2"/>
  <c r="CD146" i="2"/>
  <c r="CD64" i="2"/>
  <c r="CW11" i="2"/>
  <c r="CT128" i="2"/>
  <c r="CV32" i="2"/>
  <c r="CO10" i="2"/>
  <c r="CP159" i="2"/>
  <c r="CX177" i="2"/>
  <c r="CW30" i="2"/>
  <c r="CL18" i="2"/>
  <c r="CM18" i="2" s="1"/>
  <c r="CY178" i="2"/>
  <c r="CY94" i="2"/>
  <c r="CT99" i="2"/>
  <c r="CE21" i="2"/>
  <c r="CP18" i="2"/>
  <c r="CO65" i="2"/>
  <c r="CQ72" i="2"/>
  <c r="CP85" i="2"/>
  <c r="CP110" i="2"/>
  <c r="CS65" i="2"/>
  <c r="CX65" i="2" s="1"/>
  <c r="CX146" i="2"/>
  <c r="CT114" i="2"/>
  <c r="CY116" i="2"/>
  <c r="CY65" i="2"/>
  <c r="CL178" i="2"/>
  <c r="CM178" i="2" s="1"/>
  <c r="CT143" i="2"/>
  <c r="CD143" i="2"/>
  <c r="CT108" i="2"/>
  <c r="CY100" i="2"/>
  <c r="CQ100" i="2"/>
  <c r="CL94" i="2"/>
  <c r="CM94" i="2" s="1"/>
  <c r="CY99" i="2"/>
  <c r="CQ99" i="2"/>
  <c r="CY69" i="2"/>
  <c r="CQ69" i="2"/>
  <c r="CD174" i="2"/>
  <c r="CY194" i="2"/>
  <c r="CY127" i="2"/>
  <c r="CL127" i="2"/>
  <c r="CM127" i="2" s="1"/>
  <c r="CT172" i="2"/>
  <c r="CX48" i="2"/>
  <c r="CD17" i="2"/>
  <c r="CE74" i="2"/>
  <c r="CX29" i="2"/>
  <c r="CP29" i="2"/>
  <c r="CP22" i="2"/>
  <c r="CE20" i="2"/>
  <c r="CX17" i="2"/>
  <c r="CL60" i="2"/>
  <c r="CM60" i="2" s="1"/>
  <c r="CW168" i="2"/>
  <c r="CX81" i="2"/>
  <c r="CY96" i="2"/>
  <c r="CW194" i="2"/>
  <c r="CY200" i="2"/>
  <c r="CE10" i="2"/>
  <c r="CX166" i="2"/>
  <c r="CE182" i="2"/>
  <c r="CD56" i="2"/>
  <c r="CL135" i="2"/>
  <c r="CM135" i="2" s="1"/>
  <c r="CP81" i="2"/>
  <c r="CW59" i="2"/>
  <c r="CW62" i="2"/>
  <c r="CW101" i="2"/>
  <c r="CT105" i="2"/>
  <c r="CL119" i="2"/>
  <c r="CM119" i="2" s="1"/>
  <c r="CP74" i="2"/>
  <c r="CL106" i="2"/>
  <c r="CM106" i="2" s="1"/>
  <c r="CT70" i="2"/>
  <c r="CQ53" i="2"/>
  <c r="CT73" i="2"/>
  <c r="CL78" i="2"/>
  <c r="CM78" i="2" s="1"/>
  <c r="CL195" i="2"/>
  <c r="CM195" i="2" s="1"/>
  <c r="CL58" i="2"/>
  <c r="CM58" i="2" s="1"/>
  <c r="CY95" i="2"/>
  <c r="CD179" i="2"/>
  <c r="CE89" i="2"/>
  <c r="CP149" i="2"/>
  <c r="CD82" i="2"/>
  <c r="CD98" i="2"/>
  <c r="CQ193" i="2"/>
  <c r="CD162" i="2"/>
  <c r="CL198" i="2"/>
  <c r="CM198" i="2" s="1"/>
  <c r="CT169" i="2"/>
  <c r="CT184" i="2"/>
  <c r="CW66" i="2"/>
  <c r="CW107" i="2"/>
  <c r="CW81" i="2"/>
  <c r="CY111" i="2"/>
  <c r="CY198" i="2"/>
  <c r="CY155" i="2"/>
  <c r="CY161" i="2"/>
  <c r="CY62" i="2"/>
  <c r="CY190" i="2"/>
  <c r="CY157" i="2"/>
  <c r="CY135" i="2"/>
  <c r="CY184" i="2"/>
  <c r="CY153" i="2"/>
  <c r="CD54" i="2"/>
  <c r="CD42" i="2"/>
  <c r="CT141" i="2"/>
  <c r="CY170" i="2"/>
  <c r="CL70" i="2"/>
  <c r="CM70" i="2" s="1"/>
  <c r="CP182" i="2"/>
  <c r="CQ181" i="2"/>
  <c r="CD142" i="2"/>
  <c r="CD150" i="2"/>
  <c r="CT129" i="2"/>
  <c r="CX90" i="2"/>
  <c r="CY160" i="2"/>
  <c r="CY115" i="2"/>
  <c r="CW121" i="2"/>
  <c r="CW201" i="2"/>
  <c r="CL116" i="2"/>
  <c r="CM116" i="2" s="1"/>
  <c r="CP112" i="2"/>
  <c r="CQ89" i="2"/>
  <c r="CW88" i="2"/>
  <c r="CX120" i="2"/>
  <c r="CP142" i="2"/>
  <c r="CX196" i="2"/>
  <c r="CX110" i="2"/>
  <c r="CW135" i="2"/>
  <c r="CW158" i="2"/>
  <c r="CT200" i="2"/>
  <c r="CP10" i="2"/>
  <c r="CQ80" i="2"/>
  <c r="CQ63" i="2"/>
  <c r="CY196" i="2"/>
  <c r="CQ196" i="2"/>
  <c r="CQ66" i="2"/>
  <c r="CL93" i="2"/>
  <c r="CM93" i="2" s="1"/>
  <c r="CE184" i="2"/>
  <c r="CD61" i="2"/>
  <c r="CT65" i="2"/>
  <c r="CQ135" i="2"/>
  <c r="CQ153" i="2"/>
  <c r="CP117" i="2"/>
  <c r="CY193" i="2"/>
  <c r="CY114" i="2"/>
  <c r="CJ124" i="2"/>
  <c r="CQ124" i="2" s="1"/>
  <c r="CT171" i="2"/>
  <c r="CW188" i="2"/>
  <c r="CW102" i="2"/>
  <c r="CI46" i="2"/>
  <c r="CP46" i="2" s="1"/>
  <c r="CD125" i="2"/>
  <c r="CL123" i="2"/>
  <c r="CM123" i="2" s="1"/>
  <c r="CY56" i="2"/>
  <c r="CW132" i="2"/>
  <c r="CE196" i="2"/>
  <c r="CE162" i="2"/>
  <c r="CD105" i="2"/>
  <c r="CL122" i="2"/>
  <c r="CM122" i="2" s="1"/>
  <c r="CL181" i="2"/>
  <c r="CM181" i="2" s="1"/>
  <c r="CQ158" i="2"/>
  <c r="CX169" i="2"/>
  <c r="CX125" i="2"/>
  <c r="CW122" i="2"/>
  <c r="CX185" i="2"/>
  <c r="CL185" i="2"/>
  <c r="CM185" i="2" s="1"/>
  <c r="CY175" i="2"/>
  <c r="CT86" i="2"/>
  <c r="CD140" i="2"/>
  <c r="CW74" i="2"/>
  <c r="CX55" i="2"/>
  <c r="CY133" i="2"/>
  <c r="CW87" i="2"/>
  <c r="CW123" i="2"/>
  <c r="CX170" i="2"/>
  <c r="CY91" i="2"/>
  <c r="CQ91" i="2"/>
  <c r="CW106" i="2"/>
  <c r="CD106" i="2"/>
  <c r="CW70" i="2"/>
  <c r="CX145" i="2"/>
  <c r="CL145" i="2"/>
  <c r="CM145" i="2" s="1"/>
  <c r="CY92" i="2"/>
  <c r="CQ92" i="2"/>
  <c r="CY166" i="2"/>
  <c r="CY142" i="2"/>
  <c r="CE179" i="2"/>
  <c r="CW78" i="2"/>
  <c r="CW156" i="2"/>
  <c r="CL57" i="2"/>
  <c r="CM57" i="2" s="1"/>
  <c r="CY67" i="2"/>
  <c r="CX144" i="2"/>
  <c r="CX136" i="2"/>
  <c r="CL136" i="2"/>
  <c r="CM136" i="2" s="1"/>
  <c r="CY131" i="2"/>
  <c r="CE159" i="2"/>
  <c r="CX126" i="2"/>
  <c r="CD58" i="2"/>
  <c r="CD73" i="2"/>
  <c r="CP70" i="2"/>
  <c r="CP123" i="2"/>
  <c r="CT187" i="2"/>
  <c r="CL190" i="2"/>
  <c r="CM190" i="2" s="1"/>
  <c r="CS46" i="2"/>
  <c r="CX46" i="2" s="1"/>
  <c r="CY18" i="2"/>
  <c r="CY55" i="2"/>
  <c r="CQ161" i="2"/>
  <c r="CS124" i="2"/>
  <c r="CL86" i="2"/>
  <c r="CM86" i="2" s="1"/>
  <c r="CY89" i="2"/>
  <c r="CT151" i="2"/>
  <c r="CE106" i="2"/>
  <c r="CD182" i="2"/>
  <c r="CQ73" i="2"/>
  <c r="CE78" i="2"/>
  <c r="CW80" i="2"/>
  <c r="CT40" i="2"/>
  <c r="CW27" i="2"/>
  <c r="CW25" i="2"/>
  <c r="CE18" i="2"/>
  <c r="CE14" i="2"/>
  <c r="CE194" i="2"/>
  <c r="CY102" i="2"/>
  <c r="CQ102" i="2"/>
  <c r="CD137" i="2"/>
  <c r="CX148" i="2"/>
  <c r="CW26" i="2"/>
  <c r="CQ116" i="2"/>
  <c r="CP191" i="2"/>
  <c r="CT163" i="2"/>
  <c r="CX45" i="2"/>
  <c r="CW28" i="2"/>
  <c r="CX24" i="2"/>
  <c r="CX18" i="2"/>
  <c r="CT15" i="2"/>
  <c r="CV10" i="2"/>
  <c r="CX10" i="2" s="1"/>
  <c r="CD89" i="2"/>
  <c r="CX167" i="2"/>
  <c r="CX179" i="2"/>
  <c r="CW129" i="2"/>
  <c r="CL152" i="2"/>
  <c r="CM152" i="2" s="1"/>
  <c r="CT196" i="2"/>
  <c r="CX101" i="2"/>
  <c r="CT90" i="2"/>
  <c r="CX128" i="2"/>
  <c r="CY186" i="2"/>
  <c r="CP178" i="2"/>
  <c r="CX76" i="2"/>
  <c r="CD197" i="2"/>
  <c r="CY46" i="2"/>
  <c r="CQ62" i="2"/>
  <c r="CK10" i="2"/>
  <c r="CT10" i="2" s="1"/>
  <c r="CE103" i="2"/>
  <c r="CQ143" i="2"/>
  <c r="CT142" i="2"/>
  <c r="CQ67" i="2"/>
  <c r="CP94" i="2"/>
  <c r="CP189" i="2"/>
  <c r="CD189" i="2"/>
  <c r="CP114" i="2"/>
  <c r="CT107" i="2"/>
  <c r="CW164" i="2"/>
  <c r="CW155" i="2"/>
  <c r="CW112" i="2"/>
  <c r="CV124" i="2"/>
  <c r="CI124" i="2"/>
  <c r="CP124" i="2" s="1"/>
  <c r="CD152" i="2"/>
  <c r="CD141" i="2"/>
  <c r="CE141" i="2"/>
  <c r="CW140" i="2"/>
  <c r="CL55" i="2"/>
  <c r="CM55" i="2" s="1"/>
  <c r="CD85" i="2"/>
  <c r="CQ85" i="2"/>
  <c r="CW167" i="2"/>
  <c r="CL56" i="2"/>
  <c r="CM56" i="2" s="1"/>
  <c r="CW179" i="2"/>
  <c r="CE129" i="2"/>
  <c r="CW173" i="2"/>
  <c r="CE139" i="2"/>
  <c r="CT93" i="2"/>
  <c r="CO61" i="2"/>
  <c r="CK61" i="2"/>
  <c r="CT61" i="2" s="1"/>
  <c r="CD138" i="2"/>
  <c r="CX103" i="2"/>
  <c r="CD128" i="2"/>
  <c r="CP128" i="2"/>
  <c r="CQ178" i="2"/>
  <c r="CE178" i="2"/>
  <c r="CW177" i="2"/>
  <c r="CP76" i="2"/>
  <c r="CE76" i="2"/>
  <c r="CT100" i="2"/>
  <c r="CD100" i="2"/>
  <c r="CE94" i="2"/>
  <c r="CP171" i="2"/>
  <c r="CK194" i="2"/>
  <c r="CT194" i="2" s="1"/>
  <c r="CV194" i="2"/>
  <c r="CX194" i="2" s="1"/>
  <c r="CO194" i="2"/>
  <c r="CI194" i="2"/>
  <c r="CL194" i="2" s="1"/>
  <c r="CM194" i="2" s="1"/>
  <c r="CE70" i="2"/>
  <c r="CD103" i="2"/>
  <c r="CL126" i="2"/>
  <c r="CM126" i="2" s="1"/>
  <c r="CL192" i="2"/>
  <c r="CM192" i="2" s="1"/>
  <c r="CQ123" i="2"/>
  <c r="CD123" i="2"/>
  <c r="CP192" i="2"/>
  <c r="CD93" i="2"/>
  <c r="CE101" i="2"/>
  <c r="CD101" i="2"/>
  <c r="CW114" i="2"/>
  <c r="CW162" i="2"/>
  <c r="CQ131" i="2"/>
  <c r="CT183" i="2"/>
  <c r="CD183" i="2"/>
  <c r="CY143" i="2"/>
  <c r="CY108" i="2"/>
  <c r="CL100" i="2"/>
  <c r="CM100" i="2" s="1"/>
  <c r="CP100" i="2"/>
  <c r="CT197" i="2"/>
  <c r="CL99" i="2"/>
  <c r="CM99" i="2" s="1"/>
  <c r="CY181" i="2"/>
  <c r="CE142" i="2"/>
  <c r="CY156" i="2"/>
  <c r="CD129" i="2"/>
  <c r="CL144" i="2"/>
  <c r="CM144" i="2" s="1"/>
  <c r="CL95" i="2"/>
  <c r="CM95" i="2" s="1"/>
  <c r="CE116" i="2"/>
  <c r="CE72" i="2"/>
  <c r="CQ192" i="2"/>
  <c r="CL114" i="2"/>
  <c r="CM114" i="2" s="1"/>
  <c r="CW93" i="2"/>
  <c r="CT52" i="2"/>
  <c r="CP26" i="2"/>
  <c r="CL13" i="2"/>
  <c r="CM13" i="2" s="1"/>
  <c r="CT11" i="2"/>
  <c r="CT42" i="2"/>
  <c r="CP35" i="2"/>
  <c r="CY19" i="2"/>
  <c r="CY11" i="2"/>
  <c r="CO79" i="2"/>
  <c r="CK79" i="2"/>
  <c r="CT79" i="2" s="1"/>
  <c r="CW125" i="2"/>
  <c r="CX122" i="2"/>
  <c r="CW151" i="2"/>
  <c r="CX123" i="2"/>
  <c r="CD104" i="2"/>
  <c r="CW85" i="2"/>
  <c r="CX70" i="2"/>
  <c r="CW182" i="2"/>
  <c r="CX181" i="2"/>
  <c r="CL53" i="2"/>
  <c r="CM53" i="2" s="1"/>
  <c r="CY73" i="2"/>
  <c r="CX156" i="2"/>
  <c r="CL138" i="2"/>
  <c r="CM138" i="2" s="1"/>
  <c r="CY129" i="2"/>
  <c r="CD144" i="2"/>
  <c r="CX199" i="2"/>
  <c r="CP131" i="2"/>
  <c r="CL130" i="2"/>
  <c r="CM130" i="2" s="1"/>
  <c r="CW126" i="2"/>
  <c r="CT126" i="2"/>
  <c r="CW119" i="2"/>
  <c r="CE58" i="2"/>
  <c r="CW95" i="2"/>
  <c r="CX149" i="2"/>
  <c r="CE119" i="2"/>
  <c r="CD199" i="2"/>
  <c r="CE53" i="2"/>
  <c r="CY124" i="2"/>
  <c r="CT165" i="2"/>
  <c r="CQ61" i="2"/>
  <c r="CQ107" i="2"/>
  <c r="CT162" i="2"/>
  <c r="CW111" i="2"/>
  <c r="CW116" i="2"/>
  <c r="CW98" i="2"/>
  <c r="CX190" i="2"/>
  <c r="CX191" i="2"/>
  <c r="CY82" i="2"/>
  <c r="CY187" i="2"/>
  <c r="CY189" i="2"/>
  <c r="CY60" i="2"/>
  <c r="CX116" i="2"/>
  <c r="CW174" i="2"/>
  <c r="CD108" i="2"/>
  <c r="CW109" i="2"/>
  <c r="CL197" i="2"/>
  <c r="CM197" i="2" s="1"/>
  <c r="CX94" i="2"/>
  <c r="CY148" i="2"/>
  <c r="CP30" i="2"/>
  <c r="CX13" i="2"/>
  <c r="CE11" i="2"/>
  <c r="CL68" i="2"/>
  <c r="CM68" i="2" s="1"/>
  <c r="CX85" i="2"/>
  <c r="CQ160" i="2"/>
  <c r="CX119" i="2"/>
  <c r="CP86" i="2"/>
  <c r="CQ141" i="2"/>
  <c r="CT140" i="2"/>
  <c r="CT176" i="2"/>
  <c r="CD151" i="2"/>
  <c r="CT123" i="2"/>
  <c r="CE104" i="2"/>
  <c r="CT167" i="2"/>
  <c r="CT181" i="2"/>
  <c r="CQ150" i="2"/>
  <c r="CT179" i="2"/>
  <c r="CT156" i="2"/>
  <c r="CQ129" i="2"/>
  <c r="CT199" i="2"/>
  <c r="CQ139" i="2"/>
  <c r="CT159" i="2"/>
  <c r="CW149" i="2"/>
  <c r="CT149" i="2"/>
  <c r="CP126" i="2"/>
  <c r="CP185" i="2"/>
  <c r="CD132" i="2"/>
  <c r="CP63" i="2"/>
  <c r="CP168" i="2"/>
  <c r="CQ162" i="2"/>
  <c r="CX153" i="2"/>
  <c r="CW190" i="2"/>
  <c r="CX77" i="2"/>
  <c r="CX158" i="2"/>
  <c r="CW165" i="2"/>
  <c r="CY93" i="2"/>
  <c r="CY68" i="2"/>
  <c r="CY72" i="2"/>
  <c r="CY77" i="2"/>
  <c r="CY177" i="2"/>
  <c r="CW137" i="2"/>
  <c r="CX150" i="2"/>
  <c r="CW138" i="2"/>
  <c r="CX129" i="2"/>
  <c r="CW130" i="2"/>
  <c r="CE149" i="2"/>
  <c r="CE62" i="2"/>
  <c r="CD114" i="2"/>
  <c r="CV79" i="2"/>
  <c r="CX79" i="2" s="1"/>
  <c r="CD76" i="2"/>
  <c r="CX108" i="2"/>
  <c r="CT180" i="2"/>
  <c r="CE180" i="2"/>
  <c r="CW197" i="2"/>
  <c r="CY105" i="2"/>
  <c r="CQ105" i="2"/>
  <c r="CD200" i="2"/>
  <c r="CT69" i="2"/>
  <c r="CT201" i="2"/>
  <c r="CX154" i="2"/>
  <c r="CW83" i="2"/>
  <c r="CX33" i="2"/>
  <c r="CY31" i="2"/>
  <c r="CY27" i="2"/>
  <c r="CT23" i="2"/>
  <c r="CQ23" i="2"/>
  <c r="CY20" i="2"/>
  <c r="CT18" i="2"/>
  <c r="CQ119" i="2"/>
  <c r="CT125" i="2"/>
  <c r="CT175" i="2"/>
  <c r="CE170" i="2"/>
  <c r="CD92" i="2"/>
  <c r="CY182" i="2"/>
  <c r="CT53" i="2"/>
  <c r="CP179" i="2"/>
  <c r="CY88" i="2"/>
  <c r="CE57" i="2"/>
  <c r="CD67" i="2"/>
  <c r="CL120" i="2"/>
  <c r="CM120" i="2" s="1"/>
  <c r="CY144" i="2"/>
  <c r="CE136" i="2"/>
  <c r="CT131" i="2"/>
  <c r="CY126" i="2"/>
  <c r="CP78" i="2"/>
  <c r="CE125" i="2"/>
  <c r="CT112" i="2"/>
  <c r="CD81" i="2"/>
  <c r="CD184" i="2"/>
  <c r="CL191" i="2"/>
  <c r="CM191" i="2" s="1"/>
  <c r="CT135" i="2"/>
  <c r="CW192" i="2"/>
  <c r="CY66" i="2"/>
  <c r="CY165" i="2"/>
  <c r="CT178" i="2"/>
  <c r="CD160" i="2"/>
  <c r="CQ175" i="2"/>
  <c r="CQ108" i="2"/>
  <c r="CL105" i="2"/>
  <c r="CM105" i="2" s="1"/>
  <c r="CP199" i="2"/>
  <c r="CT122" i="2"/>
  <c r="CI97" i="2"/>
  <c r="CP97" i="2" s="1"/>
  <c r="CV97" i="2"/>
  <c r="CX97" i="2" s="1"/>
  <c r="CK97" i="2"/>
  <c r="CT97" i="2" s="1"/>
  <c r="CO97" i="2"/>
  <c r="CI62" i="2"/>
  <c r="CL62" i="2" s="1"/>
  <c r="CM62" i="2" s="1"/>
  <c r="CO62" i="2"/>
  <c r="CP101" i="2"/>
  <c r="CT146" i="2"/>
  <c r="CQ182" i="2"/>
  <c r="CQ190" i="2"/>
  <c r="CD95" i="2"/>
  <c r="CD131" i="2"/>
  <c r="CS62" i="2"/>
  <c r="CX62" i="2" s="1"/>
  <c r="CD59" i="2"/>
  <c r="CP59" i="2"/>
  <c r="CE59" i="2"/>
  <c r="CE93" i="2"/>
  <c r="CQ93" i="2"/>
  <c r="CY63" i="2"/>
  <c r="CP99" i="2"/>
  <c r="CD99" i="2"/>
  <c r="CP93" i="2"/>
  <c r="CE166" i="2"/>
  <c r="CQ166" i="2"/>
  <c r="CQ142" i="2"/>
  <c r="CL142" i="2"/>
  <c r="CM142" i="2" s="1"/>
  <c r="CD191" i="2"/>
  <c r="CT147" i="2"/>
  <c r="CE147" i="2"/>
  <c r="CW100" i="2"/>
  <c r="CW99" i="2"/>
  <c r="CY146" i="2"/>
  <c r="CP67" i="2"/>
  <c r="CL67" i="2"/>
  <c r="CM67" i="2" s="1"/>
  <c r="CE200" i="2"/>
  <c r="CY141" i="2"/>
  <c r="CQ151" i="2"/>
  <c r="CE151" i="2"/>
  <c r="CY139" i="2"/>
  <c r="CP106" i="2"/>
  <c r="CE77" i="2"/>
  <c r="CP90" i="2"/>
  <c r="CD90" i="2"/>
  <c r="CE90" i="2"/>
  <c r="CD186" i="2"/>
  <c r="CE186" i="2"/>
  <c r="CE177" i="2"/>
  <c r="CQ177" i="2"/>
  <c r="CD177" i="2"/>
  <c r="CS186" i="2"/>
  <c r="CX186" i="2" s="1"/>
  <c r="CO186" i="2"/>
  <c r="CL36" i="2"/>
  <c r="CM36" i="2" s="1"/>
  <c r="CE193" i="2"/>
  <c r="CD193" i="2"/>
  <c r="CL196" i="2"/>
  <c r="CM196" i="2" s="1"/>
  <c r="CY86" i="2"/>
  <c r="CY104" i="2"/>
  <c r="CQ133" i="2"/>
  <c r="CP36" i="2"/>
  <c r="CL31" i="2"/>
  <c r="CM31" i="2" s="1"/>
  <c r="CQ31" i="2"/>
  <c r="CL27" i="2"/>
  <c r="CM27" i="2" s="1"/>
  <c r="CQ58" i="2"/>
  <c r="CE185" i="2"/>
  <c r="CQ185" i="2"/>
  <c r="CW175" i="2"/>
  <c r="CX86" i="2"/>
  <c r="CE55" i="2"/>
  <c r="CW133" i="2"/>
  <c r="CL87" i="2"/>
  <c r="CM87" i="2" s="1"/>
  <c r="CY151" i="2"/>
  <c r="CW91" i="2"/>
  <c r="CD91" i="2"/>
  <c r="CW104" i="2"/>
  <c r="CQ106" i="2"/>
  <c r="CE145" i="2"/>
  <c r="CQ145" i="2"/>
  <c r="CW92" i="2"/>
  <c r="CT182" i="2"/>
  <c r="CE56" i="2"/>
  <c r="CW53" i="2"/>
  <c r="CX73" i="2"/>
  <c r="CX142" i="2"/>
  <c r="CQ78" i="2"/>
  <c r="CT88" i="2"/>
  <c r="CW67" i="2"/>
  <c r="CX138" i="2"/>
  <c r="CT144" i="2"/>
  <c r="CX130" i="2"/>
  <c r="CX117" i="2"/>
  <c r="CW110" i="2"/>
  <c r="CL128" i="2"/>
  <c r="CM128" i="2" s="1"/>
  <c r="CQ128" i="2"/>
  <c r="CX183" i="2"/>
  <c r="CX160" i="2"/>
  <c r="CW143" i="2"/>
  <c r="CW44" i="2"/>
  <c r="CP39" i="2"/>
  <c r="CT37" i="2"/>
  <c r="CE25" i="2"/>
  <c r="CQ184" i="2"/>
  <c r="CL112" i="2"/>
  <c r="CM112" i="2" s="1"/>
  <c r="CL125" i="2"/>
  <c r="CM125" i="2" s="1"/>
  <c r="CD122" i="2"/>
  <c r="CY140" i="2"/>
  <c r="CY167" i="2"/>
  <c r="CT57" i="2"/>
  <c r="CT119" i="2"/>
  <c r="CY191" i="2"/>
  <c r="CY118" i="2"/>
  <c r="CD171" i="2"/>
  <c r="CW52" i="2"/>
  <c r="CY51" i="2"/>
  <c r="CY49" i="2"/>
  <c r="CL48" i="2"/>
  <c r="CM48" i="2" s="1"/>
  <c r="CT20" i="2"/>
  <c r="CQ20" i="2"/>
  <c r="CE168" i="2"/>
  <c r="CY61" i="2"/>
  <c r="CY59" i="2"/>
  <c r="CY101" i="2"/>
  <c r="CY168" i="2"/>
  <c r="CY112" i="2"/>
  <c r="CY107" i="2"/>
  <c r="CY174" i="2"/>
  <c r="CQ174" i="2"/>
  <c r="CY76" i="2"/>
  <c r="CY171" i="2"/>
  <c r="CQ188" i="2"/>
  <c r="CY50" i="2"/>
  <c r="CK32" i="2"/>
  <c r="CT32" i="2" s="1"/>
  <c r="CX31" i="2"/>
  <c r="CY23" i="2"/>
  <c r="CX14" i="2"/>
  <c r="CP14" i="2"/>
  <c r="CY10" i="2"/>
  <c r="CO157" i="2"/>
  <c r="CQ104" i="2"/>
  <c r="CL156" i="2"/>
  <c r="CM156" i="2" s="1"/>
  <c r="CY57" i="2"/>
  <c r="CP157" i="2"/>
  <c r="CT158" i="2"/>
  <c r="CE54" i="2"/>
  <c r="CW163" i="2"/>
  <c r="CT154" i="2"/>
  <c r="CW45" i="2"/>
  <c r="CX40" i="2"/>
  <c r="CL38" i="2"/>
  <c r="CM38" i="2" s="1"/>
  <c r="CX36" i="2"/>
  <c r="CT28" i="2"/>
  <c r="CL26" i="2"/>
  <c r="CM26" i="2" s="1"/>
  <c r="CT24" i="2"/>
  <c r="CL23" i="2"/>
  <c r="CM23" i="2" s="1"/>
  <c r="CE23" i="2"/>
  <c r="CW22" i="2"/>
  <c r="CE16" i="2"/>
  <c r="CY15" i="2"/>
  <c r="CW13" i="2"/>
  <c r="CL10" i="2"/>
  <c r="CM10" i="2" s="1"/>
  <c r="CS157" i="2"/>
  <c r="CX157" i="2" s="1"/>
  <c r="CX87" i="2"/>
  <c r="CE85" i="2"/>
  <c r="CY71" i="2"/>
  <c r="CL154" i="2"/>
  <c r="CM154" i="2" s="1"/>
  <c r="CQ148" i="2"/>
  <c r="CW51" i="2"/>
  <c r="CE49" i="2"/>
  <c r="CW48" i="2"/>
  <c r="CE47" i="2"/>
  <c r="CW46" i="2"/>
  <c r="CW10" i="2"/>
  <c r="CW181" i="2"/>
  <c r="CP56" i="2"/>
  <c r="CY53" i="2"/>
  <c r="CX57" i="2"/>
  <c r="CW199" i="2"/>
  <c r="CD159" i="2"/>
  <c r="CP152" i="2"/>
  <c r="CT80" i="2"/>
  <c r="CT63" i="2"/>
  <c r="CX52" i="2"/>
  <c r="CL44" i="2"/>
  <c r="CM44" i="2" s="1"/>
  <c r="CT29" i="2"/>
  <c r="CY24" i="2"/>
  <c r="CX21" i="2"/>
  <c r="CP15" i="2"/>
  <c r="CW12" i="2"/>
  <c r="CO42" i="2"/>
  <c r="CP102" i="2"/>
  <c r="CE117" i="2"/>
  <c r="CD117" i="2"/>
  <c r="CE140" i="2"/>
  <c r="CD53" i="2"/>
  <c r="CQ56" i="2"/>
  <c r="CQ77" i="2"/>
  <c r="CL72" i="2"/>
  <c r="CM72" i="2" s="1"/>
  <c r="CD112" i="2"/>
  <c r="CD178" i="2"/>
  <c r="CQ114" i="2"/>
  <c r="CT67" i="2"/>
  <c r="CQ120" i="2"/>
  <c r="CQ136" i="2"/>
  <c r="CP145" i="2"/>
  <c r="CP172" i="2"/>
  <c r="CO160" i="2"/>
  <c r="CK160" i="2"/>
  <c r="CT160" i="2" s="1"/>
  <c r="CI160" i="2"/>
  <c r="CE98" i="2"/>
  <c r="CP108" i="2"/>
  <c r="CE82" i="2"/>
  <c r="CT91" i="2"/>
  <c r="CE112" i="2"/>
  <c r="CL170" i="2"/>
  <c r="CM170" i="2" s="1"/>
  <c r="CP170" i="2"/>
  <c r="CK118" i="2"/>
  <c r="CT118" i="2" s="1"/>
  <c r="CO118" i="2"/>
  <c r="CI118" i="2"/>
  <c r="CL118" i="2" s="1"/>
  <c r="CM118" i="2" s="1"/>
  <c r="CI51" i="2"/>
  <c r="CP51" i="2" s="1"/>
  <c r="CK51" i="2"/>
  <c r="CT51" i="2" s="1"/>
  <c r="CO51" i="2"/>
  <c r="CS112" i="2"/>
  <c r="CX112" i="2" s="1"/>
  <c r="CO112" i="2"/>
  <c r="CI164" i="2"/>
  <c r="CP164" i="2" s="1"/>
  <c r="CS164" i="2"/>
  <c r="CX164" i="2" s="1"/>
  <c r="CJ164" i="2"/>
  <c r="CO164" i="2"/>
  <c r="CP190" i="2"/>
  <c r="CE108" i="2"/>
  <c r="CT92" i="2"/>
  <c r="CQ170" i="2"/>
  <c r="CJ169" i="2"/>
  <c r="CI169" i="2"/>
  <c r="CP169" i="2" s="1"/>
  <c r="CO169" i="2"/>
  <c r="CI71" i="2"/>
  <c r="CP71" i="2" s="1"/>
  <c r="CJ71" i="2"/>
  <c r="CO71" i="2"/>
  <c r="CS71" i="2"/>
  <c r="CX71" i="2" s="1"/>
  <c r="CT124" i="2"/>
  <c r="CE114" i="2"/>
  <c r="CQ82" i="2"/>
  <c r="CQ87" i="2"/>
  <c r="CD77" i="2"/>
  <c r="CE192" i="2"/>
  <c r="CD74" i="2"/>
  <c r="CD192" i="2"/>
  <c r="CE102" i="2"/>
  <c r="CL52" i="2"/>
  <c r="CM52" i="2" s="1"/>
  <c r="CY47" i="2"/>
  <c r="CQ47" i="2"/>
  <c r="CQ57" i="2"/>
  <c r="CP103" i="2"/>
  <c r="CD60" i="2"/>
  <c r="CL92" i="2"/>
  <c r="CM92" i="2" s="1"/>
  <c r="CL91" i="2"/>
  <c r="CM91" i="2" s="1"/>
  <c r="CQ189" i="2"/>
  <c r="CQ90" i="2"/>
  <c r="CQ75" i="2"/>
  <c r="CY201" i="2"/>
  <c r="CY188" i="2"/>
  <c r="CT134" i="2"/>
  <c r="CT188" i="2"/>
  <c r="CT46" i="2"/>
  <c r="CY42" i="2"/>
  <c r="CJ42" i="2"/>
  <c r="CQ42" i="2" s="1"/>
  <c r="CL34" i="2"/>
  <c r="CM34" i="2" s="1"/>
  <c r="CP31" i="2"/>
  <c r="CW24" i="2"/>
  <c r="CL22" i="2"/>
  <c r="CM22" i="2" s="1"/>
  <c r="CW21" i="2"/>
  <c r="CD18" i="2"/>
  <c r="CT12" i="2"/>
  <c r="CD10" i="2"/>
  <c r="CY122" i="2"/>
  <c r="CY185" i="2"/>
  <c r="CE86" i="2"/>
  <c r="CW89" i="2"/>
  <c r="CX176" i="2"/>
  <c r="CP151" i="2"/>
  <c r="CY70" i="2"/>
  <c r="CY145" i="2"/>
  <c r="CE73" i="2"/>
  <c r="CW150" i="2"/>
  <c r="CX173" i="2"/>
  <c r="CL199" i="2"/>
  <c r="CM199" i="2" s="1"/>
  <c r="CX159" i="2"/>
  <c r="CW77" i="2"/>
  <c r="CX171" i="2"/>
  <c r="CT127" i="2"/>
  <c r="CV42" i="2"/>
  <c r="CX42" i="2" s="1"/>
  <c r="CI42" i="2"/>
  <c r="CP42" i="2" s="1"/>
  <c r="CW41" i="2"/>
  <c r="CW36" i="2"/>
  <c r="CE35" i="2"/>
  <c r="CD23" i="2"/>
  <c r="CW31" i="2"/>
  <c r="BE42" i="2"/>
  <c r="CW29" i="2"/>
  <c r="CX25" i="2"/>
  <c r="CW17" i="2"/>
  <c r="CY132" i="2"/>
  <c r="CX155" i="2"/>
  <c r="CL172" i="2"/>
  <c r="CM172" i="2" s="1"/>
  <c r="CL134" i="2"/>
  <c r="CM134" i="2" s="1"/>
  <c r="CP134" i="2"/>
  <c r="CD47" i="2"/>
  <c r="CE42" i="2"/>
  <c r="CY41" i="2"/>
  <c r="CY39" i="2"/>
  <c r="CL39" i="2"/>
  <c r="CM39" i="2" s="1"/>
  <c r="CP23" i="2"/>
  <c r="BU42" i="2"/>
  <c r="CY14" i="2"/>
  <c r="CT13" i="2"/>
  <c r="CX12" i="2"/>
  <c r="CL12" i="2"/>
  <c r="CM12" i="2" s="1"/>
  <c r="CQ37" i="2"/>
  <c r="CT33" i="2"/>
  <c r="CQ19" i="2"/>
  <c r="CT16" i="2"/>
  <c r="CP119" i="2"/>
  <c r="CW105" i="2"/>
  <c r="CQ54" i="2"/>
  <c r="CQ171" i="2"/>
  <c r="CW84" i="2"/>
  <c r="CE188" i="2"/>
  <c r="CW134" i="2"/>
  <c r="CY44" i="2"/>
  <c r="CT43" i="2"/>
  <c r="CD43" i="2"/>
  <c r="CX39" i="2"/>
  <c r="CX37" i="2"/>
  <c r="CY33" i="2"/>
  <c r="CW32" i="2"/>
  <c r="CL30" i="2"/>
  <c r="CM30" i="2" s="1"/>
  <c r="CD30" i="2"/>
  <c r="CE28" i="2"/>
  <c r="CP17" i="2"/>
  <c r="CY16" i="2"/>
  <c r="CL16" i="2"/>
  <c r="CM16" i="2" s="1"/>
  <c r="CT111" i="2"/>
  <c r="CW185" i="2"/>
  <c r="CD185" i="2"/>
  <c r="CX175" i="2"/>
  <c r="CW86" i="2"/>
  <c r="CX141" i="2"/>
  <c r="CT74" i="2"/>
  <c r="CL176" i="2"/>
  <c r="CM176" i="2" s="1"/>
  <c r="CT87" i="2"/>
  <c r="CW170" i="2"/>
  <c r="CL85" i="2"/>
  <c r="CM85" i="2" s="1"/>
  <c r="CD70" i="2"/>
  <c r="CW145" i="2"/>
  <c r="CD145" i="2"/>
  <c r="CX92" i="2"/>
  <c r="CW166" i="2"/>
  <c r="CL150" i="2"/>
  <c r="CM150" i="2" s="1"/>
  <c r="CL179" i="2"/>
  <c r="CM179" i="2" s="1"/>
  <c r="CY78" i="2"/>
  <c r="CD156" i="2"/>
  <c r="CL129" i="2"/>
  <c r="CM129" i="2" s="1"/>
  <c r="CL173" i="2"/>
  <c r="CM173" i="2" s="1"/>
  <c r="CT120" i="2"/>
  <c r="CW136" i="2"/>
  <c r="CD136" i="2"/>
  <c r="CX131" i="2"/>
  <c r="CL139" i="2"/>
  <c r="CM139" i="2" s="1"/>
  <c r="CT195" i="2"/>
  <c r="CQ152" i="2"/>
  <c r="CT58" i="2"/>
  <c r="CP195" i="2"/>
  <c r="CP181" i="2"/>
  <c r="CD176" i="2"/>
  <c r="CY80" i="2"/>
  <c r="DB80" i="2" s="1"/>
  <c r="CE124" i="2"/>
  <c r="CD66" i="2"/>
  <c r="CP61" i="2"/>
  <c r="CD65" i="2"/>
  <c r="CD165" i="2"/>
  <c r="CE110" i="2"/>
  <c r="CE169" i="2"/>
  <c r="CT109" i="2"/>
  <c r="CL147" i="2"/>
  <c r="CM147" i="2" s="1"/>
  <c r="CW75" i="2"/>
  <c r="CL171" i="2"/>
  <c r="CM171" i="2" s="1"/>
  <c r="CW127" i="2"/>
  <c r="CQ121" i="2"/>
  <c r="CY121" i="2"/>
  <c r="CX102" i="2"/>
  <c r="CW148" i="2"/>
  <c r="CL83" i="2"/>
  <c r="CM83" i="2" s="1"/>
  <c r="CY48" i="2"/>
  <c r="CQ48" i="2"/>
  <c r="CT45" i="2"/>
  <c r="CP41" i="2"/>
  <c r="CQ38" i="2"/>
  <c r="CX26" i="2"/>
  <c r="CQ24" i="2"/>
  <c r="CY21" i="2"/>
  <c r="CQ21" i="2"/>
  <c r="CD16" i="2"/>
  <c r="CP16" i="2"/>
  <c r="CW14" i="2"/>
  <c r="CQ10" i="2"/>
  <c r="CX11" i="2"/>
  <c r="CL89" i="2"/>
  <c r="CM89" i="2" s="1"/>
  <c r="CP89" i="2"/>
  <c r="CD149" i="2"/>
  <c r="CL141" i="2"/>
  <c r="CM141" i="2" s="1"/>
  <c r="CQ149" i="2"/>
  <c r="CP132" i="2"/>
  <c r="CD57" i="2"/>
  <c r="CD110" i="2"/>
  <c r="CQ110" i="2"/>
  <c r="CT168" i="2"/>
  <c r="CD168" i="2"/>
  <c r="CQ159" i="2"/>
  <c r="CL159" i="2"/>
  <c r="CM159" i="2" s="1"/>
  <c r="CE65" i="2"/>
  <c r="CP65" i="2"/>
  <c r="CD107" i="2"/>
  <c r="CE107" i="2"/>
  <c r="CP107" i="2"/>
  <c r="CD164" i="2"/>
  <c r="CT164" i="2"/>
  <c r="CP147" i="2"/>
  <c r="CD147" i="2"/>
  <c r="CQ199" i="2"/>
  <c r="CE199" i="2"/>
  <c r="CD88" i="2"/>
  <c r="CE88" i="2"/>
  <c r="CD124" i="2"/>
  <c r="CD187" i="2"/>
  <c r="CP150" i="2"/>
  <c r="CP129" i="2"/>
  <c r="CQ70" i="2"/>
  <c r="CQ125" i="2"/>
  <c r="CE122" i="2"/>
  <c r="CQ122" i="2"/>
  <c r="CD169" i="2"/>
  <c r="CE156" i="2"/>
  <c r="CE66" i="2"/>
  <c r="CK82" i="2"/>
  <c r="CT82" i="2" s="1"/>
  <c r="CI82" i="2"/>
  <c r="CV82" i="2"/>
  <c r="CX82" i="2" s="1"/>
  <c r="CO82" i="2"/>
  <c r="CE165" i="2"/>
  <c r="CJ98" i="2"/>
  <c r="CS98" i="2"/>
  <c r="CX98" i="2" s="1"/>
  <c r="CO98" i="2"/>
  <c r="CI98" i="2"/>
  <c r="CP98" i="2" s="1"/>
  <c r="CV104" i="2"/>
  <c r="CX104" i="2" s="1"/>
  <c r="CY125" i="2"/>
  <c r="CL140" i="2"/>
  <c r="CM140" i="2" s="1"/>
  <c r="CY74" i="2"/>
  <c r="CQ74" i="2"/>
  <c r="CD133" i="2"/>
  <c r="CD196" i="2"/>
  <c r="CX66" i="2"/>
  <c r="CQ155" i="2"/>
  <c r="CQ165" i="2"/>
  <c r="CD135" i="2"/>
  <c r="CD153" i="2"/>
  <c r="CT115" i="2"/>
  <c r="CX96" i="2"/>
  <c r="CX118" i="2"/>
  <c r="CY75" i="2"/>
  <c r="CE171" i="2"/>
  <c r="CE121" i="2"/>
  <c r="CX172" i="2"/>
  <c r="CD102" i="2"/>
  <c r="CQ52" i="2"/>
  <c r="CW49" i="2"/>
  <c r="CT41" i="2"/>
  <c r="CW40" i="2"/>
  <c r="CY35" i="2"/>
  <c r="CW34" i="2"/>
  <c r="CY26" i="2"/>
  <c r="CT26" i="2"/>
  <c r="CX16" i="2"/>
  <c r="CW15" i="2"/>
  <c r="CY13" i="2"/>
  <c r="DB13" i="2" s="1"/>
  <c r="CI104" i="2"/>
  <c r="CP104" i="2" s="1"/>
  <c r="CX132" i="2"/>
  <c r="CE63" i="2"/>
  <c r="CK104" i="2"/>
  <c r="CT104" i="2" s="1"/>
  <c r="CW186" i="2"/>
  <c r="CY97" i="2"/>
  <c r="CQ97" i="2"/>
  <c r="CT54" i="2"/>
  <c r="CW171" i="2"/>
  <c r="CW154" i="2"/>
  <c r="CW172" i="2"/>
  <c r="CV83" i="2"/>
  <c r="CX83" i="2" s="1"/>
  <c r="CD46" i="2"/>
  <c r="CL41" i="2"/>
  <c r="CM41" i="2" s="1"/>
  <c r="CX35" i="2"/>
  <c r="CY30" i="2"/>
  <c r="CD19" i="2"/>
  <c r="CX19" i="2"/>
  <c r="CE19" i="2"/>
  <c r="CW16" i="2"/>
  <c r="CD14" i="2"/>
  <c r="CL66" i="2"/>
  <c r="CM66" i="2" s="1"/>
  <c r="BU104" i="2"/>
  <c r="CT185" i="2"/>
  <c r="CT89" i="2"/>
  <c r="CT170" i="2"/>
  <c r="CT145" i="2"/>
  <c r="CT150" i="2"/>
  <c r="CP88" i="2"/>
  <c r="CT136" i="2"/>
  <c r="CQ130" i="2"/>
  <c r="CD139" i="2"/>
  <c r="CP138" i="2"/>
  <c r="CE81" i="2"/>
  <c r="CD188" i="2"/>
  <c r="CL102" i="2"/>
  <c r="CM102" i="2" s="1"/>
  <c r="CP83" i="2"/>
  <c r="CZ64" i="2"/>
  <c r="CY64" i="2" s="1"/>
  <c r="CQ39" i="2"/>
  <c r="CY36" i="2"/>
  <c r="CX22" i="2"/>
  <c r="CD20" i="2"/>
  <c r="CW19" i="2"/>
  <c r="CP122" i="2"/>
  <c r="CL69" i="2"/>
  <c r="CM69" i="2" s="1"/>
  <c r="CQ44" i="2"/>
  <c r="CX28" i="2"/>
  <c r="CX23" i="2"/>
  <c r="CT21" i="2"/>
  <c r="CD15" i="2"/>
  <c r="CD87" i="2"/>
  <c r="CQ167" i="2"/>
  <c r="CQ179" i="2"/>
  <c r="CT78" i="2"/>
  <c r="CX88" i="2"/>
  <c r="CQ173" i="2"/>
  <c r="CD120" i="2"/>
  <c r="CL131" i="2"/>
  <c r="CM131" i="2" s="1"/>
  <c r="CY130" i="2"/>
  <c r="CT130" i="2"/>
  <c r="CD195" i="2"/>
  <c r="CW58" i="2"/>
  <c r="CP57" i="2"/>
  <c r="CP73" i="2"/>
  <c r="CE123" i="2"/>
  <c r="CW97" i="2"/>
  <c r="CE163" i="2"/>
  <c r="CW69" i="2"/>
  <c r="CE154" i="2"/>
  <c r="CY172" i="2"/>
  <c r="CT148" i="2"/>
  <c r="CD50" i="2"/>
  <c r="CT48" i="2"/>
  <c r="CX47" i="2"/>
  <c r="CX41" i="2"/>
  <c r="CY40" i="2"/>
  <c r="CE39" i="2"/>
  <c r="CD37" i="2"/>
  <c r="CD34" i="2"/>
  <c r="CQ16" i="2"/>
  <c r="CX91" i="2"/>
  <c r="CX67" i="2"/>
  <c r="CD134" i="2"/>
  <c r="CE46" i="2"/>
  <c r="CW42" i="2"/>
  <c r="CW20" i="2"/>
  <c r="CP127" i="2"/>
  <c r="CL121" i="2"/>
  <c r="CM121" i="2" s="1"/>
  <c r="CY137" i="2"/>
  <c r="CY45" i="2"/>
  <c r="CE44" i="2"/>
  <c r="CE43" i="2"/>
  <c r="CP40" i="2"/>
  <c r="CY37" i="2"/>
  <c r="CY34" i="2"/>
  <c r="CQ34" i="2"/>
  <c r="CY25" i="2"/>
  <c r="DB25" i="2" s="1"/>
  <c r="CL25" i="2"/>
  <c r="CM25" i="2" s="1"/>
  <c r="CL24" i="2"/>
  <c r="CM24" i="2" s="1"/>
  <c r="CW23" i="2"/>
  <c r="CT22" i="2"/>
  <c r="CT19" i="2"/>
  <c r="CY12" i="2"/>
  <c r="CT153" i="2"/>
  <c r="CT133" i="2"/>
  <c r="CP140" i="2"/>
  <c r="CK50" i="2"/>
  <c r="CT50" i="2" s="1"/>
  <c r="CO50" i="2"/>
  <c r="CV50" i="2"/>
  <c r="CX50" i="2" s="1"/>
  <c r="CI50" i="2"/>
  <c r="CP50" i="2" s="1"/>
  <c r="CI64" i="2"/>
  <c r="CV64" i="2"/>
  <c r="CX64" i="2" s="1"/>
  <c r="CK64" i="2"/>
  <c r="CT64" i="2" s="1"/>
  <c r="CO64" i="2"/>
  <c r="CT31" i="2"/>
  <c r="CD31" i="2"/>
  <c r="CI49" i="2"/>
  <c r="CP49" i="2" s="1"/>
  <c r="BE49" i="2"/>
  <c r="CS49" i="2"/>
  <c r="CJ49" i="2"/>
  <c r="CQ11" i="2"/>
  <c r="CL11" i="2"/>
  <c r="CM11" i="2" s="1"/>
  <c r="CP196" i="2"/>
  <c r="CE135" i="2"/>
  <c r="CD166" i="2"/>
  <c r="CL88" i="2"/>
  <c r="CM88" i="2" s="1"/>
  <c r="CD175" i="2"/>
  <c r="CE111" i="2"/>
  <c r="CD96" i="2"/>
  <c r="CP45" i="2"/>
  <c r="CD45" i="2"/>
  <c r="CE45" i="2"/>
  <c r="CE157" i="2"/>
  <c r="CD111" i="2"/>
  <c r="CQ55" i="2"/>
  <c r="CW141" i="2"/>
  <c r="CX140" i="2"/>
  <c r="CT85" i="2"/>
  <c r="CW196" i="2"/>
  <c r="CP72" i="2"/>
  <c r="CP201" i="2"/>
  <c r="CD201" i="2"/>
  <c r="CD68" i="2"/>
  <c r="CD155" i="2"/>
  <c r="CD157" i="2"/>
  <c r="CX151" i="2"/>
  <c r="CX182" i="2"/>
  <c r="CE173" i="2"/>
  <c r="CD173" i="2"/>
  <c r="CW120" i="2"/>
  <c r="CW195" i="2"/>
  <c r="CX95" i="2"/>
  <c r="CP136" i="2"/>
  <c r="CX201" i="2"/>
  <c r="CQ30" i="2"/>
  <c r="CE30" i="2"/>
  <c r="CP33" i="2"/>
  <c r="CE33" i="2"/>
  <c r="CE96" i="2"/>
  <c r="CD63" i="2"/>
  <c r="CL74" i="2"/>
  <c r="CM74" i="2" s="1"/>
  <c r="CE155" i="2"/>
  <c r="CD86" i="2"/>
  <c r="CY138" i="2"/>
  <c r="CS200" i="2"/>
  <c r="CX200" i="2" s="1"/>
  <c r="CI200" i="2"/>
  <c r="CP200" i="2" s="1"/>
  <c r="CJ200" i="2"/>
  <c r="CO200" i="2"/>
  <c r="CE27" i="2"/>
  <c r="CD27" i="2"/>
  <c r="CQ27" i="2"/>
  <c r="CQ118" i="2"/>
  <c r="CL35" i="2"/>
  <c r="CM35" i="2" s="1"/>
  <c r="CL28" i="2"/>
  <c r="CM28" i="2" s="1"/>
  <c r="CP11" i="2"/>
  <c r="CQ81" i="2"/>
  <c r="CE118" i="2"/>
  <c r="CT38" i="2"/>
  <c r="CT36" i="2"/>
  <c r="CD36" i="2"/>
  <c r="CQ36" i="2"/>
  <c r="CE36" i="2"/>
  <c r="CE29" i="2"/>
  <c r="CD29" i="2"/>
  <c r="CE132" i="2"/>
  <c r="CD161" i="2"/>
  <c r="CE37" i="2"/>
  <c r="CP37" i="2"/>
  <c r="CP27" i="2"/>
  <c r="CP19" i="2"/>
  <c r="CL19" i="2"/>
  <c r="CM19" i="2" s="1"/>
  <c r="CL17" i="2"/>
  <c r="CM17" i="2" s="1"/>
  <c r="CQ17" i="2"/>
  <c r="CQ140" i="2"/>
  <c r="CW55" i="2"/>
  <c r="CD55" i="2"/>
  <c r="CX133" i="2"/>
  <c r="CX89" i="2"/>
  <c r="CY176" i="2"/>
  <c r="CQ176" i="2"/>
  <c r="CY87" i="2"/>
  <c r="CD170" i="2"/>
  <c r="CL167" i="2"/>
  <c r="CM167" i="2" s="1"/>
  <c r="CY106" i="2"/>
  <c r="CT106" i="2"/>
  <c r="CW56" i="2"/>
  <c r="CT56" i="2"/>
  <c r="CX53" i="2"/>
  <c r="CW73" i="2"/>
  <c r="CW142" i="2"/>
  <c r="CY179" i="2"/>
  <c r="CQ156" i="2"/>
  <c r="CW57" i="2"/>
  <c r="CY173" i="2"/>
  <c r="DB173" i="2" s="1"/>
  <c r="CY120" i="2"/>
  <c r="CX139" i="2"/>
  <c r="CP139" i="2"/>
  <c r="CY159" i="2"/>
  <c r="CY195" i="2"/>
  <c r="CY152" i="2"/>
  <c r="CY58" i="2"/>
  <c r="CE195" i="2"/>
  <c r="CT102" i="2"/>
  <c r="CO188" i="2"/>
  <c r="CV188" i="2"/>
  <c r="CX188" i="2" s="1"/>
  <c r="CI188" i="2"/>
  <c r="CP188" i="2" s="1"/>
  <c r="CP44" i="2"/>
  <c r="CY38" i="2"/>
  <c r="CD33" i="2"/>
  <c r="CE201" i="2"/>
  <c r="CS115" i="2"/>
  <c r="CX115" i="2" s="1"/>
  <c r="CI115" i="2"/>
  <c r="CP115" i="2" s="1"/>
  <c r="CJ115" i="2"/>
  <c r="CD44" i="2"/>
  <c r="CQ35" i="2"/>
  <c r="CD22" i="2"/>
  <c r="CE22" i="2"/>
  <c r="CQ22" i="2"/>
  <c r="CP21" i="2"/>
  <c r="CL21" i="2"/>
  <c r="CM21" i="2" s="1"/>
  <c r="CT101" i="2"/>
  <c r="CD71" i="2"/>
  <c r="CD51" i="2"/>
  <c r="CQ51" i="2"/>
  <c r="CE51" i="2"/>
  <c r="CW43" i="2"/>
  <c r="CT30" i="2"/>
  <c r="CO27" i="2"/>
  <c r="CK27" i="2"/>
  <c r="CT27" i="2" s="1"/>
  <c r="CV27" i="2"/>
  <c r="CX27" i="2" s="1"/>
  <c r="CY22" i="2"/>
  <c r="CD11" i="2"/>
  <c r="CE80" i="2"/>
  <c r="CP183" i="2"/>
  <c r="CY197" i="2"/>
  <c r="CQ197" i="2"/>
  <c r="CD194" i="2"/>
  <c r="CW96" i="2"/>
  <c r="CW118" i="2"/>
  <c r="CO75" i="2"/>
  <c r="CD154" i="2"/>
  <c r="CX121" i="2"/>
  <c r="CY84" i="2"/>
  <c r="CE137" i="2"/>
  <c r="CY83" i="2"/>
  <c r="CT83" i="2"/>
  <c r="CD83" i="2"/>
  <c r="CY52" i="2"/>
  <c r="CV51" i="2"/>
  <c r="CX51" i="2" s="1"/>
  <c r="CT47" i="2"/>
  <c r="CX44" i="2"/>
  <c r="CQ43" i="2"/>
  <c r="CT39" i="2"/>
  <c r="CX38" i="2"/>
  <c r="CW35" i="2"/>
  <c r="CD21" i="2"/>
  <c r="CY29" i="2"/>
  <c r="CY17" i="2"/>
  <c r="CQ15" i="2"/>
  <c r="CX147" i="2"/>
  <c r="CP121" i="2"/>
  <c r="CW50" i="2"/>
  <c r="CL47" i="2"/>
  <c r="CM47" i="2" s="1"/>
  <c r="CW47" i="2"/>
  <c r="CD40" i="2"/>
  <c r="CD39" i="2"/>
  <c r="CW37" i="2"/>
  <c r="CW33" i="2"/>
  <c r="CY32" i="2"/>
  <c r="CX30" i="2"/>
  <c r="CL174" i="2"/>
  <c r="CM174" i="2" s="1"/>
  <c r="CK75" i="2"/>
  <c r="CT75" i="2" s="1"/>
  <c r="CY163" i="2"/>
  <c r="CX127" i="2"/>
  <c r="CY154" i="2"/>
  <c r="CQ154" i="2"/>
  <c r="CL148" i="2"/>
  <c r="CM148" i="2" s="1"/>
  <c r="CE40" i="2"/>
  <c r="CQ18" i="2"/>
  <c r="CX15" i="2"/>
  <c r="CL15" i="2"/>
  <c r="CM15" i="2" s="1"/>
  <c r="CX54" i="2"/>
  <c r="CV75" i="2"/>
  <c r="CX75" i="2" s="1"/>
  <c r="CT44" i="2"/>
  <c r="CY43" i="2"/>
  <c r="CW39" i="2"/>
  <c r="CT35" i="2"/>
  <c r="CD25" i="2"/>
  <c r="CD62" i="2"/>
  <c r="CX69" i="2"/>
  <c r="CX134" i="2"/>
  <c r="CX43" i="2"/>
  <c r="CL37" i="2"/>
  <c r="CM37" i="2" s="1"/>
  <c r="CY28" i="2"/>
  <c r="CX20" i="2"/>
  <c r="CT17" i="2"/>
  <c r="CW18" i="2"/>
  <c r="CE15" i="2"/>
  <c r="CD190" i="2"/>
  <c r="CE183" i="2"/>
  <c r="CD80" i="2"/>
  <c r="CE198" i="2"/>
  <c r="CP198" i="2"/>
  <c r="CQ29" i="2"/>
  <c r="CL29" i="2"/>
  <c r="CM29" i="2" s="1"/>
  <c r="CE161" i="2"/>
  <c r="CP161" i="2"/>
  <c r="CE48" i="2"/>
  <c r="CP48" i="2"/>
  <c r="CD48" i="2"/>
  <c r="CT71" i="2"/>
  <c r="CE189" i="2"/>
  <c r="CD115" i="2"/>
  <c r="CD79" i="2"/>
  <c r="CD113" i="2"/>
  <c r="CE79" i="2"/>
  <c r="CP68" i="2"/>
  <c r="CT62" i="2"/>
  <c r="CT55" i="2"/>
  <c r="CE181" i="2"/>
  <c r="CD181" i="2"/>
  <c r="CP120" i="2"/>
  <c r="CE120" i="2"/>
  <c r="CE167" i="2"/>
  <c r="CD167" i="2"/>
  <c r="CP167" i="2"/>
  <c r="CE176" i="2"/>
  <c r="CP176" i="2"/>
  <c r="CQ137" i="2"/>
  <c r="CQ172" i="2"/>
  <c r="CE172" i="2"/>
  <c r="CD172" i="2"/>
  <c r="CK137" i="2"/>
  <c r="CT137" i="2" s="1"/>
  <c r="CV137" i="2"/>
  <c r="CX137" i="2" s="1"/>
  <c r="CO137" i="2"/>
  <c r="CI137" i="2"/>
  <c r="CP137" i="2" s="1"/>
  <c r="CQ33" i="2"/>
  <c r="CL33" i="2"/>
  <c r="CM33" i="2" s="1"/>
  <c r="CL14" i="2"/>
  <c r="CM14" i="2" s="1"/>
  <c r="CQ14" i="2"/>
  <c r="CE75" i="2"/>
  <c r="CP75" i="2"/>
  <c r="CD75" i="2"/>
  <c r="CE83" i="2"/>
  <c r="CD38" i="2"/>
  <c r="CP38" i="2"/>
  <c r="CE32" i="2"/>
  <c r="CD32" i="2"/>
  <c r="CQ83" i="2"/>
  <c r="CQ50" i="2"/>
  <c r="CT25" i="2"/>
  <c r="BE32" i="2"/>
  <c r="CO32" i="2"/>
  <c r="CS32" i="2"/>
  <c r="CI32" i="2"/>
  <c r="CP32" i="2" s="1"/>
  <c r="CJ32" i="2"/>
  <c r="DL18" i="2"/>
  <c r="DN18" i="2" s="1"/>
  <c r="CD69" i="2"/>
  <c r="CP69" i="2"/>
  <c r="CE69" i="2"/>
  <c r="CQ127" i="2"/>
  <c r="CD127" i="2"/>
  <c r="CE127" i="2"/>
  <c r="CL40" i="2"/>
  <c r="CM40" i="2" s="1"/>
  <c r="CQ40" i="2"/>
  <c r="CQ13" i="2"/>
  <c r="CD13" i="2"/>
  <c r="CE13" i="2"/>
  <c r="CD12" i="2"/>
  <c r="CE12" i="2"/>
  <c r="CP12" i="2"/>
  <c r="CT121" i="2"/>
  <c r="CD121" i="2"/>
  <c r="CL201" i="2"/>
  <c r="CM201" i="2" s="1"/>
  <c r="CQ201" i="2"/>
  <c r="CL45" i="2"/>
  <c r="CM45" i="2" s="1"/>
  <c r="CQ45" i="2"/>
  <c r="CP43" i="2"/>
  <c r="CL43" i="2"/>
  <c r="CM43" i="2" s="1"/>
  <c r="CP34" i="2"/>
  <c r="CD28" i="2"/>
  <c r="CQ28" i="2"/>
  <c r="CP20" i="2"/>
  <c r="CL20" i="2"/>
  <c r="CM20" i="2" s="1"/>
  <c r="CP54" i="2"/>
  <c r="CL54" i="2"/>
  <c r="CM54" i="2" s="1"/>
  <c r="CE148" i="2"/>
  <c r="CD148" i="2"/>
  <c r="CP148" i="2"/>
  <c r="CQ134" i="2"/>
  <c r="CE134" i="2"/>
  <c r="CP52" i="2"/>
  <c r="CE52" i="2"/>
  <c r="CD52" i="2"/>
  <c r="CD49" i="2"/>
  <c r="CQ41" i="2"/>
  <c r="CE41" i="2"/>
  <c r="CD41" i="2"/>
  <c r="CD24" i="2"/>
  <c r="CE24" i="2"/>
  <c r="CP24" i="2"/>
  <c r="DH17" i="2"/>
  <c r="CQ84" i="2"/>
  <c r="CD84" i="2"/>
  <c r="CE84" i="2"/>
  <c r="CY134" i="2"/>
  <c r="CE38" i="2"/>
  <c r="CD26" i="2"/>
  <c r="CQ26" i="2"/>
  <c r="CE26" i="2"/>
  <c r="CL75" i="2"/>
  <c r="CM75" i="2" s="1"/>
  <c r="CD97" i="2"/>
  <c r="CD118" i="2"/>
  <c r="CD35" i="2"/>
  <c r="CE17" i="2"/>
  <c r="CD163" i="2"/>
  <c r="CE34" i="2"/>
  <c r="CE97" i="2"/>
  <c r="N1061" i="10" l="1"/>
  <c r="U1061" i="10"/>
  <c r="CP96" i="2"/>
  <c r="CP155" i="2"/>
  <c r="U1082" i="10"/>
  <c r="CQ186" i="2"/>
  <c r="DB94" i="2"/>
  <c r="DB77" i="2"/>
  <c r="CP165" i="2"/>
  <c r="DB165" i="2" s="1"/>
  <c r="CL193" i="2"/>
  <c r="CM193" i="2" s="1"/>
  <c r="DB163" i="2"/>
  <c r="CL79" i="2"/>
  <c r="CM79" i="2" s="1"/>
  <c r="DB95" i="2"/>
  <c r="CP111" i="2"/>
  <c r="DB111" i="2" s="1"/>
  <c r="CL113" i="2"/>
  <c r="CM113" i="2" s="1"/>
  <c r="DB186" i="2"/>
  <c r="CP113" i="2"/>
  <c r="DB113" i="2" s="1"/>
  <c r="DB193" i="2"/>
  <c r="CL163" i="2"/>
  <c r="CM163" i="2" s="1"/>
  <c r="DB28" i="2"/>
  <c r="DB180" i="2"/>
  <c r="DB184" i="2"/>
  <c r="DB146" i="2"/>
  <c r="DB54" i="2"/>
  <c r="CQ157" i="2"/>
  <c r="CP79" i="2"/>
  <c r="DB79" i="2" s="1"/>
  <c r="CQ65" i="2"/>
  <c r="DB99" i="2"/>
  <c r="T1037" i="10"/>
  <c r="T1034" i="10"/>
  <c r="DB110" i="2"/>
  <c r="DB92" i="2"/>
  <c r="DB66" i="2"/>
  <c r="DB161" i="2"/>
  <c r="DB197" i="2"/>
  <c r="DB136" i="2"/>
  <c r="DB130" i="2"/>
  <c r="DB174" i="2"/>
  <c r="DB153" i="2"/>
  <c r="DB109" i="2"/>
  <c r="DB141" i="2"/>
  <c r="DB156" i="2"/>
  <c r="DB183" i="2"/>
  <c r="DB47" i="2"/>
  <c r="DB169" i="2"/>
  <c r="DB164" i="2"/>
  <c r="DB144" i="2"/>
  <c r="DB177" i="2"/>
  <c r="DB133" i="2"/>
  <c r="DB103" i="2"/>
  <c r="DB192" i="2"/>
  <c r="DB175" i="2"/>
  <c r="DB91" i="2"/>
  <c r="DB117" i="2"/>
  <c r="DB98" i="2"/>
  <c r="DB69" i="2"/>
  <c r="DB199" i="2"/>
  <c r="O1040" i="10"/>
  <c r="Q1034" i="10"/>
  <c r="P1068" i="10"/>
  <c r="R1068" i="10" s="1"/>
  <c r="Q1037" i="10"/>
  <c r="DB29" i="2"/>
  <c r="DB53" i="2"/>
  <c r="CL84" i="2"/>
  <c r="CM84" i="2" s="1"/>
  <c r="DB102" i="2"/>
  <c r="DB12" i="2"/>
  <c r="DB143" i="2"/>
  <c r="DB154" i="2"/>
  <c r="DB87" i="2"/>
  <c r="DB147" i="2"/>
  <c r="DB158" i="2"/>
  <c r="DB43" i="2"/>
  <c r="DB105" i="2"/>
  <c r="DB181" i="2"/>
  <c r="DB127" i="2"/>
  <c r="DB170" i="2"/>
  <c r="DB116" i="2"/>
  <c r="DB162" i="2"/>
  <c r="DB149" i="2"/>
  <c r="DB166" i="2"/>
  <c r="DB60" i="2"/>
  <c r="DB85" i="2"/>
  <c r="DB135" i="2"/>
  <c r="DB157" i="2"/>
  <c r="DB18" i="2"/>
  <c r="DB196" i="2"/>
  <c r="DB178" i="2"/>
  <c r="DB22" i="2"/>
  <c r="DB200" i="2"/>
  <c r="DB26" i="2"/>
  <c r="DB150" i="2"/>
  <c r="DB191" i="2"/>
  <c r="CL97" i="2"/>
  <c r="CM97" i="2" s="1"/>
  <c r="DB93" i="2"/>
  <c r="DB187" i="2"/>
  <c r="DB142" i="2"/>
  <c r="DB81" i="2"/>
  <c r="DB115" i="2"/>
  <c r="DB119" i="2"/>
  <c r="DB159" i="2"/>
  <c r="DB190" i="2"/>
  <c r="DB90" i="2"/>
  <c r="DB74" i="2"/>
  <c r="DB55" i="2"/>
  <c r="DB68" i="2"/>
  <c r="DB123" i="2"/>
  <c r="DB58" i="2"/>
  <c r="DB125" i="2"/>
  <c r="DB131" i="2"/>
  <c r="CL124" i="2"/>
  <c r="CM124" i="2" s="1"/>
  <c r="DB78" i="2"/>
  <c r="DB168" i="2"/>
  <c r="DB122" i="2"/>
  <c r="DB39" i="2"/>
  <c r="DB88" i="2"/>
  <c r="DB171" i="2"/>
  <c r="DB104" i="2"/>
  <c r="DB61" i="2"/>
  <c r="CP194" i="2"/>
  <c r="DB194" i="2" s="1"/>
  <c r="DB16" i="2"/>
  <c r="DB182" i="2"/>
  <c r="DB198" i="2"/>
  <c r="DB14" i="2"/>
  <c r="DB67" i="2"/>
  <c r="CL46" i="2"/>
  <c r="CM46" i="2" s="1"/>
  <c r="CX124" i="2"/>
  <c r="DB10" i="2"/>
  <c r="DB65" i="2"/>
  <c r="DB126" i="2"/>
  <c r="DB63" i="2"/>
  <c r="DB128" i="2"/>
  <c r="DB114" i="2"/>
  <c r="DB72" i="2"/>
  <c r="DB100" i="2"/>
  <c r="DB172" i="2"/>
  <c r="DB56" i="2"/>
  <c r="DB148" i="2"/>
  <c r="DB129" i="2"/>
  <c r="DB75" i="2"/>
  <c r="DB96" i="2"/>
  <c r="CP62" i="2"/>
  <c r="DB62" i="2" s="1"/>
  <c r="CX32" i="2"/>
  <c r="DB38" i="2"/>
  <c r="CL42" i="2"/>
  <c r="CM42" i="2" s="1"/>
  <c r="DB155" i="2"/>
  <c r="DB112" i="2"/>
  <c r="DB70" i="2"/>
  <c r="DB46" i="2"/>
  <c r="DB11" i="2"/>
  <c r="DB57" i="2"/>
  <c r="DB30" i="2"/>
  <c r="DB124" i="2"/>
  <c r="DB32" i="2"/>
  <c r="DB152" i="2"/>
  <c r="DB107" i="2"/>
  <c r="DB76" i="2"/>
  <c r="DB86" i="2"/>
  <c r="DB176" i="2"/>
  <c r="DB20" i="2"/>
  <c r="DB89" i="2"/>
  <c r="DB84" i="2"/>
  <c r="DB108" i="2"/>
  <c r="DB132" i="2"/>
  <c r="DB31" i="2"/>
  <c r="DB73" i="2"/>
  <c r="DB27" i="2"/>
  <c r="DB17" i="2"/>
  <c r="DB188" i="2"/>
  <c r="DB195" i="2"/>
  <c r="DB179" i="2"/>
  <c r="DB36" i="2"/>
  <c r="DB41" i="2"/>
  <c r="DB189" i="2"/>
  <c r="DB140" i="2"/>
  <c r="DB83" i="2"/>
  <c r="DB19" i="2"/>
  <c r="DB97" i="2"/>
  <c r="DB35" i="2"/>
  <c r="DB42" i="2"/>
  <c r="DB185" i="2"/>
  <c r="DB71" i="2"/>
  <c r="DB15" i="2"/>
  <c r="DB151" i="2"/>
  <c r="DB23" i="2"/>
  <c r="DB37" i="2"/>
  <c r="DB34" i="2"/>
  <c r="DB167" i="2"/>
  <c r="DB139" i="2"/>
  <c r="CL104" i="2"/>
  <c r="CM104" i="2" s="1"/>
  <c r="DB40" i="2"/>
  <c r="CL71" i="2"/>
  <c r="CM71" i="2" s="1"/>
  <c r="DB59" i="2"/>
  <c r="DB101" i="2"/>
  <c r="DB50" i="2"/>
  <c r="DB24" i="2"/>
  <c r="DB49" i="2"/>
  <c r="DB52" i="2"/>
  <c r="DB120" i="2"/>
  <c r="CP118" i="2"/>
  <c r="DB118" i="2" s="1"/>
  <c r="DB138" i="2"/>
  <c r="DB33" i="2"/>
  <c r="DB44" i="2"/>
  <c r="DB106" i="2"/>
  <c r="DB201" i="2"/>
  <c r="DB51" i="2"/>
  <c r="CL169" i="2"/>
  <c r="CM169" i="2" s="1"/>
  <c r="CQ169" i="2"/>
  <c r="CQ164" i="2"/>
  <c r="CL164" i="2"/>
  <c r="CM164" i="2" s="1"/>
  <c r="DB145" i="2"/>
  <c r="DB134" i="2"/>
  <c r="DB137" i="2"/>
  <c r="DB21" i="2"/>
  <c r="DB121" i="2"/>
  <c r="CQ71" i="2"/>
  <c r="CL51" i="2"/>
  <c r="CM51" i="2" s="1"/>
  <c r="CP160" i="2"/>
  <c r="DB160" i="2" s="1"/>
  <c r="CL160" i="2"/>
  <c r="CM160" i="2" s="1"/>
  <c r="DB48" i="2"/>
  <c r="CL98" i="2"/>
  <c r="CM98" i="2" s="1"/>
  <c r="CQ98" i="2"/>
  <c r="DB45" i="2"/>
  <c r="CP82" i="2"/>
  <c r="DB82" i="2" s="1"/>
  <c r="CL82" i="2"/>
  <c r="CM82" i="2" s="1"/>
  <c r="BU49" i="2"/>
  <c r="CV49" i="2"/>
  <c r="CX49" i="2" s="1"/>
  <c r="CK49" i="2"/>
  <c r="CT49" i="2" s="1"/>
  <c r="CL188" i="2"/>
  <c r="CM188" i="2" s="1"/>
  <c r="CQ200" i="2"/>
  <c r="CL200" i="2"/>
  <c r="CM200" i="2" s="1"/>
  <c r="CO49" i="2"/>
  <c r="CL49" i="2"/>
  <c r="CM49" i="2" s="1"/>
  <c r="CQ49" i="2"/>
  <c r="CL50" i="2"/>
  <c r="CM50" i="2" s="1"/>
  <c r="CL32" i="2"/>
  <c r="CM32" i="2" s="1"/>
  <c r="CQ115" i="2"/>
  <c r="CL115" i="2"/>
  <c r="CM115" i="2" s="1"/>
  <c r="CL64" i="2"/>
  <c r="CM64" i="2" s="1"/>
  <c r="CP64" i="2"/>
  <c r="DB64" i="2" s="1"/>
  <c r="CQ32" i="2"/>
  <c r="DG18" i="2"/>
  <c r="CL137" i="2"/>
  <c r="CM137"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Reis de Ascencao, Gustavo</author>
    <author>Aline da Conceição Matheus</author>
  </authors>
  <commentList>
    <comment ref="AM101" authorId="0" shapeId="0" xr:uid="{00000000-0006-0000-0100-000001000000}">
      <text>
        <r>
          <rPr>
            <b/>
            <sz val="9"/>
            <color indexed="81"/>
            <rFont val="Segoe UI"/>
            <family val="2"/>
          </rPr>
          <t>Reis de Ascencao, Gustavo:</t>
        </r>
        <r>
          <rPr>
            <sz val="9"/>
            <color indexed="81"/>
            <rFont val="Segoe UI"/>
            <family val="2"/>
          </rPr>
          <t xml:space="preserve">
Qual a divisao entre Capes e DFG?</t>
        </r>
      </text>
    </comment>
    <comment ref="AM104" authorId="1" shapeId="0" xr:uid="{00000000-0006-0000-0100-000002000000}">
      <text>
        <r>
          <rPr>
            <b/>
            <sz val="9"/>
            <color indexed="81"/>
            <rFont val="Tahoma"/>
            <family val="2"/>
          </rPr>
          <t>Aline da Conceição Matheus:</t>
        </r>
        <r>
          <rPr>
            <sz val="9"/>
            <color indexed="81"/>
            <rFont val="Tahoma"/>
            <family val="2"/>
          </rPr>
          <t xml:space="preserve">
Taxa do euro fixada no momento da aprovação do projeto (01/09/2019)
</t>
        </r>
      </text>
    </comment>
    <comment ref="BC169" authorId="0" shapeId="0" xr:uid="{00000000-0006-0000-0100-000003000000}">
      <text>
        <r>
          <rPr>
            <b/>
            <sz val="9"/>
            <color indexed="81"/>
            <rFont val="Segoe UI"/>
            <family val="2"/>
          </rPr>
          <t>Reis de Ascencao, Gustavo:</t>
        </r>
        <r>
          <rPr>
            <sz val="9"/>
            <color indexed="81"/>
            <rFont val="Segoe UI"/>
            <family val="2"/>
          </rPr>
          <t xml:space="preserve">
Divisao de recursos entre parceiros.</t>
        </r>
      </text>
    </comment>
  </commentList>
</comments>
</file>

<file path=xl/sharedStrings.xml><?xml version="1.0" encoding="utf-8"?>
<sst xmlns="http://schemas.openxmlformats.org/spreadsheetml/2006/main" count="20063" uniqueCount="877">
  <si>
    <t>Industry</t>
  </si>
  <si>
    <t>IPK</t>
  </si>
  <si>
    <t>ITA</t>
  </si>
  <si>
    <t>Comments</t>
  </si>
  <si>
    <t>Status Change Date [Real]</t>
  </si>
  <si>
    <t>Project Name</t>
  </si>
  <si>
    <t>Project Description</t>
  </si>
  <si>
    <t>FPC@ITA Executors</t>
  </si>
  <si>
    <t>Prospection Start Date</t>
  </si>
  <si>
    <t>Project Start Date [Planned]</t>
  </si>
  <si>
    <t>Project Finish Date [Planned]</t>
  </si>
  <si>
    <t>R&amp;D Partner III</t>
  </si>
  <si>
    <t>R&amp;D Partner IV</t>
  </si>
  <si>
    <t>Industry Partner I</t>
  </si>
  <si>
    <t>Main Customer/Partner</t>
  </si>
  <si>
    <t>Industry Partner II</t>
  </si>
  <si>
    <t>Industry Partner III</t>
  </si>
  <si>
    <t>Industry Partner IV</t>
  </si>
  <si>
    <t>Funding Partner I</t>
  </si>
  <si>
    <t>Funding Partner II</t>
  </si>
  <si>
    <t>Number of Related BR Corporations</t>
  </si>
  <si>
    <t>Number of Related Foreign Corporations</t>
  </si>
  <si>
    <t>General Project Information</t>
  </si>
  <si>
    <t>Project Funding Classification</t>
  </si>
  <si>
    <t>Total Project Volume</t>
  </si>
  <si>
    <t>Summary FPC@ITA Budget</t>
  </si>
  <si>
    <t>Summary ITA Budget</t>
  </si>
  <si>
    <t>Summary IPK Budget</t>
  </si>
  <si>
    <t>Summary Other R&amp;D Partners Volume</t>
  </si>
  <si>
    <t>Summary Project Volume</t>
  </si>
  <si>
    <t>IPK Analysis</t>
  </si>
  <si>
    <t>Probability of Success</t>
  </si>
  <si>
    <t>Real Budget IPK</t>
  </si>
  <si>
    <t>Acquisition Bonus OE810</t>
  </si>
  <si>
    <t>Project Execution OE810</t>
  </si>
  <si>
    <t>Total OE810</t>
  </si>
  <si>
    <t>Name (R&amp;D III)</t>
  </si>
  <si>
    <t>Contact Person (R&amp;D III)</t>
  </si>
  <si>
    <t>Industry Funding from DE (R&amp;D III)</t>
  </si>
  <si>
    <t>Industry Funding from BR (R&amp;D III)</t>
  </si>
  <si>
    <t>Public Funding from DE (R&amp;D III)</t>
  </si>
  <si>
    <t>Public Funding from BR (R&amp;D III)</t>
  </si>
  <si>
    <t>In-kind Contribution (R&amp;D III)</t>
  </si>
  <si>
    <t>Name (R&amp;D IV)</t>
  </si>
  <si>
    <t>Contact Person (R&amp;D IV)</t>
  </si>
  <si>
    <t>Industry Funding from DE (R&amp;D IV)</t>
  </si>
  <si>
    <t>Industry Funding from BR (R&amp;D IV)</t>
  </si>
  <si>
    <t>Public Funding from DE (R&amp;D IV)</t>
  </si>
  <si>
    <t>Public Funding from BR (R&amp;D IV)</t>
  </si>
  <si>
    <t>In-kind Contribution (R&amp;D IV)</t>
  </si>
  <si>
    <t>Name (Ind I)</t>
  </si>
  <si>
    <t>Contact Person (Ind I)</t>
  </si>
  <si>
    <t>Financial Contribution (Ind I)</t>
  </si>
  <si>
    <t>In-kind Contribution (Ind I)</t>
  </si>
  <si>
    <t>Name (Ind II)</t>
  </si>
  <si>
    <t>Contact Person (Ind II)</t>
  </si>
  <si>
    <t>Financial Contribution (Ind II)</t>
  </si>
  <si>
    <t>In-kind Contribution (Ind II)</t>
  </si>
  <si>
    <t>Name (Ind III)</t>
  </si>
  <si>
    <t>Contact Person (Ind III)</t>
  </si>
  <si>
    <t>Financial Contribution (Ind III)</t>
  </si>
  <si>
    <t>In-kind Contribution (Ind III)</t>
  </si>
  <si>
    <t>Name (Ind IV)</t>
  </si>
  <si>
    <t>Contact Person (Ind IV)</t>
  </si>
  <si>
    <t>Financial Contribution (Ind IV)</t>
  </si>
  <si>
    <t>In-kind Contribution (Ind IV)</t>
  </si>
  <si>
    <t>Name (Fund I)</t>
  </si>
  <si>
    <t>Contact Person (Fund I)</t>
  </si>
  <si>
    <t>Funding Amount (Fund I)</t>
  </si>
  <si>
    <t>Name (Fund II)</t>
  </si>
  <si>
    <t>Contact Person (Fund II)</t>
  </si>
  <si>
    <t>Funding Amount (Fund II)</t>
  </si>
  <si>
    <t>Total Industry Funding (IPK)</t>
  </si>
  <si>
    <t>Total Public Funding (IPK)</t>
  </si>
  <si>
    <t>Funding Ratio (IPK)</t>
  </si>
  <si>
    <t>Internal Project Classification (IPK)</t>
  </si>
  <si>
    <t>Total Funding DE (IPK)</t>
  </si>
  <si>
    <t>Total Funding BR (IPK)</t>
  </si>
  <si>
    <t>Total Industry Funding (ITA)</t>
  </si>
  <si>
    <t>Total Public Funding (ITA)</t>
  </si>
  <si>
    <t>Funding Ratio (ITA)</t>
  </si>
  <si>
    <t>Internal Project Classification (ITA)</t>
  </si>
  <si>
    <t>Total Funding DE (ITA)</t>
  </si>
  <si>
    <t>Total Funding BR (ITA)</t>
  </si>
  <si>
    <t>Total Budget (FPC)</t>
  </si>
  <si>
    <t>Total Industry Funding (FPC)</t>
  </si>
  <si>
    <t>Industry Funding from DE (FPC)</t>
  </si>
  <si>
    <t>Industry Funding from BR (FPC)</t>
  </si>
  <si>
    <t>Total Public Funding (FPC)</t>
  </si>
  <si>
    <t>Public Funding from DE (FPC)</t>
  </si>
  <si>
    <t>Public Funding from BR (FPC)</t>
  </si>
  <si>
    <t>Total Funding DE (FPC)</t>
  </si>
  <si>
    <t>Total Funding BR (FPC)</t>
  </si>
  <si>
    <t>Total Volume (Other)</t>
  </si>
  <si>
    <t>Total Financial Budget (Other)</t>
  </si>
  <si>
    <t>Total In-kind Contribution (Other)</t>
  </si>
  <si>
    <t>Public Funding</t>
  </si>
  <si>
    <t>IPK &amp; ITA</t>
  </si>
  <si>
    <t>R&amp;D Partner I (IPK)</t>
  </si>
  <si>
    <t>R&amp;D Partner II (ITA)</t>
  </si>
  <si>
    <t>Industry Funding from BR (IPK)</t>
  </si>
  <si>
    <t>Public Funding from DE (IPK)</t>
  </si>
  <si>
    <t>Public Funding from BR (IPK)</t>
  </si>
  <si>
    <t>In-kind Contribution (IPK)</t>
  </si>
  <si>
    <t>Industry Funding from DE (IPK)</t>
  </si>
  <si>
    <t>Contact Person (IPK)</t>
  </si>
  <si>
    <t>Name (IPK)</t>
  </si>
  <si>
    <t>Name (ITA)</t>
  </si>
  <si>
    <t>Industry Funding from DE (ITA)</t>
  </si>
  <si>
    <t>Industry Funding from BR (ITA)</t>
  </si>
  <si>
    <t>Public Funding from DE (ITA)</t>
  </si>
  <si>
    <t>Public Funding from BR (ITA)</t>
  </si>
  <si>
    <t>In-kind Contribution (ITA)</t>
  </si>
  <si>
    <t>Acquisition Factor OE810</t>
  </si>
  <si>
    <t>International Workshop on Industrie 4.0</t>
  </si>
  <si>
    <t>SENAI-ES</t>
  </si>
  <si>
    <t>N/A</t>
  </si>
  <si>
    <t>Innovation Benchmarking for Ciser</t>
  </si>
  <si>
    <t>Ciser</t>
  </si>
  <si>
    <t>SENAI Joinville</t>
  </si>
  <si>
    <t>Turning Analyses with protoype-based Niobium Carbide Tools</t>
  </si>
  <si>
    <t>CBMM</t>
  </si>
  <si>
    <t>TDO 4.0 Development of the Forming Process - Phase II</t>
  </si>
  <si>
    <t>GM</t>
  </si>
  <si>
    <t>Carlos Sakuramoto</t>
  </si>
  <si>
    <t>Development of NbC Cutting Tools 1st amendment</t>
  </si>
  <si>
    <t>New Die Adjustment Concept Fully Automatic and New Die Tryout Concept</t>
  </si>
  <si>
    <t>NatAM – Niob-Materials for Additive Manufacturing</t>
  </si>
  <si>
    <t>BMBF</t>
  </si>
  <si>
    <t>Tiago Klein</t>
  </si>
  <si>
    <t>Ronnie Rego</t>
  </si>
  <si>
    <t>Stephanie Splett</t>
  </si>
  <si>
    <t>Augmented Reality in Aeronautics</t>
  </si>
  <si>
    <t>FAPESP</t>
  </si>
  <si>
    <t>Mask</t>
  </si>
  <si>
    <t xml:space="preserve"> Total Project Volume</t>
  </si>
  <si>
    <t xml:space="preserve"> </t>
  </si>
  <si>
    <t>Integration of the processes of drillind and sealing (ACROSS)</t>
  </si>
  <si>
    <t>EMBRAER</t>
  </si>
  <si>
    <t>Masterplan for the city of Sao José dos Campos</t>
  </si>
  <si>
    <t>Secretary SJC</t>
  </si>
  <si>
    <t>David Domingos</t>
  </si>
  <si>
    <t xml:space="preserve"> Project Execution OE810</t>
  </si>
  <si>
    <t xml:space="preserve"> Acquisition Bonus OE810</t>
  </si>
  <si>
    <t>Projects approved</t>
  </si>
  <si>
    <t>Proposals submitted</t>
  </si>
  <si>
    <t>Proposals declined</t>
  </si>
  <si>
    <t>Total number</t>
  </si>
  <si>
    <t>Public-funded</t>
  </si>
  <si>
    <t>Institution</t>
  </si>
  <si>
    <t>Amount</t>
  </si>
  <si>
    <t>min.</t>
  </si>
  <si>
    <t xml:space="preserve">min. </t>
  </si>
  <si>
    <t>approx.</t>
  </si>
  <si>
    <t>Total FPC@ITA</t>
  </si>
  <si>
    <t>Gerdau</t>
  </si>
  <si>
    <t>AKAER</t>
  </si>
  <si>
    <t>DWIH</t>
  </si>
  <si>
    <t>Development of Roadmap for CFRP-Machining</t>
  </si>
  <si>
    <t>Petrobras</t>
  </si>
  <si>
    <t>Innovation Strategy for TUPY</t>
  </si>
  <si>
    <t>Tupy Foundry</t>
  </si>
  <si>
    <t>Strategic Maturity Evaluation at IPT</t>
  </si>
  <si>
    <t>IPT</t>
  </si>
  <si>
    <t>Manufacturing Aspects in Wearness of Chain Bearing Crows</t>
  </si>
  <si>
    <t>EBFVAZ</t>
  </si>
  <si>
    <t>Eolic Future</t>
  </si>
  <si>
    <t>Design for Residual Stress (DRS) on Gears Manufacturing</t>
  </si>
  <si>
    <t>Stackpole-Curvas S-n</t>
  </si>
  <si>
    <t>Stackpole</t>
  </si>
  <si>
    <t>FCA-Curvas S-n</t>
  </si>
  <si>
    <t>FCA</t>
  </si>
  <si>
    <t>Benchmarking for qualification for HSM machining</t>
  </si>
  <si>
    <t>Petrofer</t>
  </si>
  <si>
    <t>Optimization of machine setup to increase process robustness and efficiency of Laser Powder Bed Fusion (L-PBF)</t>
  </si>
  <si>
    <t>Efficient heat treatment methods for Ti6AI4V parts produced by Laser Powder Bed Fusion (L-PBF)</t>
  </si>
  <si>
    <t>Specialization in Advanced Industry ITA</t>
  </si>
  <si>
    <t>SENAI-MG</t>
  </si>
  <si>
    <t>Training in i4.0 for the Textile Industry - SENAI</t>
  </si>
  <si>
    <t>SENAI</t>
  </si>
  <si>
    <t>Training in i4.0 for Brazilian Industry (with ITA, VDI, AHK)</t>
  </si>
  <si>
    <t>AHK</t>
  </si>
  <si>
    <t>Additive Manufacturing for repair of parts for FORD</t>
  </si>
  <si>
    <t>Ford</t>
  </si>
  <si>
    <t>3D Surface Analyzer</t>
  </si>
  <si>
    <t>Botspot</t>
  </si>
  <si>
    <t>ArcelorMittal</t>
  </si>
  <si>
    <t>Business Model Development for Ciser</t>
  </si>
  <si>
    <t>Non destructive inspection of SLM parts</t>
  </si>
  <si>
    <t>Planning and optimization of blade manufacturing</t>
  </si>
  <si>
    <t>TGM Turbinas</t>
  </si>
  <si>
    <t>Training i4.0 for Braskem in DE and BR</t>
  </si>
  <si>
    <t>Braskem</t>
  </si>
  <si>
    <t>H2020</t>
  </si>
  <si>
    <t>Coated Gears for efficiency</t>
  </si>
  <si>
    <t>REVVAMP-Bearings and gears of velocity variator</t>
  </si>
  <si>
    <t>ADRIMA - APPLICATION-DRIVEN MATERIAL DEVELOPMENT FOR ADDITIVE MANUFACTURING</t>
  </si>
  <si>
    <t>PSA</t>
  </si>
  <si>
    <t>Application of Brazilian underutilized non-food oil for industrial applications</t>
  </si>
  <si>
    <t>Innovation Benchmarking for MWM</t>
  </si>
  <si>
    <t>MWM</t>
  </si>
  <si>
    <t>Machinability tests of bainitic steels (Gerdau)</t>
  </si>
  <si>
    <t>Strategic Planning for SENAI-ES</t>
  </si>
  <si>
    <t>Implementation of an Intellectual Capital Statement (ICS) at SENAI-ES</t>
  </si>
  <si>
    <t>Optimization of CFRP-Machining at the Production Site in Évora (IPK)</t>
  </si>
  <si>
    <t>Evolution of Geometric Distortion During Manufacturing Chain of Cold Forged Gears</t>
  </si>
  <si>
    <t>Zen</t>
  </si>
  <si>
    <t>Components of Commercial Shaft Specification</t>
  </si>
  <si>
    <t>Meritor</t>
  </si>
  <si>
    <t>MAFI-Hybrid Manufacturing for Tool Makers</t>
  </si>
  <si>
    <t>BNDES</t>
  </si>
  <si>
    <t>MAESTRA - AM Cell for Titanium Aeronautical Structural Parts</t>
  </si>
  <si>
    <t>Nachhaltige Schmierstoffe für die industrielle Verwendung NATIVE</t>
  </si>
  <si>
    <t>Scenarios of future transportation system in Brazil</t>
  </si>
  <si>
    <t>CNT</t>
  </si>
  <si>
    <t xml:space="preserve">Weldability of Advanced HSS for Body-in-White Manufacturing </t>
  </si>
  <si>
    <t>IoT Gas Sensing</t>
  </si>
  <si>
    <t>Immersion Program in Industrie 4.0 for AEA</t>
  </si>
  <si>
    <t>AEA</t>
  </si>
  <si>
    <t>Production Process Platform for the Brazilian Footwear Industry</t>
  </si>
  <si>
    <t>Abicalcados</t>
  </si>
  <si>
    <t>Advanced Manufacturing Demonstrator</t>
  </si>
  <si>
    <t>MDIC</t>
  </si>
  <si>
    <t>Establishment of an Advanced Manufacturing Center at ITA</t>
  </si>
  <si>
    <t>Proposals under preparation</t>
  </si>
  <si>
    <t>Username</t>
  </si>
  <si>
    <t>Password</t>
  </si>
  <si>
    <t>ipk123</t>
  </si>
  <si>
    <t>ita123</t>
  </si>
  <si>
    <t>Project Execution OE100</t>
  </si>
  <si>
    <t>Project Execution OE200</t>
  </si>
  <si>
    <t>Project Execution OE300</t>
  </si>
  <si>
    <t>Project Execution OE400</t>
  </si>
  <si>
    <t>Project Execution OE600</t>
  </si>
  <si>
    <t xml:space="preserve"> OE100</t>
  </si>
  <si>
    <t xml:space="preserve"> OE200</t>
  </si>
  <si>
    <t xml:space="preserve"> OE300</t>
  </si>
  <si>
    <t xml:space="preserve"> OE400</t>
  </si>
  <si>
    <t xml:space="preserve"> OE600</t>
  </si>
  <si>
    <t xml:space="preserve"> OE810</t>
  </si>
  <si>
    <t>OE300</t>
  </si>
  <si>
    <t>01. Early Project Acquisition</t>
  </si>
  <si>
    <t>03. Project Proposal Preparation</t>
  </si>
  <si>
    <t>04. Proposals Submitted</t>
  </si>
  <si>
    <t>07. Projects Running</t>
  </si>
  <si>
    <t>09. Projects Finished</t>
  </si>
  <si>
    <t>10. Proposals Declined</t>
  </si>
  <si>
    <t xml:space="preserve"> Probability of Success</t>
  </si>
  <si>
    <t>PHOENIX+</t>
  </si>
  <si>
    <t>IBB</t>
  </si>
  <si>
    <t>Phootonics and Optoelectronics Network Plus</t>
  </si>
  <si>
    <t>Total Project Volume (IPK)</t>
  </si>
  <si>
    <t>Total Revenues IPK</t>
  </si>
  <si>
    <t>Total Revenues (IPK)</t>
  </si>
  <si>
    <t>Total In-kind Contribution</t>
  </si>
  <si>
    <t>Rho-Wi</t>
  </si>
  <si>
    <t>Total Project Volume (ITA)</t>
  </si>
  <si>
    <t xml:space="preserve"> Total Project Volume (IPK)</t>
  </si>
  <si>
    <t xml:space="preserve"> Total Project Volume (ITA)</t>
  </si>
  <si>
    <t xml:space="preserve"> Total Revenues IPK</t>
  </si>
  <si>
    <t>Adelton Rossetto</t>
  </si>
  <si>
    <t xml:space="preserve"> Real Revenue IPK</t>
  </si>
  <si>
    <t>Expected Revenue IPK</t>
  </si>
  <si>
    <t xml:space="preserve"> Total Project Volume (Other)</t>
  </si>
  <si>
    <t>CORNET - Natural biocides from vegetable-based oils for cosmetic formulations</t>
  </si>
  <si>
    <t>Natura</t>
  </si>
  <si>
    <t>Milena Chanes</t>
  </si>
  <si>
    <t>AiF</t>
  </si>
  <si>
    <t>Felix Rotter</t>
  </si>
  <si>
    <t>Natália Cerize</t>
  </si>
  <si>
    <t>Fraunhofer IGB</t>
  </si>
  <si>
    <t>Susanne Zibek</t>
  </si>
  <si>
    <t>CORNET Call BR and DE
DE: Fraunhofer IPK and IGB 
BR: Natura and IPT</t>
  </si>
  <si>
    <t>Franciele de Oliveira</t>
  </si>
  <si>
    <t>STFI</t>
  </si>
  <si>
    <t>Mr. Zschenderlein</t>
  </si>
  <si>
    <t>Leonardo Furtado</t>
  </si>
  <si>
    <t>Marian Schlüter</t>
  </si>
  <si>
    <t>botspot</t>
  </si>
  <si>
    <t>René Strien</t>
  </si>
  <si>
    <t>IBB Berlin</t>
  </si>
  <si>
    <t>Masterplan Digitalization in Mogi das Cruzes</t>
  </si>
  <si>
    <t>City of Mogi das Cruzes</t>
  </si>
  <si>
    <t>AKTION 3D</t>
  </si>
  <si>
    <t>AKTIVITÄT VON 3D-GEDRUCKTEN BIOLOGISCHEN MATERIALIEN</t>
  </si>
  <si>
    <t>Raab Photonik</t>
  </si>
  <si>
    <t>Raab Photonik
DueLaser</t>
  </si>
  <si>
    <t>Proposal was not submitted</t>
  </si>
  <si>
    <t>Dr. Raab</t>
  </si>
  <si>
    <t xml:space="preserve">IBB Berlin </t>
  </si>
  <si>
    <t>Best Country Sourcing and Sales Strategies for Bovenau</t>
  </si>
  <si>
    <t>Bovenau</t>
  </si>
  <si>
    <t>D. Domingos
Jan-Patrick Cap</t>
  </si>
  <si>
    <t>André Odebrecht</t>
  </si>
  <si>
    <t>Workshop: Digitization and virtualization of product development and production</t>
  </si>
  <si>
    <t>D. Domingos
Kai Lindow</t>
  </si>
  <si>
    <t>Marcio Weichert</t>
  </si>
  <si>
    <t>VDI</t>
  </si>
  <si>
    <t>Johannes Klingberg</t>
  </si>
  <si>
    <t>Bruno Zarpellon</t>
  </si>
  <si>
    <t>Responsible (CCM)</t>
  </si>
  <si>
    <t>Responsible for prospection</t>
  </si>
  <si>
    <t>Status Proposal (prospection ended at)</t>
  </si>
  <si>
    <t>Status ITA</t>
  </si>
  <si>
    <t>Status CRM IPK</t>
  </si>
  <si>
    <t>1. Early project acquisition</t>
  </si>
  <si>
    <t>2. Definition of the technical goals</t>
  </si>
  <si>
    <t>3. Analysis of resources</t>
  </si>
  <si>
    <t>4. Proposal submission and follow-up</t>
  </si>
  <si>
    <t>6. Proposal declined</t>
  </si>
  <si>
    <t>SUBMITTED</t>
  </si>
  <si>
    <t>PROPOSAL PREPARATION</t>
  </si>
  <si>
    <t>DECLINED PROPOSALS</t>
  </si>
  <si>
    <t>PSA_01</t>
  </si>
  <si>
    <t>Vibroacustic Analysis of Components</t>
  </si>
  <si>
    <t xml:space="preserve">Alfredo faria </t>
  </si>
  <si>
    <t xml:space="preserve">André Lima / André Luiz </t>
  </si>
  <si>
    <t>Mass and compodents reduction of Aerogenerators Nacele</t>
  </si>
  <si>
    <t>SOLLUS</t>
  </si>
  <si>
    <t xml:space="preserve">Ronnie Rego </t>
  </si>
  <si>
    <t xml:space="preserve">Nathianne Moura / Artur Cantisano </t>
  </si>
  <si>
    <t xml:space="preserve">AGCO </t>
  </si>
  <si>
    <t>To be defined</t>
  </si>
  <si>
    <t>Tédni Goulart</t>
  </si>
  <si>
    <t xml:space="preserve">Tédni Goulart  / Givan Macedo </t>
  </si>
  <si>
    <t>TRANSPAAR</t>
  </si>
  <si>
    <t>Materials for power transmission towers</t>
  </si>
  <si>
    <t xml:space="preserve">André Lima </t>
  </si>
  <si>
    <t xml:space="preserve">CPE </t>
  </si>
  <si>
    <t>Advanced Manufacturing - Joint FAPESP Financing</t>
  </si>
  <si>
    <t xml:space="preserve">Wesley Oliveira </t>
  </si>
  <si>
    <t xml:space="preserve">Weslley Oliveira / Aline Matheus </t>
  </si>
  <si>
    <t>Sanofi_02</t>
  </si>
  <si>
    <t>Automation / Digital Manufacturing</t>
  </si>
  <si>
    <t xml:space="preserve">Sanofi </t>
  </si>
  <si>
    <t>Shell_01</t>
  </si>
  <si>
    <t>Shell</t>
  </si>
  <si>
    <t>Lucas Robatto</t>
  </si>
  <si>
    <t>Mercedes Benz_01</t>
  </si>
  <si>
    <t>FERA</t>
  </si>
  <si>
    <t>Zanini Renk/Hoganas</t>
  </si>
  <si>
    <t>CNH_01</t>
  </si>
  <si>
    <t>CNH</t>
  </si>
  <si>
    <t>Fras-Le_03</t>
  </si>
  <si>
    <t>Fras-Le</t>
  </si>
  <si>
    <t xml:space="preserve">Guilherme José / José Guilherme </t>
  </si>
  <si>
    <t xml:space="preserve">Fábio Sena / Natália D´Ávila </t>
  </si>
  <si>
    <t>Fras-Le_02</t>
  </si>
  <si>
    <t>Predict Analytics Applied to Process Historical  Data</t>
  </si>
  <si>
    <t>Lauren Leme</t>
  </si>
  <si>
    <t>Fras-Le_01</t>
  </si>
  <si>
    <t>Alignment measurement in large presses</t>
  </si>
  <si>
    <t>VVIDA</t>
  </si>
  <si>
    <t>PETROBRAS</t>
  </si>
  <si>
    <t>Nathianne Moura</t>
  </si>
  <si>
    <t>VVIDA - INFRA</t>
  </si>
  <si>
    <t>Rio Energy_01</t>
  </si>
  <si>
    <t>Epicyclic speed multipliers for pipeline natural gas application</t>
  </si>
  <si>
    <t>Rio Energy</t>
  </si>
  <si>
    <t xml:space="preserve">Star-SU </t>
  </si>
  <si>
    <t>Optimization of a coupling and torque transmission component for gear making machine</t>
  </si>
  <si>
    <t>André Luiz Oliveira</t>
  </si>
  <si>
    <t>Volvo_01</t>
  </si>
  <si>
    <t xml:space="preserve">Volvo </t>
  </si>
  <si>
    <t xml:space="preserve">Fábio Sena / André Lima </t>
  </si>
  <si>
    <t>Volkswagen_RJ</t>
  </si>
  <si>
    <t>Volkswagen - Resende/RJ</t>
  </si>
  <si>
    <t>Natália D'Ávila / Wesley Oliveira</t>
  </si>
  <si>
    <t>Volkswagen_SP</t>
  </si>
  <si>
    <t>Volkswagen - São Bernardo do Campo/SP</t>
  </si>
  <si>
    <t>DRS on Gear Manufacturing: Industry 4.0 Approach</t>
  </si>
  <si>
    <t>Bosch</t>
  </si>
  <si>
    <t>E-Works</t>
  </si>
  <si>
    <t>Open Lab</t>
  </si>
  <si>
    <t xml:space="preserve">Anderson Borille </t>
  </si>
  <si>
    <t xml:space="preserve">Amanda Deus </t>
  </si>
  <si>
    <t>Strategic process planning and mapping to identify and transpose all phases of a product's lifecycle into a full MBD unified model (Integration of simulation tools from various areas of the product development cycle and deployment of a unified Virutal platform</t>
  </si>
  <si>
    <t>AKAER_01</t>
  </si>
  <si>
    <t>Janete Moreira</t>
  </si>
  <si>
    <t>AM GEARS</t>
  </si>
  <si>
    <t xml:space="preserve">Development of an additive manufacturing chain for metal-polymer gears </t>
  </si>
  <si>
    <t>STEPS</t>
  </si>
  <si>
    <t>Cooperation for the development of powder metallurgy gears, transmission and electric motor with resource efficiency improvement</t>
  </si>
  <si>
    <t>EATON/GERDAU/BRASKEM/ STACKPOLE</t>
  </si>
  <si>
    <t>Automation of the piezometer measurement process in dams</t>
  </si>
  <si>
    <t>VALE MG</t>
  </si>
  <si>
    <t>Carlos Eguti</t>
  </si>
  <si>
    <t>SAMARCO/Senai MG</t>
  </si>
  <si>
    <t>Aeroscan</t>
  </si>
  <si>
    <t xml:space="preserve">Evaluation of structures integrity by drones </t>
  </si>
  <si>
    <t>Avansu</t>
  </si>
  <si>
    <t>Detection of mineral deposits in high pressure water pipes</t>
  </si>
  <si>
    <t>Development and construction of a drone for painting locals of difficult human access</t>
  </si>
  <si>
    <t>REPEMA/Collaborative robotics</t>
  </si>
  <si>
    <t>UFABC</t>
  </si>
  <si>
    <t xml:space="preserve">Emília Vilanni </t>
  </si>
  <si>
    <t>AGE-02</t>
  </si>
  <si>
    <t xml:space="preserve">Welding process simulation, structural analysis </t>
  </si>
  <si>
    <t>Development of a full flight simulator with the possibility to simulate specified types of airplanes</t>
  </si>
  <si>
    <t>Embraer</t>
  </si>
  <si>
    <t xml:space="preserve">Smart Materials </t>
  </si>
  <si>
    <t>Zanini Renk</t>
  </si>
  <si>
    <t>ZANINI_01</t>
  </si>
  <si>
    <t>Contact pattern</t>
  </si>
  <si>
    <t>This project aims to determine the effect of Nb and Ti addition on grain refinement of gear materials considering the surface integrity.</t>
  </si>
  <si>
    <t>Eolic_02</t>
  </si>
  <si>
    <t>GRU</t>
  </si>
  <si>
    <t>Evaluation of machinability of materials by turning and milling process</t>
  </si>
  <si>
    <t>Givan Macedo</t>
  </si>
  <si>
    <t>Evaluation of the deep drilling process</t>
  </si>
  <si>
    <t>AMU</t>
  </si>
  <si>
    <t>Evaluation of machinability of materials by turning process</t>
  </si>
  <si>
    <t>DLC Gear Efficiency</t>
  </si>
  <si>
    <t>EBFVAZ_01</t>
  </si>
  <si>
    <t>CARE</t>
  </si>
  <si>
    <t>MWM_01</t>
  </si>
  <si>
    <t>REVVAMP</t>
  </si>
  <si>
    <t>ZEN_01</t>
  </si>
  <si>
    <t>ACROSS</t>
  </si>
  <si>
    <t>MERITOR</t>
  </si>
  <si>
    <t>Estimated duration (months)</t>
  </si>
  <si>
    <t>AKAER/FINEP</t>
  </si>
  <si>
    <t>Technological development technological qualification and implantation of factory unit</t>
  </si>
  <si>
    <t>Anderson Borille</t>
  </si>
  <si>
    <t>FINEP</t>
  </si>
  <si>
    <t>DFG/CAPES</t>
  </si>
  <si>
    <t>GERDAU</t>
  </si>
  <si>
    <t>EATON</t>
  </si>
  <si>
    <t>STACKPOLE</t>
  </si>
  <si>
    <t>Total</t>
  </si>
  <si>
    <t>Gerdau Dura Roll</t>
  </si>
  <si>
    <t>TDO 4.0 Development of the Forming Process - Phase III</t>
  </si>
  <si>
    <t>Tooling repairing</t>
  </si>
  <si>
    <t xml:space="preserve">Additive reparing of gears and tools </t>
  </si>
  <si>
    <t>Additive manufacturing</t>
  </si>
  <si>
    <t xml:space="preserve">Residual stress  in additive manufactured components </t>
  </si>
  <si>
    <t>CONSITEC</t>
  </si>
  <si>
    <t>Tiago Colombo</t>
  </si>
  <si>
    <t>Angelo Carvalho</t>
  </si>
  <si>
    <t>Rodrigo Metzger</t>
  </si>
  <si>
    <t>Virtual reality</t>
  </si>
  <si>
    <t>Aline Matheus</t>
  </si>
  <si>
    <t>Natália D'Ávila</t>
  </si>
  <si>
    <t>E_Works- Azul</t>
  </si>
  <si>
    <t>Amanda Deus</t>
  </si>
  <si>
    <t>AZUL</t>
  </si>
  <si>
    <t>BRASKEM/GERDAU/EATON</t>
  </si>
  <si>
    <t>VALE-MG</t>
  </si>
  <si>
    <t>UFABC (ROTA 2030)</t>
  </si>
  <si>
    <t>ITA is directly funded by Gerdau. Braskem is cofunding the project by paying the executor partner ALKIMAT (R$ 400 k)</t>
  </si>
  <si>
    <t>Carla Cunha</t>
  </si>
  <si>
    <t>Luiz Fonseca</t>
  </si>
  <si>
    <t>ANP</t>
  </si>
  <si>
    <t>Petrobras/ANP</t>
  </si>
  <si>
    <t>Check with Janete</t>
  </si>
  <si>
    <t>24.06.2019</t>
  </si>
  <si>
    <t>Luiz Rufato</t>
  </si>
  <si>
    <t>L-PBF AISI 4140</t>
  </si>
  <si>
    <t>10.06.2019</t>
  </si>
  <si>
    <t>Gustavo Reis</t>
  </si>
  <si>
    <t>João Filipini</t>
  </si>
  <si>
    <t>Training Industry 4.0 AEA [DE]</t>
  </si>
  <si>
    <t>SENAI - RS</t>
  </si>
  <si>
    <t>Vital force</t>
  </si>
  <si>
    <t xml:space="preserve">Carlos Eguti </t>
  </si>
  <si>
    <t>Renault</t>
  </si>
  <si>
    <t>Fábio Sena</t>
  </si>
  <si>
    <t>OCR</t>
  </si>
  <si>
    <t>Optical character recognition</t>
  </si>
  <si>
    <t>Strategic Planning of CITI</t>
  </si>
  <si>
    <t>Secretariat of Economic Development SP</t>
  </si>
  <si>
    <t>Gear durability for new materials - ( Project continuity Phase I)</t>
  </si>
  <si>
    <t xml:space="preserve">Design of a underwater tool of 600 Nm </t>
  </si>
  <si>
    <t>Renato de Fiore</t>
  </si>
  <si>
    <t>Carlos Bork</t>
  </si>
  <si>
    <t>Maxion</t>
  </si>
  <si>
    <t>CORNET Call BR and DE
DE: Fraunhofer IPK
BR: Maxion and IPT (LEL)</t>
  </si>
  <si>
    <t>AiF (IGF)</t>
  </si>
  <si>
    <t>CFRP Machining for Maxion</t>
  </si>
  <si>
    <t>FAPESP NPOP</t>
  </si>
  <si>
    <t>FIAT_01</t>
  </si>
  <si>
    <t>FIAT</t>
  </si>
  <si>
    <t>Crankshafts</t>
  </si>
  <si>
    <t>FIAT_02</t>
  </si>
  <si>
    <t>Spot welding</t>
  </si>
  <si>
    <t>OSG</t>
  </si>
  <si>
    <t>Milling of icon reeds</t>
  </si>
  <si>
    <t>FAPESP _ ITA_ UFSC</t>
  </si>
  <si>
    <t>Training i4.0 in DE Textile</t>
  </si>
  <si>
    <t>Immersion at Fraunhofer IPK and at STFI in Chemnitz, for Brazilian industry linked to textile sector</t>
  </si>
  <si>
    <t>Kamila Merle</t>
  </si>
  <si>
    <t>Workshop: Neue Fraunhofer Digitalisierungs- &amp; Rekonstruktionstechnologien zur Wiederherstellung zerstörter &amp; beschädigter Kulturgüter</t>
  </si>
  <si>
    <t>Federal Foreign Office</t>
  </si>
  <si>
    <t>Johannes Bloos</t>
  </si>
  <si>
    <t>ESCalate SENAI - Excellence, Sustainability, Cooperation</t>
  </si>
  <si>
    <t>SENAI - DN</t>
  </si>
  <si>
    <t>Gustavo Leal</t>
  </si>
  <si>
    <t>Marcos Vinícius de Souza</t>
  </si>
  <si>
    <t>Moysés Leite / Joao Filipini</t>
  </si>
  <si>
    <t>Multiple</t>
  </si>
  <si>
    <t>Underwater tool</t>
  </si>
  <si>
    <t>Post-Processing of Additive Manufacturing Parts for Oil &amp; Gas</t>
  </si>
  <si>
    <t>Technology mapping and specimen design study</t>
  </si>
  <si>
    <t>Proposal Preparation</t>
  </si>
  <si>
    <t>Proposals</t>
  </si>
  <si>
    <t>Amount [€]</t>
  </si>
  <si>
    <t>Proposals Submitted</t>
  </si>
  <si>
    <t>Running and finished</t>
  </si>
  <si>
    <t>Declined</t>
  </si>
  <si>
    <t>General FPC@ITA Funnel (cummulative results)</t>
  </si>
  <si>
    <t>Industry-funded Projects (cummulative results)</t>
  </si>
  <si>
    <t>Public-funded Projects (cummulative results)</t>
  </si>
  <si>
    <t>Success rate</t>
  </si>
  <si>
    <t>#</t>
  </si>
  <si>
    <t>€</t>
  </si>
  <si>
    <t>Revenues</t>
  </si>
  <si>
    <t>Current</t>
  </si>
  <si>
    <t>Target</t>
  </si>
  <si>
    <t>Result</t>
  </si>
  <si>
    <t>Converted to FAPESP NPOP</t>
  </si>
  <si>
    <t>CoFreeAM (FTI H2020)</t>
  </si>
  <si>
    <t>Proposal was declined on 24.12.2019 and resubmitted on 19.02.2020</t>
  </si>
  <si>
    <t xml:space="preserve"> FINISHED</t>
  </si>
  <si>
    <t xml:space="preserve">APPROVED AND RUNNING </t>
  </si>
  <si>
    <t xml:space="preserve">E-Works </t>
  </si>
  <si>
    <t>SEW  Eurodrive</t>
  </si>
  <si>
    <t xml:space="preserve">Antônio Vieira </t>
  </si>
  <si>
    <t xml:space="preserve">Jhonatas </t>
  </si>
  <si>
    <t>Project including 6 German companies, RWTH Aachen, ITA and 3 Brazilian companies. Submitted to BMBF (Declined), summing  EUR 3mi</t>
  </si>
  <si>
    <t>RANDON</t>
  </si>
  <si>
    <t>E-sys</t>
  </si>
  <si>
    <t>WEG CESTARI</t>
  </si>
  <si>
    <t>DRS on Gear Manufacturing</t>
  </si>
  <si>
    <t>André Oliveira</t>
  </si>
  <si>
    <t xml:space="preserve">Development of gearbox for eletric passenger vehicle </t>
  </si>
  <si>
    <t>ZEN</t>
  </si>
  <si>
    <t>Tooling and Process Parameters Optimization for the Resistance Welding of Steel Wires</t>
  </si>
  <si>
    <t>OptimWeld - ZF</t>
  </si>
  <si>
    <t>ZF</t>
  </si>
  <si>
    <t>Petrobras/ SENAI ISI Laser</t>
  </si>
  <si>
    <t>Negotiations were postponed due to COVID-19</t>
  </si>
  <si>
    <t>Marco Antonio de Oliveira Alves</t>
  </si>
  <si>
    <t>Start of project postponed to September 2020 due to COVID-19</t>
  </si>
  <si>
    <t>No feedback from company since 6 months, altough tried contact many times.</t>
  </si>
  <si>
    <t>R2030 - Linha 4 - Programm (iii) - Disruptive R&amp;D</t>
  </si>
  <si>
    <t>R2030</t>
  </si>
  <si>
    <t xml:space="preserve">Alfredo Faria </t>
  </si>
  <si>
    <t>SECONVE</t>
  </si>
  <si>
    <t>Functional Safety and human factors in the transfer of control from vehicle to driver using motion simulators</t>
  </si>
  <si>
    <t>Evaluation of Human Factors in remote tower environment</t>
  </si>
  <si>
    <t>ICEA/DECEA</t>
  </si>
  <si>
    <t>3SIP</t>
  </si>
  <si>
    <t>Cooperation with Sweden in data science applied to Health and Aeronautics Sector</t>
  </si>
  <si>
    <t>in cooperation with Sweden: ITA probably funded by FINEP and Sweeden funded by FMV</t>
  </si>
  <si>
    <t>KI/KTH/USP</t>
  </si>
  <si>
    <t>GERDAU/ BRASKEM/ ALKIMAT</t>
  </si>
  <si>
    <t>Engrena ITA Phase 3: FAPESP co-funding</t>
  </si>
  <si>
    <t>Gearing optimization for electric tool</t>
  </si>
  <si>
    <t>Development of the AM Chain for metallic components</t>
  </si>
  <si>
    <t>Rota 2030 - Line 5 (with Randon, Gerdau, CIP and UCS)</t>
  </si>
  <si>
    <t>Epicyclic speed multipliers for pipeline natural gas application (Infraestructure)</t>
  </si>
  <si>
    <t>Method for integrity diagnosis of wind turbine geaarboxes</t>
  </si>
  <si>
    <t>CFD Calibration of gearboxes</t>
  </si>
  <si>
    <t>Katrin Huth-Herms</t>
  </si>
  <si>
    <t>Johannes Hügele</t>
  </si>
  <si>
    <t>General Motors</t>
  </si>
  <si>
    <t>Flight Simulator SIVOR 02</t>
  </si>
  <si>
    <t>Budget restrictions at SP State</t>
  </si>
  <si>
    <t>Profa. Zepir</t>
  </si>
  <si>
    <t>Gerda-Henkel Stiftung</t>
  </si>
  <si>
    <t>Develop and certify brazilian die and mold companies, according to international automotive standards</t>
  </si>
  <si>
    <t>Abinfer</t>
  </si>
  <si>
    <t>C. Dihllmann</t>
  </si>
  <si>
    <t>R2030 / IPT</t>
  </si>
  <si>
    <t>Décio</t>
  </si>
  <si>
    <t>Strategic Planning CODEMGE</t>
  </si>
  <si>
    <t>Update the Strategy and Portfolio of CODEMGE in MG</t>
  </si>
  <si>
    <t>CODEMGE</t>
  </si>
  <si>
    <t>e-Sys</t>
  </si>
  <si>
    <t>Sivor (Campanha GVT)</t>
  </si>
  <si>
    <t xml:space="preserve">Ground vibration tests of the SIVOR flight simulator </t>
  </si>
  <si>
    <t>(Azul budget for academic projects has been freezed due to the coronavirus crisis)</t>
  </si>
  <si>
    <t>E-Works 2</t>
  </si>
  <si>
    <t>(Due to the end of the joint venture Embraer/Boeing, it is necessary to check if Embraer is still interested on this project)</t>
  </si>
  <si>
    <t>Azul</t>
  </si>
  <si>
    <t>Desafio Inova Azul</t>
  </si>
  <si>
    <t>Azul (ITA Challenge 2020)</t>
  </si>
  <si>
    <t>(Project budget is converted in awarding tickets for the winners of the ITA Challenge)</t>
  </si>
  <si>
    <t>Desafio Ferramentaria 4.0 (ITA Challenge/Rota 2030)</t>
  </si>
  <si>
    <t>Inova Akaer</t>
  </si>
  <si>
    <t>DAARS</t>
  </si>
  <si>
    <t>Failure induced by instability in structural composites under longitudinal compression</t>
  </si>
  <si>
    <t>Fapesp SPRINT</t>
  </si>
  <si>
    <t>For more details, consult Fapesp's website. Project number 2019/00917-8</t>
  </si>
  <si>
    <t>Randon</t>
  </si>
  <si>
    <t>Joel Boaretto</t>
  </si>
  <si>
    <t>Henrique Oliveira</t>
  </si>
  <si>
    <t>Moisés Teixeira</t>
  </si>
  <si>
    <t>Moysés Lima</t>
  </si>
  <si>
    <t>Xploraytion</t>
  </si>
  <si>
    <t>ZIM-Xploraytion</t>
  </si>
  <si>
    <t>Development of an innovative high-throughput material analysis pipeline for an efficient qualification of AM parts</t>
  </si>
  <si>
    <t>ZIM Program</t>
  </si>
  <si>
    <t>Bernhard Hesse</t>
  </si>
  <si>
    <t>BMWi</t>
  </si>
  <si>
    <t>Bernhand Hesse</t>
  </si>
  <si>
    <t>Reduction of burr formations during PPS injection molding</t>
  </si>
  <si>
    <t>Sabó</t>
  </si>
  <si>
    <t>Christoph Hein</t>
  </si>
  <si>
    <t>Luciano Pinto</t>
  </si>
  <si>
    <t>Injection molding predictive maintenance</t>
  </si>
  <si>
    <t>Focus on cooling channels (inspection and repair)</t>
  </si>
  <si>
    <t>Development of additive manufacturing for the automative tooling sector</t>
  </si>
  <si>
    <t>9000 EUR were moved from IPK to ITA for the collaboration (TBC)</t>
  </si>
  <si>
    <t>Inconel 718 parts manufactured via the additive manufacturing process</t>
  </si>
  <si>
    <t>Conveincing a new method of inspection to identification of defects from vehicle frame</t>
  </si>
  <si>
    <t>Virtual reality and augmented reality in Air Traffic Control</t>
  </si>
  <si>
    <t>Virtual Reality and augmented reality in Air Traffic Control</t>
  </si>
  <si>
    <t>Strategy Revision &amp; Implementation and Change Management for Technological Park of Itaipu PTI</t>
  </si>
  <si>
    <t>PTI</t>
  </si>
  <si>
    <t>Strategic Planning for PTI</t>
  </si>
  <si>
    <t>Rodrigo Regis</t>
  </si>
  <si>
    <t>FIPT</t>
  </si>
  <si>
    <t>Applied artificial intelligence center for industrial evolution of 4.0 industry</t>
  </si>
  <si>
    <t>IPT/USP/UNESP/FACENS/UTFPR</t>
  </si>
  <si>
    <t>Fapesp IA center</t>
  </si>
  <si>
    <t>DEMESTAA</t>
  </si>
  <si>
    <t>DECOLAB</t>
  </si>
  <si>
    <t>Stamping demonstrator for a class A surface (ROTA 2030, line IV, axis IV)</t>
  </si>
  <si>
    <t>Stamping demonstrator for a reinforcement B pillar (ROTA 2030, line IV, axis IV)</t>
  </si>
  <si>
    <t>02. Stand-by</t>
  </si>
  <si>
    <t xml:space="preserve">STAND-BY </t>
  </si>
  <si>
    <t>STAND-BY</t>
  </si>
  <si>
    <t>Petrobras_Training HLAW</t>
  </si>
  <si>
    <t>MISCAE</t>
  </si>
  <si>
    <t>Modeling and identification of defects in class A surfaces and reinforcement B pillar (ROTA 2030, line IV, axis III)</t>
  </si>
  <si>
    <t>Mercedes Benz</t>
  </si>
  <si>
    <t>Maxiforja</t>
  </si>
  <si>
    <t>Gabriel Vargas</t>
  </si>
  <si>
    <t>Business Model</t>
  </si>
  <si>
    <t>BM01</t>
  </si>
  <si>
    <t>BM01A</t>
  </si>
  <si>
    <t>BM01B</t>
  </si>
  <si>
    <t>BM01C</t>
  </si>
  <si>
    <t>BM02</t>
  </si>
  <si>
    <t>BM03</t>
  </si>
  <si>
    <t>BM05</t>
  </si>
  <si>
    <t>BM06</t>
  </si>
  <si>
    <t>BM07</t>
  </si>
  <si>
    <t>EUR exchange rate against BRL</t>
  </si>
  <si>
    <t>BM applied for this project</t>
  </si>
  <si>
    <t>5. Project running</t>
  </si>
  <si>
    <t>To be defined_01</t>
  </si>
  <si>
    <t>To be defined_02</t>
  </si>
  <si>
    <t>Proposal conducted by startup Lume and IPK. To be revisited in late 2020 or 2021 (COVID-19)</t>
  </si>
  <si>
    <t>To be revisited in 2021 (COVID-19)</t>
  </si>
  <si>
    <t>André Zanatta</t>
  </si>
  <si>
    <t>Bayer Crop Science</t>
  </si>
  <si>
    <t>Support developing a Roadmap for implementing i4.0 solutions/applications in IoT and Predictive Maintenance</t>
  </si>
  <si>
    <t>Lucas Arrais
André Fukugauti</t>
  </si>
  <si>
    <t>FURNAS E++</t>
  </si>
  <si>
    <t>Mapping of addictive manufacturing for spare parts</t>
  </si>
  <si>
    <t>Furnas</t>
  </si>
  <si>
    <t>Benchmark of Brazilian Die and Mold Industry</t>
  </si>
  <si>
    <t>Alliance with IPT-SP and IPT-Aachen</t>
  </si>
  <si>
    <t>Insert Public Funding</t>
  </si>
  <si>
    <t>BM04A</t>
  </si>
  <si>
    <t>BM04B</t>
  </si>
  <si>
    <t>BM04C</t>
  </si>
  <si>
    <t>BM06A</t>
  </si>
  <si>
    <t>BM06B</t>
  </si>
  <si>
    <t>Only Public Funding</t>
  </si>
  <si>
    <t>HMI_HUFLab</t>
  </si>
  <si>
    <t>SAAB/RISE/
FMV/IPEV/
IAOp</t>
  </si>
  <si>
    <t>Research on human factors and human-machine interface in Aeronautics</t>
  </si>
  <si>
    <t xml:space="preserve">SRE-2 </t>
  </si>
  <si>
    <t>EletroRedutor</t>
  </si>
  <si>
    <t xml:space="preserve">Related corporations: ZEN, WEG, Gerdau, SENAI Joinville, CIP. ITA subcontracted by SENAI-JVL </t>
  </si>
  <si>
    <t xml:space="preserve">Rota 2030 proposal with Randon. ITA subcontracted by SENAI-JVL </t>
  </si>
  <si>
    <t>André Canal</t>
  </si>
  <si>
    <t>Related BR Corporations: Engrena ITA members.</t>
  </si>
  <si>
    <t>Klabin_01</t>
  </si>
  <si>
    <t>Klabin</t>
  </si>
  <si>
    <t xml:space="preserve">ITA Challenge - Rota 2030 </t>
  </si>
  <si>
    <t>Proposta Estrutural de Empreendorismo Rota 2030</t>
  </si>
  <si>
    <t>Acquision and structuration for the venturi builder model correlated with the axis IV of Rota 2030</t>
  </si>
  <si>
    <t>IGM AEA</t>
  </si>
  <si>
    <t xml:space="preserve">2nd Challenge IGM AEA for advanced manufacturing </t>
  </si>
  <si>
    <t>Co-Creation Strategy &amp; Industry 4.0 Roadmapping</t>
  </si>
  <si>
    <t>Co-Creation and Roadmap i4.0</t>
  </si>
  <si>
    <t>Rafael König</t>
  </si>
  <si>
    <t>Gerdau and Atalla</t>
  </si>
  <si>
    <t xml:space="preserve">MAM-Brasil </t>
  </si>
  <si>
    <t>Alkimat</t>
  </si>
  <si>
    <t>Coating for improved efficiency of gears</t>
  </si>
  <si>
    <t>Robot Painting</t>
  </si>
  <si>
    <t>CIM UNIFESP</t>
  </si>
  <si>
    <t>Laser hybrid welding training</t>
  </si>
  <si>
    <t xml:space="preserve">4 days training in Laser Hybrid Welding Technology at the facilities of Fraunhofer IPK for up to 5 employees </t>
  </si>
  <si>
    <t>Powermig</t>
  </si>
  <si>
    <t>Proposal submitted by Powermig to FINEP. Waiting for approval for subsequent hiring of IPK</t>
  </si>
  <si>
    <t>Mairon Marques</t>
  </si>
  <si>
    <t>Industrial Sector</t>
  </si>
  <si>
    <t>Industrial sector</t>
  </si>
  <si>
    <t>Agribusiness</t>
  </si>
  <si>
    <t>Aerospace</t>
  </si>
  <si>
    <t>Automotive</t>
  </si>
  <si>
    <t>Chemical</t>
  </si>
  <si>
    <t>Energy</t>
  </si>
  <si>
    <t>Metalworks</t>
  </si>
  <si>
    <t>Oil &amp; Gas</t>
  </si>
  <si>
    <t>Other</t>
  </si>
  <si>
    <t>Zeilenbeschriftungen</t>
  </si>
  <si>
    <t>Gesamtergebnis</t>
  </si>
  <si>
    <t>Summe von Total Budget (FPC)</t>
  </si>
  <si>
    <t>(Mehrere Elemente)</t>
  </si>
  <si>
    <t>(Confirm business model)</t>
  </si>
  <si>
    <t>Ivan Rehder</t>
  </si>
  <si>
    <t>(Leer)</t>
  </si>
  <si>
    <t>Qualification of Brazilian Die and Mold Industry</t>
  </si>
  <si>
    <t>Training Industrie 4.0</t>
  </si>
  <si>
    <t>Novel bio-based ingredients with antibacterial, antifungal and antiviral properties</t>
  </si>
  <si>
    <t xml:space="preserve">BiobasedPharm </t>
  </si>
  <si>
    <t>Draft submitted</t>
  </si>
  <si>
    <t>IPT BioNano</t>
  </si>
  <si>
    <t>Natalia Cerize</t>
  </si>
  <si>
    <t>Superfinishing</t>
  </si>
  <si>
    <t>Gilberto Martins</t>
  </si>
  <si>
    <t>Mateus Ferreira</t>
  </si>
  <si>
    <t>Project declined at the first attempt and resubmitted on 29.03.2021</t>
  </si>
  <si>
    <t>Tobias Neuwald</t>
  </si>
  <si>
    <t>Superfinishing is a feasibility study, which aims to compare different types of superfinishing processes, polish grinding and isotropic finishing, in gear manufacturing chain.</t>
  </si>
  <si>
    <t>Maxion - Grafeno para carcaça</t>
  </si>
  <si>
    <t>Stackpole - SMC</t>
  </si>
  <si>
    <t>Lemasa</t>
  </si>
  <si>
    <t>Wesley Oliveira / Eguti</t>
  </si>
  <si>
    <t>ACE4.0</t>
  </si>
  <si>
    <t>Ambev</t>
  </si>
  <si>
    <t>Automação para Cervejaria 4.0</t>
  </si>
  <si>
    <t>ERC-AMFOS</t>
  </si>
  <si>
    <t>Engineering Research Center for the Aerial Mobility of the Future “Cel. Ozires Silva” (ERC-AMFOS)</t>
  </si>
  <si>
    <t>Azul (ITA Challenge 2021)</t>
  </si>
  <si>
    <t>Desafio Inova Azul 2ª Ed.</t>
  </si>
  <si>
    <t>Guilherme Santos</t>
  </si>
  <si>
    <t>Engrecon /Rösler Otec / Alcar / Kapp / Eaton</t>
  </si>
  <si>
    <t>Sponsered by Engrena ITA</t>
  </si>
  <si>
    <t>NVH emission analysis of pump drivetrain system</t>
  </si>
  <si>
    <t>Soft magnetical components for e-mobility</t>
  </si>
  <si>
    <t>WEG CESTARI / Subiter</t>
  </si>
  <si>
    <t>EMBRAPII</t>
  </si>
  <si>
    <t>FERA (Rota 2030)</t>
  </si>
  <si>
    <t>R2030 - Linha 4 - Programm (iii) - Disruptive R&amp;D.</t>
  </si>
  <si>
    <t>AgriGear</t>
  </si>
  <si>
    <t>DFG/CAPES DRS phase 2</t>
  </si>
  <si>
    <t>DRS: AI</t>
  </si>
  <si>
    <t>STEPS Ph2</t>
  </si>
  <si>
    <t>STARA/ WEG/ Gerdau/ CIP/ Zen/ ISI Laser</t>
  </si>
  <si>
    <t>IGM / AEA</t>
  </si>
  <si>
    <t>Stackpole/ Eaton/ Brasken</t>
  </si>
  <si>
    <t>AGILE (AM GEARS PH2)</t>
  </si>
  <si>
    <t>EMBRAPII + CORNET</t>
  </si>
  <si>
    <t>Guilherme Guimarães</t>
  </si>
  <si>
    <t>EMBRAPII, FVA</t>
  </si>
  <si>
    <t>Co-execution of UFSC, EMBRAPII</t>
  </si>
  <si>
    <t>ALKIMAT</t>
  </si>
  <si>
    <t>Structural analysis</t>
  </si>
  <si>
    <t>AGCO Structural Analysis</t>
  </si>
  <si>
    <t>André Lima</t>
  </si>
  <si>
    <t>Nb stamping tools</t>
  </si>
  <si>
    <t>Nb Tool</t>
  </si>
  <si>
    <t>STELLANTIS / AETHRA / BR Matozinhos / PUC MG / SENAI CIT MG</t>
  </si>
  <si>
    <t>FNDCT</t>
  </si>
  <si>
    <t>Manufatura Avançada para viabilização da mobilidade elétrica de aeronaves</t>
  </si>
  <si>
    <t>Finep</t>
  </si>
  <si>
    <t>Improved Machinability Steel</t>
  </si>
  <si>
    <t>Evaluation of machinability improvement and cost reduction in new alloys</t>
  </si>
  <si>
    <t>EMBRAER / Boeing Brasil</t>
  </si>
  <si>
    <t>Azul (ITA Challenge 2022)</t>
  </si>
  <si>
    <t>Bancada de rolamentos</t>
  </si>
  <si>
    <t>EATON Rolamentos</t>
  </si>
  <si>
    <t>CTG Bancada</t>
  </si>
  <si>
    <t>CTG</t>
  </si>
  <si>
    <t>ABS</t>
  </si>
  <si>
    <t>ABS Queima de Retífica</t>
  </si>
  <si>
    <t>Bruno Oliveira</t>
  </si>
  <si>
    <t>ENGRECON</t>
  </si>
  <si>
    <t>ENGRECON Caminhão Elétrico</t>
  </si>
  <si>
    <t>Wesley Oliveira</t>
  </si>
  <si>
    <t>LIMPA</t>
  </si>
  <si>
    <t xml:space="preserve">Gerdau / Eigendauer / </t>
  </si>
  <si>
    <t>DWIH Workshop Manufacturing Technologies</t>
  </si>
  <si>
    <t>Strategy for Operations 4.0 - Blueprint Plant</t>
  </si>
  <si>
    <t>Create initial target model for corporation</t>
  </si>
  <si>
    <t>BUNGE</t>
  </si>
  <si>
    <t>Renan Bonnard</t>
  </si>
  <si>
    <t>Business Model Development for Product &amp; Service Commercialization in the Field of Applied Research in Electrical Systems and Equipment in Latin America</t>
  </si>
  <si>
    <t>Business Model Development for CEPEL</t>
  </si>
  <si>
    <t>CEPEL</t>
  </si>
  <si>
    <t>Maurício Barreto Lisboa</t>
  </si>
  <si>
    <t>Brewery 4.0</t>
  </si>
  <si>
    <t>Strategies for Digital Transformation of processes and equipments in microbreweries
Predictive maintenance (pumps, heaters, agitators, etc.)</t>
  </si>
  <si>
    <t>IFSP Sertaozinho</t>
  </si>
  <si>
    <t>CORNET Call BR and DE
DE: Fraunhofer IPK, VLB 
BR: IFSP and Microbreweries</t>
  </si>
  <si>
    <t>IFSP</t>
  </si>
  <si>
    <t>FSW of Steels</t>
  </si>
  <si>
    <t>Development of cost-effective ceramic tools for friction stir welding of steels and performance study of FSW joints during forming</t>
  </si>
  <si>
    <t>CORNET Call BR and DE
DE: Fraunhofer IPK, FGK, SLV-BB
BR: ArcelorMittal, Randon and IPT (LEL)</t>
  </si>
  <si>
    <t>Daniel Pereira</t>
  </si>
  <si>
    <t>AercelorMittal</t>
  </si>
  <si>
    <t>Márcio Cunha</t>
  </si>
  <si>
    <t>AM case study for UNIPAC</t>
  </si>
  <si>
    <t>Study different AM routes for the mfg. of a UNIPAC component (digitally)</t>
  </si>
  <si>
    <t>UNIPAC</t>
  </si>
  <si>
    <t>Waiting for another partner in Brazil to start the proposal preparation (possibly ISI Laser)</t>
  </si>
  <si>
    <t>Emílio Miyoshi</t>
  </si>
  <si>
    <t>ISI Laser</t>
  </si>
  <si>
    <t>Prof. Gonzaga</t>
  </si>
  <si>
    <t>DWIH Workshop Manufacturing Technologies_Second Edition</t>
  </si>
  <si>
    <t>D. Domingos
Tobias Neuwald</t>
  </si>
  <si>
    <t>Superfinishing - PIPE</t>
  </si>
  <si>
    <t>Eigendauer</t>
  </si>
  <si>
    <t>Star-SU - Recalcador</t>
  </si>
  <si>
    <t>Cadeias Reduzidas</t>
  </si>
  <si>
    <t>Villares e ZF</t>
  </si>
  <si>
    <t>Design for thermal power (DFTP)</t>
  </si>
  <si>
    <t>DESCAAL</t>
  </si>
  <si>
    <t>Development of an innovative measuring system in stamping and 
injection moulding tools to increase manufacturing control and production quality</t>
  </si>
  <si>
    <t>ISI Manufacturing Systems</t>
  </si>
  <si>
    <t>CORNET Call BR and DE
DE: Fraunhofer IPK, DGQ/FQS
BR: ISI Man. Systems, Die and Mold Companies, Route2030</t>
  </si>
  <si>
    <t>ISI Man Systems</t>
  </si>
  <si>
    <t>felix Rotter</t>
  </si>
  <si>
    <t>SmarTool</t>
  </si>
  <si>
    <t>ISI Embedded Systems</t>
  </si>
  <si>
    <t>Paulo Violada</t>
  </si>
  <si>
    <t>Falta elaborar a proposta técnica (Stand-by)</t>
  </si>
  <si>
    <t>Artificial intelligence for the design of residual stress.</t>
  </si>
  <si>
    <t>Gearbox for electric tractor.</t>
  </si>
  <si>
    <t>Development of powder metallurgy gears, transmission and electric motor with resource efficiency improvement.</t>
  </si>
  <si>
    <t>Additive manufacturing of metal-polymer gears.</t>
  </si>
  <si>
    <t>Development of equipments of additive manufacturing for automative applications.</t>
  </si>
  <si>
    <t>Phase 2: Experimental and numerical verification of the new powertrain solution for wind turbine.</t>
  </si>
  <si>
    <t>Class A Aluminum Surface Stamping Demonstrator 
(ROTA 2030, line IV, axis II)</t>
  </si>
  <si>
    <t>AgriGear - AGCO</t>
  </si>
  <si>
    <t>Inclusionary Cleaning for Automotive Product Manufacturing.</t>
  </si>
  <si>
    <t>Wind epicycloidal train bench.</t>
  </si>
  <si>
    <t>Barkhausen grinding burnout analysis.</t>
  </si>
  <si>
    <t>Data Driven Grinding Machine Setup/Capability</t>
  </si>
  <si>
    <t>Lume</t>
  </si>
  <si>
    <t>Electric truck transmission system control</t>
  </si>
  <si>
    <t>CAPTAER</t>
  </si>
  <si>
    <t>Subprojeto Automação e Manufatura</t>
  </si>
  <si>
    <t>Lume/EngrenaITA</t>
  </si>
  <si>
    <t>ALKIMAT/Eingendauer/Eaton /WZL / FVA</t>
  </si>
  <si>
    <t>Volkswagen</t>
  </si>
  <si>
    <t>Stamping measuring system for Volkwagen</t>
  </si>
  <si>
    <t>Estudo de viabilidade de substituição de cementação + retificação por shaving + nitretação na cadeia de manufatura de engrenagens</t>
  </si>
  <si>
    <t>Obtenção de um modelo numérico-experimental de desenvolvimento de ferramentas de recalque</t>
  </si>
  <si>
    <t>Parametrização do processo de polish grinding e avaliação de integridade de superfície</t>
  </si>
  <si>
    <t>Modernização de engrenagens agrícolas para novos requisitos de durabilidade, eficiência e emissão de ruído</t>
  </si>
  <si>
    <t>AMOBI</t>
  </si>
  <si>
    <t>WEG</t>
  </si>
  <si>
    <t>Was not submitted in to ROTA2030</t>
  </si>
  <si>
    <t>Financial support approved. Waiting the agreement signature</t>
  </si>
  <si>
    <t>EATON, USP, SEW, EATON, GERDAU, CBMM</t>
  </si>
  <si>
    <t>FAPESP, CBMM</t>
  </si>
  <si>
    <t>H2GO</t>
  </si>
  <si>
    <t xml:space="preserve">Development and establishment of a sustainable and resilient value-chain for green hydrogen between Germany and Brazil </t>
  </si>
  <si>
    <t>CIMATEC</t>
  </si>
  <si>
    <t>ICON - Internal Program of the Fraunhofer Society</t>
  </si>
  <si>
    <t>Fraunhofer IPT</t>
  </si>
  <si>
    <t>Henning Jannsen</t>
  </si>
  <si>
    <t>Jose Luis</t>
  </si>
  <si>
    <t>Fraunhofer-Gesellschaft</t>
  </si>
  <si>
    <t>This project was declined in 2019. In May 2022 the City of SJC asked to restarting the discussions here.</t>
  </si>
  <si>
    <t>Training in Innovation Management and Ecosystems</t>
  </si>
  <si>
    <t>The immersion in Germany shall present the German Innovation Ecosystem, including the role of Fraunhofer in it, as well as topics related to innovation management focusing at research and innovation institutes.</t>
  </si>
  <si>
    <t>Profa. Maryangela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</si>
</sst>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 #,##0.00_);_(* \(#,##0.00\);_(* &quot;-&quot;??_);_(@_)"/>
    <numFmt numFmtId="165" formatCode="_(&quot;€&quot;* #,##0.00_);_(&quot;€&quot;* \(#,##0.00\);_(&quot;€&quot;* &quot;-&quot;??_);_(@_)"/>
    <numFmt numFmtId="166" formatCode="_-* #,##0.00\ [$€-407]_-;\-* #,##0.00\ [$€-407]_-;_-* &quot;-&quot;??\ [$€-407]_-;_-@_-"/>
    <numFmt numFmtId="167" formatCode="[$€-2]\ #,##0;[Red]\-[$€-2]\ #,##0"/>
    <numFmt numFmtId="168" formatCode="_-* #,##0\ &quot;€&quot;_-;\-* #,##0\ &quot;€&quot;_-;_-* &quot;-&quot;??\ &quot;€&quot;_-;_-@_-"/>
    <numFmt numFmtId="169" formatCode="\-"/>
    <numFmt numFmtId="170" formatCode="#,##0_ ;[Red]\-#,##0\ "/>
    <numFmt numFmtId="171" formatCode="#,##0.00_ ;\-#,##0.00\ "/>
    <numFmt numFmtId="172" formatCode="_-[$R$-416]\ * #,##0.00_-;\-[$R$-416]\ * #,##0.00_-;_-[$R$-416]\ * &quot;-&quot;??_-;_-@_-"/>
    <numFmt numFmtId="173" formatCode="m/d/yyyy"/>
  </numFmts>
  <fonts count="35" x14ac:knownFonts="1">
    <font>
      <sz val="11"/>
      <color theme="1"/>
      <name val="Calibri"/>
      <family val="2"/>
      <scheme val="minor"/>
    </font>
    <font>
      <sz val="11"/>
      <color theme="1"/>
      <name val="Frutiger LT Com 45 Light"/>
      <family val="2"/>
    </font>
    <font>
      <sz val="11"/>
      <name val="Frutiger LT Com 45 Light"/>
      <family val="2"/>
    </font>
    <font>
      <b/>
      <sz val="11"/>
      <color theme="0"/>
      <name val="Frutiger LT Com 45 Light"/>
      <family val="2"/>
    </font>
    <font>
      <sz val="11"/>
      <color theme="1"/>
      <name val="Calibri"/>
      <family val="2"/>
      <scheme val="minor"/>
    </font>
    <font>
      <b/>
      <sz val="11"/>
      <color theme="1"/>
      <name val="Frutiger LT Com 45 Light"/>
      <family val="2"/>
    </font>
    <font>
      <b/>
      <sz val="11"/>
      <name val="Frutiger LT Com 45 Light"/>
      <family val="2"/>
    </font>
    <font>
      <b/>
      <sz val="12"/>
      <color rgb="FFFFFFFF"/>
      <name val="Frutiger LT Com 45 Light"/>
      <family val="2"/>
    </font>
    <font>
      <sz val="12"/>
      <color rgb="FF000000"/>
      <name val="Frutiger LT Com 45 Light"/>
      <family val="2"/>
    </font>
    <font>
      <b/>
      <sz val="12"/>
      <color rgb="FF000000"/>
      <name val="Frutiger LT Com 45 Light"/>
      <family val="2"/>
    </font>
    <font>
      <sz val="11"/>
      <name val="Frutiger LT Com 45 Light"/>
      <family val="2"/>
    </font>
    <font>
      <sz val="18"/>
      <name val="Frutiger LT Com 45 Light"/>
      <family val="2"/>
    </font>
    <font>
      <b/>
      <sz val="12"/>
      <color theme="1"/>
      <name val="Frutiger LT Com 45 Light"/>
      <family val="2"/>
    </font>
    <font>
      <sz val="12"/>
      <color theme="1"/>
      <name val="Frutiger LT Com 45 Light"/>
      <family val="2"/>
    </font>
    <font>
      <sz val="12"/>
      <name val="Frutiger LT Com 45 Light"/>
      <family val="2"/>
    </font>
    <font>
      <sz val="11"/>
      <name val="Frutiger LT Com 45 Light"/>
      <family val="2"/>
    </font>
    <font>
      <sz val="11"/>
      <color rgb="FFFF0000"/>
      <name val="Frutiger LT Com 45 Light"/>
      <family val="2"/>
    </font>
    <font>
      <sz val="9"/>
      <color indexed="81"/>
      <name val="Segoe UI"/>
      <family val="2"/>
    </font>
    <font>
      <b/>
      <sz val="9"/>
      <color indexed="81"/>
      <name val="Segoe UI"/>
      <family val="2"/>
    </font>
    <font>
      <sz val="11"/>
      <name val="Frutiger LT Com 45 Light"/>
      <family val="2"/>
    </font>
    <font>
      <sz val="9"/>
      <color indexed="81"/>
      <name val="Tahoma"/>
      <family val="2"/>
    </font>
    <font>
      <b/>
      <sz val="9"/>
      <color indexed="81"/>
      <name val="Tahoma"/>
      <family val="2"/>
    </font>
    <font>
      <b/>
      <u/>
      <sz val="12"/>
      <color theme="1"/>
      <name val="Frutiger LT Com 45 Light"/>
      <family val="2"/>
    </font>
    <font>
      <i/>
      <sz val="11"/>
      <color rgb="FF12977A"/>
      <name val="Frutiger LT Com 45 Light"/>
      <family val="2"/>
    </font>
    <font>
      <sz val="11"/>
      <name val="Frutiger LT Com 45 Light"/>
      <family val="2"/>
    </font>
    <font>
      <sz val="11"/>
      <name val="Frutiger LT Com 45 Light"/>
      <family val="2"/>
    </font>
    <font>
      <sz val="8"/>
      <name val="Calibri"/>
      <family val="2"/>
      <scheme val="minor"/>
    </font>
    <font>
      <sz val="11"/>
      <color theme="1"/>
      <name val="Frutiger LT Com 45 Light"/>
      <family val="2"/>
    </font>
    <font>
      <sz val="11"/>
      <name val="Frutiger LT Com 45 Light"/>
      <family val="2"/>
    </font>
    <font>
      <sz val="10"/>
      <color rgb="FF000000"/>
      <name val="Frutiger LT Com 45 Light"/>
      <family val="2"/>
    </font>
    <font>
      <sz val="14"/>
      <color rgb="FF000000"/>
      <name val="Frutiger LT Com 45 Light"/>
      <family val="2"/>
    </font>
    <font>
      <sz val="16"/>
      <color rgb="FF000000"/>
      <name val="Frutiger LT Com 45 Light"/>
      <family val="2"/>
    </font>
    <font>
      <sz val="16"/>
      <color rgb="FF000000"/>
      <name val="Frutiger 45 Light"/>
      <family val="2"/>
    </font>
    <font>
      <sz val="11"/>
      <color theme="1"/>
      <name val="Frutiger LT Com 45 Light"/>
    </font>
    <font>
      <b/>
      <u/>
      <sz val="11"/>
      <color theme="1"/>
      <name val="Frutiger LT Com 45 Light"/>
    </font>
  </fonts>
  <fills count="26">
    <fill>
      <patternFill patternType="none"/>
    </fill>
    <fill>
      <patternFill patternType="gray125"/>
    </fill>
    <fill>
      <patternFill patternType="solid">
        <fgColor theme="0" tint="-0.499984740745262"/>
        <bgColor indexed="64"/>
      </patternFill>
    </fill>
    <fill>
      <patternFill patternType="solid">
        <fgColor theme="0" tint="-4.9989318521683403E-2"/>
        <bgColor indexed="64"/>
      </patternFill>
    </fill>
    <fill>
      <patternFill patternType="solid">
        <fgColor rgb="FF12977A"/>
        <bgColor indexed="64"/>
      </patternFill>
    </fill>
    <fill>
      <patternFill patternType="solid">
        <fgColor rgb="FFBEDBD5"/>
        <bgColor indexed="64"/>
      </patternFill>
    </fill>
    <fill>
      <patternFill patternType="solid">
        <fgColor rgb="FF4F80C1"/>
        <bgColor indexed="64"/>
      </patternFill>
    </fill>
    <fill>
      <patternFill patternType="solid">
        <fgColor rgb="FFD8E5F6"/>
        <bgColor indexed="64"/>
      </patternFill>
    </fill>
    <fill>
      <patternFill patternType="solid">
        <fgColor rgb="FFDC911B"/>
        <bgColor indexed="64"/>
      </patternFill>
    </fill>
    <fill>
      <patternFill patternType="solid">
        <fgColor rgb="FFF9E9CA"/>
        <bgColor indexed="64"/>
      </patternFill>
    </fill>
    <fill>
      <patternFill patternType="solid">
        <fgColor rgb="FFB6C932"/>
        <bgColor indexed="64"/>
      </patternFill>
    </fill>
    <fill>
      <patternFill patternType="solid">
        <fgColor rgb="FFD3DD88"/>
        <bgColor indexed="64"/>
      </patternFill>
    </fill>
    <fill>
      <patternFill patternType="solid">
        <fgColor theme="9" tint="0.79998168889431442"/>
        <bgColor theme="0" tint="-0.14999847407452621"/>
      </patternFill>
    </fill>
    <fill>
      <patternFill patternType="solid">
        <fgColor theme="9" tint="0.79998168889431442"/>
        <bgColor indexed="64"/>
      </patternFill>
    </fill>
    <fill>
      <patternFill patternType="solid">
        <fgColor theme="5" tint="0.79998168889431442"/>
        <bgColor theme="0" tint="-0.14999847407452621"/>
      </patternFill>
    </fill>
    <fill>
      <patternFill patternType="solid">
        <fgColor theme="5" tint="0.79998168889431442"/>
        <bgColor indexed="64"/>
      </patternFill>
    </fill>
    <fill>
      <patternFill patternType="solid">
        <fgColor theme="4" tint="0.79998168889431442"/>
        <bgColor theme="0" tint="-0.14999847407452621"/>
      </patternFill>
    </fill>
    <fill>
      <patternFill patternType="solid">
        <fgColor theme="4" tint="0.79998168889431442"/>
        <bgColor indexed="64"/>
      </patternFill>
    </fill>
    <fill>
      <patternFill patternType="solid">
        <fgColor theme="7" tint="0.79998168889431442"/>
        <bgColor theme="0" tint="-0.14999847407452621"/>
      </patternFill>
    </fill>
    <fill>
      <patternFill patternType="solid">
        <fgColor theme="7" tint="0.79998168889431442"/>
        <bgColor indexed="64"/>
      </patternFill>
    </fill>
    <fill>
      <patternFill patternType="solid">
        <fgColor rgb="FF179C7D"/>
        <bgColor indexed="64"/>
      </patternFill>
    </fill>
    <fill>
      <patternFill patternType="solid">
        <fgColor rgb="FFE7F2EE"/>
        <bgColor indexed="64"/>
      </patternFill>
    </fill>
    <fill>
      <patternFill patternType="solid">
        <fgColor rgb="FFCBE3DC"/>
        <bgColor indexed="64"/>
      </patternFill>
    </fill>
    <fill>
      <patternFill patternType="solid">
        <fgColor theme="0" tint="-0.14999847407452621"/>
        <bgColor theme="0" tint="-0.14999847407452621"/>
      </patternFill>
    </fill>
    <fill>
      <patternFill patternType="solid">
        <fgColor theme="0"/>
        <bgColor indexed="64"/>
      </patternFill>
    </fill>
    <fill>
      <patternFill patternType="solid">
        <fgColor theme="0" tint="-0.14999847407452621"/>
        <bgColor indexed="64"/>
      </patternFill>
    </fill>
  </fills>
  <borders count="17">
    <border>
      <left/>
      <right/>
      <top/>
      <bottom/>
      <diagonal/>
    </border>
    <border>
      <left style="thin">
        <color indexed="64"/>
      </left>
      <right/>
      <top/>
      <bottom/>
      <diagonal/>
    </border>
    <border>
      <left/>
      <right style="thin">
        <color indexed="64"/>
      </right>
      <top/>
      <bottom/>
      <diagonal/>
    </border>
    <border>
      <left/>
      <right/>
      <top/>
      <bottom style="thin">
        <color theme="0" tint="-0.34998626667073579"/>
      </bottom>
      <diagonal/>
    </border>
    <border>
      <left style="medium">
        <color theme="0"/>
      </left>
      <right style="medium">
        <color theme="0"/>
      </right>
      <top style="medium">
        <color theme="0"/>
      </top>
      <bottom style="medium">
        <color theme="0"/>
      </bottom>
      <diagonal/>
    </border>
    <border>
      <left style="medium">
        <color rgb="FFFFFFFF"/>
      </left>
      <right style="medium">
        <color rgb="FFFFFFFF"/>
      </right>
      <top/>
      <bottom/>
      <diagonal/>
    </border>
    <border>
      <left style="medium">
        <color rgb="FFFFFFFF"/>
      </left>
      <right/>
      <top/>
      <bottom/>
      <diagonal/>
    </border>
    <border>
      <left/>
      <right style="medium">
        <color rgb="FFFFFFFF"/>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style="thin">
        <color indexed="64"/>
      </right>
      <top/>
      <bottom/>
      <diagonal/>
    </border>
  </borders>
  <cellStyleXfs count="4">
    <xf numFmtId="0" fontId="0" fillId="0" borderId="0"/>
    <xf numFmtId="9"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cellStyleXfs>
  <cellXfs count="213">
    <xf numFmtId="0" fontId="0" fillId="0" borderId="0" xfId="0"/>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xf numFmtId="0" fontId="1" fillId="0" borderId="0" xfId="0" applyFont="1" applyAlignment="1">
      <alignment horizontal="center"/>
    </xf>
    <xf numFmtId="0" fontId="5" fillId="0" borderId="0" xfId="0" applyFont="1" applyAlignment="1">
      <alignment horizontal="center"/>
    </xf>
    <xf numFmtId="0" fontId="1" fillId="0" borderId="0" xfId="0" applyFont="1" applyAlignment="1"/>
    <xf numFmtId="0" fontId="5" fillId="12" borderId="0" xfId="0" applyFont="1" applyFill="1" applyBorder="1" applyAlignment="1"/>
    <xf numFmtId="0" fontId="5" fillId="12" borderId="3" xfId="0" applyFont="1" applyFill="1" applyBorder="1" applyAlignment="1"/>
    <xf numFmtId="0" fontId="1" fillId="0" borderId="0" xfId="0" quotePrefix="1" applyFont="1" applyAlignment="1"/>
    <xf numFmtId="0" fontId="5" fillId="18" borderId="0" xfId="0" applyFont="1" applyFill="1" applyBorder="1" applyAlignment="1"/>
    <xf numFmtId="0" fontId="5" fillId="18" borderId="3" xfId="0" applyFont="1" applyFill="1" applyBorder="1" applyAlignment="1"/>
    <xf numFmtId="0" fontId="5" fillId="16" borderId="0" xfId="0" applyFont="1" applyFill="1" applyBorder="1" applyAlignment="1"/>
    <xf numFmtId="0" fontId="5" fillId="16" borderId="3" xfId="0" applyFont="1" applyFill="1" applyBorder="1" applyAlignment="1"/>
    <xf numFmtId="0" fontId="5" fillId="14" borderId="0" xfId="0" applyFont="1" applyFill="1" applyBorder="1" applyAlignment="1"/>
    <xf numFmtId="0" fontId="5" fillId="14" borderId="3" xfId="0" applyFont="1" applyFill="1" applyBorder="1" applyAlignment="1"/>
    <xf numFmtId="9" fontId="1" fillId="0" borderId="0" xfId="1" applyFont="1"/>
    <xf numFmtId="165" fontId="1" fillId="0" borderId="0" xfId="2" applyFont="1"/>
    <xf numFmtId="0" fontId="8" fillId="21" borderId="4" xfId="0" applyFont="1" applyFill="1" applyBorder="1" applyAlignment="1">
      <alignment horizontal="center" vertical="center" wrapText="1" readingOrder="1"/>
    </xf>
    <xf numFmtId="0" fontId="8" fillId="22" borderId="4" xfId="0" applyFont="1" applyFill="1" applyBorder="1" applyAlignment="1">
      <alignment horizontal="center" vertical="center" wrapText="1" readingOrder="1"/>
    </xf>
    <xf numFmtId="0" fontId="7" fillId="20" borderId="4" xfId="0" applyFont="1" applyFill="1" applyBorder="1" applyAlignment="1">
      <alignment horizontal="center" vertical="center" wrapText="1" readingOrder="1"/>
    </xf>
    <xf numFmtId="167" fontId="8" fillId="21" borderId="4" xfId="0" applyNumberFormat="1" applyFont="1" applyFill="1" applyBorder="1" applyAlignment="1">
      <alignment horizontal="center" vertical="center" wrapText="1" readingOrder="1"/>
    </xf>
    <xf numFmtId="0" fontId="9" fillId="21" borderId="4" xfId="0" applyFont="1" applyFill="1" applyBorder="1" applyAlignment="1">
      <alignment horizontal="center" vertical="center" wrapText="1" readingOrder="1"/>
    </xf>
    <xf numFmtId="167" fontId="9" fillId="21" borderId="4" xfId="0" applyNumberFormat="1" applyFont="1" applyFill="1" applyBorder="1" applyAlignment="1">
      <alignment horizontal="center" vertical="center" wrapText="1" readingOrder="1"/>
    </xf>
    <xf numFmtId="0" fontId="11" fillId="0" borderId="5" xfId="0" applyFont="1" applyBorder="1" applyAlignment="1">
      <alignment horizontal="center" vertical="center" wrapText="1"/>
    </xf>
    <xf numFmtId="0" fontId="12" fillId="0" borderId="0" xfId="0" applyFont="1" applyAlignment="1">
      <alignment horizontal="center"/>
    </xf>
    <xf numFmtId="0" fontId="13" fillId="0" borderId="0" xfId="0" applyFont="1" applyAlignment="1"/>
    <xf numFmtId="0" fontId="14" fillId="22" borderId="4" xfId="0" applyFont="1" applyFill="1" applyBorder="1" applyAlignment="1">
      <alignment horizontal="center" vertical="center" wrapText="1"/>
    </xf>
    <xf numFmtId="0" fontId="13" fillId="0" borderId="0" xfId="0" applyFont="1"/>
    <xf numFmtId="0" fontId="13" fillId="0" borderId="0" xfId="0" applyFont="1" applyAlignment="1">
      <alignment horizontal="center"/>
    </xf>
    <xf numFmtId="9" fontId="1" fillId="0" borderId="0" xfId="1" applyFont="1" applyAlignment="1"/>
    <xf numFmtId="0" fontId="1" fillId="0" borderId="0" xfId="0" applyFont="1" applyAlignment="1">
      <alignment vertical="center" wrapText="1"/>
    </xf>
    <xf numFmtId="0" fontId="5" fillId="0" borderId="0" xfId="0" applyFont="1" applyAlignment="1">
      <alignment vertical="center" wrapText="1"/>
    </xf>
    <xf numFmtId="0" fontId="2" fillId="0" borderId="0" xfId="0" applyNumberFormat="1" applyFont="1" applyBorder="1" applyAlignment="1" applyProtection="1">
      <alignment horizontal="center" vertical="center" wrapText="1"/>
      <protection locked="0"/>
    </xf>
    <xf numFmtId="0" fontId="2" fillId="3" borderId="1" xfId="0" applyNumberFormat="1" applyFont="1" applyFill="1" applyBorder="1" applyAlignment="1" applyProtection="1">
      <alignment horizontal="center" vertical="center" wrapText="1"/>
      <protection locked="0"/>
    </xf>
    <xf numFmtId="0" fontId="2" fillId="3" borderId="0" xfId="0" applyNumberFormat="1" applyFont="1" applyFill="1" applyBorder="1" applyAlignment="1" applyProtection="1">
      <alignment horizontal="center" vertical="center" wrapText="1"/>
      <protection locked="0"/>
    </xf>
    <xf numFmtId="0" fontId="2" fillId="5" borderId="1" xfId="0" applyNumberFormat="1" applyFont="1" applyFill="1" applyBorder="1" applyAlignment="1" applyProtection="1">
      <alignment horizontal="center" vertical="center" wrapText="1"/>
      <protection locked="0"/>
    </xf>
    <xf numFmtId="0" fontId="2" fillId="5" borderId="0" xfId="0" applyNumberFormat="1" applyFont="1" applyFill="1" applyBorder="1" applyAlignment="1" applyProtection="1">
      <alignment horizontal="center" vertical="center" wrapText="1"/>
      <protection locked="0"/>
    </xf>
    <xf numFmtId="0" fontId="2" fillId="7" borderId="1" xfId="0" applyNumberFormat="1" applyFont="1" applyFill="1" applyBorder="1" applyAlignment="1" applyProtection="1">
      <alignment horizontal="center" vertical="center" wrapText="1"/>
      <protection locked="0"/>
    </xf>
    <xf numFmtId="0" fontId="2" fillId="7" borderId="0" xfId="0" applyNumberFormat="1" applyFont="1" applyFill="1" applyBorder="1" applyAlignment="1" applyProtection="1">
      <alignment horizontal="center" vertical="center" wrapText="1"/>
      <protection locked="0"/>
    </xf>
    <xf numFmtId="0" fontId="2" fillId="9" borderId="0" xfId="0" applyNumberFormat="1" applyFont="1" applyFill="1" applyBorder="1" applyAlignment="1" applyProtection="1">
      <alignment horizontal="center" vertical="center" wrapText="1"/>
      <protection locked="0"/>
    </xf>
    <xf numFmtId="9" fontId="2" fillId="11" borderId="0" xfId="1" applyFont="1" applyFill="1" applyBorder="1" applyAlignment="1" applyProtection="1">
      <alignment horizontal="center" vertical="center" wrapText="1"/>
      <protection locked="0"/>
    </xf>
    <xf numFmtId="0" fontId="2" fillId="0" borderId="1" xfId="0" applyNumberFormat="1" applyFont="1" applyBorder="1" applyAlignment="1" applyProtection="1">
      <alignment horizontal="center" vertical="center" wrapText="1"/>
      <protection locked="0"/>
    </xf>
    <xf numFmtId="14" fontId="2" fillId="0" borderId="0" xfId="0" applyNumberFormat="1" applyFont="1" applyBorder="1" applyAlignment="1" applyProtection="1">
      <alignment horizontal="center" vertical="center" wrapText="1"/>
      <protection locked="0"/>
    </xf>
    <xf numFmtId="166" fontId="2" fillId="0" borderId="0" xfId="0" applyNumberFormat="1" applyFont="1" applyBorder="1" applyAlignment="1" applyProtection="1">
      <alignment horizontal="center" vertical="center" wrapText="1"/>
      <protection locked="0"/>
    </xf>
    <xf numFmtId="166" fontId="2" fillId="0" borderId="1" xfId="0" applyNumberFormat="1" applyFont="1" applyBorder="1" applyAlignment="1" applyProtection="1">
      <alignment horizontal="center" vertical="center" wrapText="1"/>
      <protection locked="0"/>
    </xf>
    <xf numFmtId="166" fontId="2" fillId="0" borderId="2" xfId="0" applyNumberFormat="1" applyFont="1" applyBorder="1" applyAlignment="1" applyProtection="1">
      <alignment horizontal="center" vertical="center" wrapText="1"/>
      <protection locked="0"/>
    </xf>
    <xf numFmtId="9" fontId="2" fillId="0" borderId="0" xfId="1" applyFont="1" applyBorder="1" applyAlignment="1" applyProtection="1">
      <alignment horizontal="center" vertical="center" wrapText="1"/>
      <protection locked="0"/>
    </xf>
    <xf numFmtId="0" fontId="10" fillId="0" borderId="1" xfId="0" applyNumberFormat="1" applyFont="1" applyBorder="1" applyAlignment="1" applyProtection="1">
      <alignment horizontal="center" vertical="center" wrapText="1"/>
      <protection locked="0"/>
    </xf>
    <xf numFmtId="0" fontId="10" fillId="0" borderId="0" xfId="0" applyNumberFormat="1" applyFont="1" applyBorder="1" applyAlignment="1" applyProtection="1">
      <alignment horizontal="center" vertical="center" wrapText="1"/>
      <protection locked="0"/>
    </xf>
    <xf numFmtId="14" fontId="10" fillId="0" borderId="0" xfId="0" applyNumberFormat="1" applyFont="1" applyBorder="1" applyAlignment="1" applyProtection="1">
      <alignment horizontal="center" vertical="center" wrapText="1"/>
      <protection locked="0"/>
    </xf>
    <xf numFmtId="166" fontId="10" fillId="0" borderId="0" xfId="0" applyNumberFormat="1" applyFont="1" applyBorder="1" applyAlignment="1" applyProtection="1">
      <alignment horizontal="center" vertical="center" wrapText="1"/>
      <protection locked="0"/>
    </xf>
    <xf numFmtId="166" fontId="10" fillId="0" borderId="2" xfId="0" applyNumberFormat="1" applyFont="1" applyBorder="1" applyAlignment="1" applyProtection="1">
      <alignment horizontal="center" vertical="center" wrapText="1"/>
      <protection locked="0"/>
    </xf>
    <xf numFmtId="9" fontId="10" fillId="0" borderId="0" xfId="1" applyFont="1" applyBorder="1" applyAlignment="1" applyProtection="1">
      <alignment horizontal="center" vertical="center" wrapText="1"/>
      <protection locked="0"/>
    </xf>
    <xf numFmtId="168" fontId="1" fillId="0" borderId="0" xfId="0" applyNumberFormat="1" applyFont="1" applyAlignment="1"/>
    <xf numFmtId="168" fontId="0" fillId="0" borderId="0" xfId="0" applyNumberFormat="1"/>
    <xf numFmtId="168" fontId="1" fillId="0" borderId="0" xfId="0" applyNumberFormat="1" applyFont="1"/>
    <xf numFmtId="0" fontId="2" fillId="0" borderId="0" xfId="0" applyNumberFormat="1" applyFont="1" applyBorder="1" applyAlignment="1" applyProtection="1">
      <alignment horizontal="center" vertical="center"/>
      <protection locked="0"/>
    </xf>
    <xf numFmtId="0" fontId="15" fillId="0" borderId="0" xfId="0" applyNumberFormat="1" applyFont="1" applyBorder="1" applyAlignment="1" applyProtection="1">
      <alignment horizontal="center" vertical="center" wrapText="1"/>
      <protection locked="0"/>
    </xf>
    <xf numFmtId="14" fontId="2" fillId="0" borderId="0" xfId="0" applyNumberFormat="1" applyFont="1" applyBorder="1" applyAlignment="1" applyProtection="1">
      <alignment horizontal="center" vertical="center" wrapText="1"/>
      <protection locked="0"/>
    </xf>
    <xf numFmtId="14" fontId="15" fillId="0" borderId="0" xfId="0" applyNumberFormat="1" applyFont="1" applyBorder="1" applyAlignment="1" applyProtection="1">
      <alignment horizontal="center" vertical="center" wrapText="1"/>
      <protection locked="0"/>
    </xf>
    <xf numFmtId="165" fontId="2" fillId="0" borderId="0" xfId="0" applyNumberFormat="1" applyFont="1" applyBorder="1" applyAlignment="1" applyProtection="1">
      <alignment horizontal="center" vertical="center" wrapText="1"/>
      <protection locked="0"/>
    </xf>
    <xf numFmtId="165" fontId="10" fillId="0" borderId="0" xfId="0" applyNumberFormat="1" applyFont="1" applyBorder="1" applyAlignment="1" applyProtection="1">
      <alignment horizontal="center" vertical="center" wrapText="1"/>
      <protection locked="0"/>
    </xf>
    <xf numFmtId="165" fontId="16" fillId="0" borderId="0" xfId="0" quotePrefix="1" applyNumberFormat="1" applyFont="1" applyBorder="1" applyAlignment="1" applyProtection="1">
      <alignment horizontal="center" vertical="center" wrapText="1"/>
      <protection locked="0"/>
    </xf>
    <xf numFmtId="165" fontId="2" fillId="0" borderId="0" xfId="0" quotePrefix="1" applyNumberFormat="1" applyFont="1" applyBorder="1" applyAlignment="1" applyProtection="1">
      <alignment horizontal="center" vertical="center" wrapText="1"/>
      <protection locked="0"/>
    </xf>
    <xf numFmtId="165" fontId="2" fillId="0" borderId="2" xfId="0" applyNumberFormat="1" applyFont="1" applyBorder="1" applyAlignment="1" applyProtection="1">
      <alignment horizontal="center" vertical="center" wrapText="1"/>
      <protection locked="0"/>
    </xf>
    <xf numFmtId="165" fontId="10" fillId="0" borderId="2" xfId="0" applyNumberFormat="1" applyFont="1" applyBorder="1" applyAlignment="1" applyProtection="1">
      <alignment horizontal="center" vertical="center" wrapText="1"/>
      <protection locked="0"/>
    </xf>
    <xf numFmtId="165" fontId="2" fillId="0" borderId="2" xfId="0" quotePrefix="1" applyNumberFormat="1" applyFont="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protection locked="0"/>
    </xf>
    <xf numFmtId="0" fontId="2" fillId="0" borderId="0" xfId="0" applyNumberFormat="1" applyFont="1" applyFill="1" applyBorder="1" applyAlignment="1" applyProtection="1">
      <alignment horizontal="center" vertical="center" wrapText="1"/>
      <protection locked="0"/>
    </xf>
    <xf numFmtId="0" fontId="2" fillId="0" borderId="1" xfId="0" applyNumberFormat="1" applyFont="1" applyFill="1" applyBorder="1" applyAlignment="1" applyProtection="1">
      <alignment horizontal="center" vertical="center" wrapText="1"/>
      <protection locked="0"/>
    </xf>
    <xf numFmtId="14" fontId="19" fillId="0" borderId="0" xfId="0" applyNumberFormat="1" applyFont="1" applyBorder="1" applyAlignment="1" applyProtection="1">
      <alignment horizontal="center" vertical="center" wrapText="1"/>
      <protection locked="0"/>
    </xf>
    <xf numFmtId="167" fontId="1" fillId="0" borderId="0" xfId="0" applyNumberFormat="1" applyFont="1" applyAlignment="1"/>
    <xf numFmtId="0" fontId="2" fillId="0" borderId="1" xfId="0" applyNumberFormat="1" applyFont="1" applyBorder="1" applyAlignment="1" applyProtection="1">
      <alignment horizontal="left" vertical="center" wrapText="1"/>
      <protection locked="0"/>
    </xf>
    <xf numFmtId="164" fontId="13" fillId="0" borderId="0" xfId="3" applyFont="1"/>
    <xf numFmtId="167" fontId="13" fillId="0" borderId="0" xfId="0" applyNumberFormat="1" applyFont="1" applyAlignment="1">
      <alignment horizontal="center"/>
    </xf>
    <xf numFmtId="0" fontId="22" fillId="0" borderId="0" xfId="0" applyFont="1" applyAlignment="1"/>
    <xf numFmtId="0" fontId="12" fillId="0" borderId="0" xfId="0" applyFont="1" applyBorder="1" applyAlignment="1"/>
    <xf numFmtId="0" fontId="23" fillId="21" borderId="4" xfId="0" applyFont="1" applyFill="1" applyBorder="1" applyAlignment="1">
      <alignment horizontal="right" vertical="center" wrapText="1" readingOrder="1"/>
    </xf>
    <xf numFmtId="0" fontId="23" fillId="22" borderId="4" xfId="0" applyFont="1" applyFill="1" applyBorder="1" applyAlignment="1">
      <alignment horizontal="right" vertical="center" wrapText="1" readingOrder="1"/>
    </xf>
    <xf numFmtId="167" fontId="13" fillId="0" borderId="0" xfId="0" applyNumberFormat="1" applyFont="1" applyAlignment="1"/>
    <xf numFmtId="9" fontId="13" fillId="0" borderId="0" xfId="1" applyNumberFormat="1" applyFont="1" applyAlignment="1"/>
    <xf numFmtId="166" fontId="13" fillId="0" borderId="0" xfId="0" applyNumberFormat="1" applyFont="1" applyAlignment="1"/>
    <xf numFmtId="167" fontId="12" fillId="0" borderId="0" xfId="0" applyNumberFormat="1" applyFont="1" applyAlignment="1">
      <alignment horizontal="center"/>
    </xf>
    <xf numFmtId="0" fontId="12" fillId="0" borderId="0" xfId="0" applyFont="1"/>
    <xf numFmtId="0" fontId="13" fillId="0" borderId="0" xfId="0" quotePrefix="1" applyFont="1"/>
    <xf numFmtId="9" fontId="13" fillId="0" borderId="0" xfId="1" applyNumberFormat="1" applyFont="1"/>
    <xf numFmtId="9" fontId="0" fillId="0" borderId="0" xfId="1" applyNumberFormat="1" applyFont="1"/>
    <xf numFmtId="14" fontId="1" fillId="0" borderId="0" xfId="0" applyNumberFormat="1" applyFont="1" applyAlignment="1">
      <alignment vertical="center"/>
    </xf>
    <xf numFmtId="0" fontId="2" fillId="0" borderId="11" xfId="0" applyNumberFormat="1" applyFont="1" applyBorder="1" applyAlignment="1" applyProtection="1">
      <alignment horizontal="center" vertical="center" wrapText="1"/>
      <protection locked="0"/>
    </xf>
    <xf numFmtId="0" fontId="2" fillId="0" borderId="12" xfId="0" applyNumberFormat="1" applyFont="1" applyBorder="1" applyAlignment="1" applyProtection="1">
      <alignment horizontal="center" vertical="center" wrapText="1"/>
      <protection locked="0"/>
    </xf>
    <xf numFmtId="165" fontId="2" fillId="0" borderId="13" xfId="0" applyNumberFormat="1" applyFont="1" applyBorder="1" applyAlignment="1" applyProtection="1">
      <alignment horizontal="center" vertical="center" wrapText="1"/>
      <protection locked="0"/>
    </xf>
    <xf numFmtId="170" fontId="13" fillId="0" borderId="0" xfId="0" applyNumberFormat="1" applyFont="1" applyAlignment="1">
      <alignment horizontal="center"/>
    </xf>
    <xf numFmtId="171" fontId="13" fillId="0" borderId="0" xfId="0" applyNumberFormat="1" applyFont="1" applyAlignment="1"/>
    <xf numFmtId="170" fontId="13" fillId="0" borderId="0" xfId="0" applyNumberFormat="1" applyFont="1" applyAlignment="1"/>
    <xf numFmtId="3" fontId="13" fillId="0" borderId="0" xfId="2" applyNumberFormat="1" applyFont="1" applyAlignment="1">
      <alignment horizontal="center"/>
    </xf>
    <xf numFmtId="165" fontId="16" fillId="0" borderId="0" xfId="0" applyNumberFormat="1" applyFont="1" applyBorder="1" applyAlignment="1" applyProtection="1">
      <alignment horizontal="center" vertical="center" wrapText="1"/>
      <protection locked="0"/>
    </xf>
    <xf numFmtId="14" fontId="25" fillId="0" borderId="0" xfId="0" applyNumberFormat="1" applyFont="1" applyBorder="1" applyAlignment="1" applyProtection="1">
      <alignment horizontal="center" vertical="center" wrapText="1"/>
      <protection locked="0"/>
    </xf>
    <xf numFmtId="9" fontId="2" fillId="0" borderId="2" xfId="1" applyFont="1" applyBorder="1" applyAlignment="1" applyProtection="1">
      <alignment horizontal="center" vertical="center" wrapText="1"/>
      <protection locked="0"/>
    </xf>
    <xf numFmtId="165" fontId="3" fillId="4" borderId="2" xfId="0" applyNumberFormat="1" applyFont="1" applyFill="1" applyBorder="1" applyAlignment="1" applyProtection="1">
      <alignment horizontal="center" vertical="center" wrapText="1"/>
      <protection locked="0"/>
    </xf>
    <xf numFmtId="165" fontId="2" fillId="5" borderId="2" xfId="0" applyNumberFormat="1" applyFont="1" applyFill="1" applyBorder="1" applyAlignment="1" applyProtection="1">
      <alignment horizontal="center" vertical="center" wrapText="1"/>
      <protection locked="0"/>
    </xf>
    <xf numFmtId="165" fontId="2" fillId="0" borderId="2" xfId="0" applyNumberFormat="1" applyFont="1" applyBorder="1" applyAlignment="1" applyProtection="1">
      <alignment horizontal="center" vertical="center" wrapText="1"/>
      <protection locked="0"/>
    </xf>
    <xf numFmtId="165" fontId="10" fillId="0" borderId="2" xfId="0" applyNumberFormat="1" applyFont="1" applyBorder="1" applyAlignment="1" applyProtection="1">
      <alignment horizontal="center" vertical="center" wrapText="1"/>
      <protection locked="0"/>
    </xf>
    <xf numFmtId="165" fontId="2" fillId="11" borderId="0" xfId="0" applyNumberFormat="1" applyFont="1" applyFill="1" applyBorder="1" applyAlignment="1" applyProtection="1">
      <alignment horizontal="center" vertical="center" wrapText="1"/>
      <protection locked="0"/>
    </xf>
    <xf numFmtId="165" fontId="2" fillId="0" borderId="0" xfId="0" applyNumberFormat="1" applyFont="1" applyBorder="1" applyAlignment="1" applyProtection="1">
      <alignment horizontal="center" vertical="center" wrapText="1"/>
      <protection locked="0"/>
    </xf>
    <xf numFmtId="165" fontId="10" fillId="0" borderId="0" xfId="0" applyNumberFormat="1" applyFont="1" applyBorder="1" applyAlignment="1" applyProtection="1">
      <alignment horizontal="center" vertical="center" wrapText="1"/>
      <protection locked="0"/>
    </xf>
    <xf numFmtId="166" fontId="2" fillId="11" borderId="0" xfId="0" applyNumberFormat="1" applyFont="1" applyFill="1" applyBorder="1" applyAlignment="1" applyProtection="1">
      <alignment horizontal="center" vertical="center" wrapText="1"/>
      <protection locked="0"/>
    </xf>
    <xf numFmtId="166" fontId="2" fillId="11" borderId="2" xfId="0" applyNumberFormat="1" applyFont="1" applyFill="1" applyBorder="1" applyAlignment="1" applyProtection="1">
      <alignment horizontal="center" vertical="center" wrapText="1"/>
      <protection locked="0"/>
    </xf>
    <xf numFmtId="9" fontId="2" fillId="5" borderId="2" xfId="1" applyFont="1" applyFill="1" applyBorder="1" applyAlignment="1" applyProtection="1">
      <alignment horizontal="center" vertical="center" wrapText="1"/>
      <protection locked="0"/>
    </xf>
    <xf numFmtId="166" fontId="2" fillId="5" borderId="0" xfId="0" applyNumberFormat="1" applyFont="1" applyFill="1" applyBorder="1" applyAlignment="1" applyProtection="1">
      <alignment horizontal="center" vertical="center" wrapText="1"/>
      <protection locked="0"/>
    </xf>
    <xf numFmtId="166" fontId="2" fillId="5" borderId="2" xfId="0" applyNumberFormat="1" applyFont="1" applyFill="1" applyBorder="1" applyAlignment="1" applyProtection="1">
      <alignment horizontal="center" vertical="center" wrapText="1"/>
      <protection locked="0"/>
    </xf>
    <xf numFmtId="166" fontId="2" fillId="0" borderId="2" xfId="1" applyNumberFormat="1" applyFont="1" applyBorder="1" applyAlignment="1" applyProtection="1">
      <alignment horizontal="center" vertical="center" wrapText="1"/>
      <protection locked="0"/>
    </xf>
    <xf numFmtId="9" fontId="2" fillId="5" borderId="0" xfId="1" applyFont="1" applyFill="1" applyBorder="1" applyAlignment="1" applyProtection="1">
      <alignment horizontal="center" vertical="center" wrapText="1"/>
      <protection locked="0"/>
    </xf>
    <xf numFmtId="165" fontId="2" fillId="9" borderId="2" xfId="0" applyNumberFormat="1" applyFont="1" applyFill="1" applyBorder="1" applyAlignment="1" applyProtection="1">
      <alignment horizontal="center" vertical="center" wrapText="1"/>
      <protection locked="0"/>
    </xf>
    <xf numFmtId="0" fontId="2" fillId="0" borderId="0" xfId="1" applyNumberFormat="1" applyFont="1" applyBorder="1" applyAlignment="1" applyProtection="1">
      <alignment horizontal="center" vertical="center" wrapText="1"/>
      <protection locked="0"/>
    </xf>
    <xf numFmtId="165" fontId="2" fillId="7" borderId="0" xfId="0" applyNumberFormat="1" applyFont="1" applyFill="1" applyBorder="1" applyAlignment="1" applyProtection="1">
      <alignment horizontal="center" vertical="center" wrapText="1"/>
      <protection locked="0"/>
    </xf>
    <xf numFmtId="165" fontId="2" fillId="7" borderId="2" xfId="0" applyNumberFormat="1" applyFont="1" applyFill="1" applyBorder="1" applyAlignment="1" applyProtection="1">
      <alignment horizontal="center" vertical="center" wrapText="1"/>
      <protection locked="0"/>
    </xf>
    <xf numFmtId="0" fontId="16" fillId="0" borderId="0" xfId="0" applyNumberFormat="1" applyFont="1" applyBorder="1" applyAlignment="1" applyProtection="1">
      <alignment horizontal="center" vertical="center" wrapText="1"/>
      <protection locked="0"/>
    </xf>
    <xf numFmtId="165" fontId="2" fillId="5" borderId="0" xfId="0" applyNumberFormat="1" applyFont="1" applyFill="1" applyBorder="1" applyAlignment="1" applyProtection="1">
      <alignment horizontal="center" vertical="center" wrapText="1"/>
      <protection locked="0"/>
    </xf>
    <xf numFmtId="165" fontId="24" fillId="0" borderId="0" xfId="0" applyNumberFormat="1" applyFont="1" applyBorder="1" applyAlignment="1" applyProtection="1">
      <alignment horizontal="center" vertical="center" wrapText="1"/>
      <protection locked="0"/>
    </xf>
    <xf numFmtId="165" fontId="19" fillId="0" borderId="0" xfId="0" applyNumberFormat="1" applyFont="1" applyBorder="1" applyAlignment="1" applyProtection="1">
      <alignment horizontal="center" vertical="center" wrapText="1"/>
      <protection locked="0"/>
    </xf>
    <xf numFmtId="14" fontId="2" fillId="3" borderId="0" xfId="0" applyNumberFormat="1" applyFont="1" applyFill="1" applyBorder="1" applyAlignment="1" applyProtection="1">
      <alignment horizontal="center" vertical="center" wrapText="1"/>
      <protection locked="0"/>
    </xf>
    <xf numFmtId="14" fontId="2" fillId="0" borderId="0" xfId="0" applyNumberFormat="1" applyFont="1" applyBorder="1" applyAlignment="1" applyProtection="1">
      <alignment horizontal="center" vertical="center" wrapText="1"/>
    </xf>
    <xf numFmtId="0" fontId="5" fillId="24" borderId="0" xfId="0" applyFont="1" applyFill="1" applyAlignment="1">
      <alignment horizontal="center"/>
    </xf>
    <xf numFmtId="0" fontId="0" fillId="24" borderId="0" xfId="0" applyFill="1"/>
    <xf numFmtId="0" fontId="1" fillId="24" borderId="0" xfId="0" applyFont="1" applyFill="1" applyAlignment="1"/>
    <xf numFmtId="9" fontId="1" fillId="24" borderId="0" xfId="1" applyFont="1" applyFill="1" applyAlignment="1"/>
    <xf numFmtId="168" fontId="1" fillId="24" borderId="0" xfId="0" applyNumberFormat="1" applyFont="1" applyFill="1" applyAlignment="1"/>
    <xf numFmtId="168" fontId="1" fillId="24" borderId="0" xfId="0" applyNumberFormat="1" applyFont="1" applyFill="1"/>
    <xf numFmtId="168" fontId="0" fillId="24" borderId="0" xfId="0" applyNumberFormat="1" applyFill="1"/>
    <xf numFmtId="0" fontId="1" fillId="0" borderId="0" xfId="0" applyFont="1" applyFill="1" applyAlignment="1"/>
    <xf numFmtId="168" fontId="1" fillId="0" borderId="0" xfId="0" applyNumberFormat="1" applyFont="1" applyFill="1" applyAlignment="1"/>
    <xf numFmtId="0" fontId="5" fillId="0" borderId="0" xfId="0" applyFont="1" applyFill="1" applyAlignment="1">
      <alignment horizontal="center"/>
    </xf>
    <xf numFmtId="0" fontId="5" fillId="23" borderId="3" xfId="0" applyFont="1" applyFill="1" applyBorder="1" applyAlignment="1"/>
    <xf numFmtId="0" fontId="1" fillId="0" borderId="0" xfId="0" quotePrefix="1" applyFont="1" applyFill="1" applyAlignment="1"/>
    <xf numFmtId="9" fontId="1" fillId="0" borderId="0" xfId="1" applyFont="1" applyFill="1" applyAlignment="1"/>
    <xf numFmtId="168" fontId="1" fillId="0" borderId="0" xfId="0" applyNumberFormat="1" applyFont="1" applyFill="1"/>
    <xf numFmtId="168" fontId="0" fillId="0" borderId="0" xfId="0" applyNumberFormat="1" applyFill="1"/>
    <xf numFmtId="0" fontId="5" fillId="23" borderId="0" xfId="0" applyFont="1" applyFill="1" applyBorder="1" applyAlignment="1"/>
    <xf numFmtId="0" fontId="0" fillId="0" borderId="0" xfId="0" applyFill="1"/>
    <xf numFmtId="0" fontId="1" fillId="0" borderId="0" xfId="0" applyFont="1" applyFill="1"/>
    <xf numFmtId="0" fontId="5" fillId="25" borderId="3" xfId="0" applyFont="1" applyFill="1" applyBorder="1" applyAlignment="1"/>
    <xf numFmtId="0" fontId="5" fillId="25" borderId="0" xfId="0" applyFont="1" applyFill="1" applyBorder="1" applyAlignment="1"/>
    <xf numFmtId="172" fontId="2" fillId="3" borderId="0" xfId="0" applyNumberFormat="1" applyFont="1" applyFill="1" applyBorder="1" applyAlignment="1" applyProtection="1">
      <alignment horizontal="center" vertical="center" wrapText="1"/>
      <protection locked="0"/>
    </xf>
    <xf numFmtId="172" fontId="2" fillId="0" borderId="0" xfId="0" applyNumberFormat="1" applyFont="1" applyBorder="1" applyAlignment="1" applyProtection="1">
      <alignment horizontal="center" vertical="center" wrapText="1"/>
      <protection locked="0"/>
    </xf>
    <xf numFmtId="172" fontId="2" fillId="0" borderId="0" xfId="0" applyNumberFormat="1" applyFont="1" applyBorder="1" applyAlignment="1" applyProtection="1">
      <alignment horizontal="center" vertical="center" wrapText="1"/>
    </xf>
    <xf numFmtId="172" fontId="10" fillId="0" borderId="0" xfId="0" applyNumberFormat="1" applyFont="1" applyBorder="1" applyAlignment="1" applyProtection="1">
      <alignment horizontal="center" vertical="center" wrapText="1"/>
      <protection locked="0"/>
    </xf>
    <xf numFmtId="0" fontId="2" fillId="0" borderId="0" xfId="0" applyNumberFormat="1" applyFont="1" applyBorder="1" applyAlignment="1" applyProtection="1">
      <alignment horizontal="center" vertical="center" wrapText="1"/>
    </xf>
    <xf numFmtId="165" fontId="2" fillId="0" borderId="12" xfId="0" quotePrefix="1" applyNumberFormat="1" applyFont="1" applyBorder="1" applyAlignment="1" applyProtection="1">
      <alignment horizontal="center" vertical="center" wrapText="1"/>
      <protection locked="0"/>
    </xf>
    <xf numFmtId="0" fontId="27" fillId="0" borderId="0" xfId="0" applyFont="1" applyAlignment="1">
      <alignment horizontal="left" vertical="center" wrapText="1"/>
    </xf>
    <xf numFmtId="0" fontId="0" fillId="0" borderId="0" xfId="0" pivotButton="1"/>
    <xf numFmtId="0" fontId="0" fillId="0" borderId="0" xfId="0" applyAlignment="1">
      <alignment horizontal="left"/>
    </xf>
    <xf numFmtId="165" fontId="0" fillId="0" borderId="0" xfId="2" applyFont="1"/>
    <xf numFmtId="173" fontId="28" fillId="0" borderId="0" xfId="0" applyNumberFormat="1" applyFont="1" applyBorder="1" applyAlignment="1" applyProtection="1">
      <alignment horizontal="center" vertical="center" wrapText="1"/>
      <protection locked="0"/>
    </xf>
    <xf numFmtId="165" fontId="0" fillId="0" borderId="0" xfId="0" applyNumberFormat="1"/>
    <xf numFmtId="0" fontId="0" fillId="0" borderId="0" xfId="0" applyNumberFormat="1"/>
    <xf numFmtId="0" fontId="0" fillId="0" borderId="0" xfId="0" quotePrefix="1"/>
    <xf numFmtId="0" fontId="0" fillId="24" borderId="0" xfId="0" quotePrefix="1" applyFill="1"/>
    <xf numFmtId="165" fontId="2" fillId="0" borderId="16" xfId="0" applyNumberFormat="1" applyFont="1" applyBorder="1" applyAlignment="1" applyProtection="1">
      <alignment horizontal="center" vertical="center" wrapText="1"/>
      <protection locked="0"/>
    </xf>
    <xf numFmtId="9" fontId="2" fillId="0" borderId="0" xfId="0" applyNumberFormat="1" applyFont="1" applyBorder="1" applyAlignment="1" applyProtection="1">
      <alignment horizontal="center" vertical="center" wrapText="1"/>
      <protection locked="0"/>
    </xf>
    <xf numFmtId="165" fontId="2" fillId="0" borderId="0" xfId="2" applyFont="1" applyBorder="1" applyAlignment="1" applyProtection="1">
      <alignment horizontal="center" vertical="center" wrapText="1"/>
      <protection locked="0"/>
    </xf>
    <xf numFmtId="0" fontId="3" fillId="6" borderId="1" xfId="0" applyNumberFormat="1" applyFont="1" applyFill="1" applyBorder="1" applyAlignment="1" applyProtection="1">
      <alignment horizontal="center" vertical="center" wrapText="1"/>
      <protection locked="0"/>
    </xf>
    <xf numFmtId="0" fontId="3" fillId="6" borderId="0" xfId="0" applyNumberFormat="1" applyFont="1" applyFill="1" applyBorder="1" applyAlignment="1" applyProtection="1">
      <alignment horizontal="center" vertical="center" wrapText="1"/>
      <protection locked="0"/>
    </xf>
    <xf numFmtId="0" fontId="6" fillId="8" borderId="1" xfId="0" applyNumberFormat="1" applyFont="1" applyFill="1" applyBorder="1" applyAlignment="1" applyProtection="1">
      <alignment horizontal="center" vertical="center" wrapText="1"/>
      <protection locked="0"/>
    </xf>
    <xf numFmtId="0" fontId="6" fillId="8" borderId="0" xfId="0" applyNumberFormat="1" applyFont="1" applyFill="1" applyBorder="1" applyAlignment="1" applyProtection="1">
      <alignment horizontal="center" vertical="center" wrapText="1"/>
      <protection locked="0"/>
    </xf>
    <xf numFmtId="0" fontId="3" fillId="4" borderId="1" xfId="0" applyNumberFormat="1" applyFont="1" applyFill="1" applyBorder="1" applyAlignment="1" applyProtection="1">
      <alignment horizontal="center" vertical="center" wrapText="1"/>
      <protection locked="0"/>
    </xf>
    <xf numFmtId="0" fontId="3" fillId="4" borderId="0" xfId="0" applyNumberFormat="1" applyFont="1" applyFill="1" applyBorder="1" applyAlignment="1" applyProtection="1">
      <alignment horizontal="center" vertical="center" wrapText="1"/>
      <protection locked="0"/>
    </xf>
    <xf numFmtId="0" fontId="6" fillId="10" borderId="0" xfId="0" applyNumberFormat="1" applyFont="1" applyFill="1" applyBorder="1" applyAlignment="1" applyProtection="1">
      <alignment horizontal="center" vertical="center" wrapText="1"/>
      <protection locked="0"/>
    </xf>
    <xf numFmtId="0" fontId="6" fillId="10" borderId="2" xfId="0" applyNumberFormat="1" applyFont="1" applyFill="1" applyBorder="1" applyAlignment="1" applyProtection="1">
      <alignment horizontal="center" vertical="center" wrapText="1"/>
      <protection locked="0"/>
    </xf>
    <xf numFmtId="0" fontId="3" fillId="2" borderId="1" xfId="0" applyNumberFormat="1" applyFont="1" applyFill="1" applyBorder="1" applyAlignment="1" applyProtection="1">
      <alignment horizontal="center" vertical="center" wrapText="1"/>
      <protection locked="0"/>
    </xf>
    <xf numFmtId="0" fontId="3" fillId="2" borderId="0" xfId="0" applyNumberFormat="1" applyFont="1" applyFill="1" applyBorder="1" applyAlignment="1" applyProtection="1">
      <alignment horizontal="center" vertical="center" wrapText="1"/>
      <protection locked="0"/>
    </xf>
    <xf numFmtId="14" fontId="3" fillId="2" borderId="1" xfId="0" applyNumberFormat="1" applyFont="1" applyFill="1" applyBorder="1" applyAlignment="1" applyProtection="1">
      <alignment horizontal="center" vertical="center" wrapText="1"/>
      <protection locked="0"/>
    </xf>
    <xf numFmtId="14" fontId="3" fillId="2" borderId="0" xfId="0" applyNumberFormat="1" applyFont="1" applyFill="1" applyBorder="1" applyAlignment="1" applyProtection="1">
      <alignment horizontal="center" vertical="center" wrapText="1"/>
      <protection locked="0"/>
    </xf>
    <xf numFmtId="14" fontId="3" fillId="2" borderId="2" xfId="0" applyNumberFormat="1" applyFont="1" applyFill="1" applyBorder="1" applyAlignment="1" applyProtection="1">
      <alignment horizontal="center" vertical="center" wrapText="1"/>
      <protection locked="0"/>
    </xf>
    <xf numFmtId="0" fontId="3" fillId="6" borderId="8" xfId="0" applyNumberFormat="1" applyFont="1" applyFill="1" applyBorder="1" applyAlignment="1" applyProtection="1">
      <alignment horizontal="center" vertical="center" wrapText="1"/>
      <protection locked="0"/>
    </xf>
    <xf numFmtId="0" fontId="3" fillId="6" borderId="9" xfId="0" applyNumberFormat="1" applyFont="1" applyFill="1" applyBorder="1" applyAlignment="1" applyProtection="1">
      <alignment horizontal="center" vertical="center" wrapText="1"/>
      <protection locked="0"/>
    </xf>
    <xf numFmtId="0" fontId="3" fillId="6" borderId="10" xfId="0" applyNumberFormat="1" applyFont="1" applyFill="1" applyBorder="1" applyAlignment="1" applyProtection="1">
      <alignment horizontal="center" vertical="center" wrapText="1"/>
      <protection locked="0"/>
    </xf>
    <xf numFmtId="0" fontId="23" fillId="21" borderId="4" xfId="0" applyFont="1" applyFill="1" applyBorder="1" applyAlignment="1">
      <alignment horizontal="center" vertical="center" wrapText="1" readingOrder="1"/>
    </xf>
    <xf numFmtId="0" fontId="23" fillId="22" borderId="14" xfId="0" applyFont="1" applyFill="1" applyBorder="1" applyAlignment="1">
      <alignment horizontal="center" vertical="center" wrapText="1" readingOrder="1"/>
    </xf>
    <xf numFmtId="0" fontId="23" fillId="22" borderId="15" xfId="0" applyFont="1" applyFill="1" applyBorder="1" applyAlignment="1">
      <alignment horizontal="center" vertical="center" wrapText="1" readingOrder="1"/>
    </xf>
    <xf numFmtId="0" fontId="23" fillId="21" borderId="14" xfId="0" applyFont="1" applyFill="1" applyBorder="1" applyAlignment="1">
      <alignment horizontal="center" vertical="center" wrapText="1" readingOrder="1"/>
    </xf>
    <xf numFmtId="0" fontId="23" fillId="21" borderId="15" xfId="0" applyFont="1" applyFill="1" applyBorder="1" applyAlignment="1">
      <alignment horizontal="center" vertical="center" wrapText="1" readingOrder="1"/>
    </xf>
    <xf numFmtId="0" fontId="7" fillId="20" borderId="4" xfId="0" applyFont="1" applyFill="1" applyBorder="1" applyAlignment="1">
      <alignment horizontal="center" vertical="center" wrapText="1" readingOrder="1"/>
    </xf>
    <xf numFmtId="0" fontId="9" fillId="21" borderId="4" xfId="0" applyFont="1" applyFill="1" applyBorder="1" applyAlignment="1">
      <alignment horizontal="center" vertical="center" wrapText="1" readingOrder="1"/>
    </xf>
    <xf numFmtId="167" fontId="9" fillId="21" borderId="4" xfId="0" applyNumberFormat="1" applyFont="1" applyFill="1" applyBorder="1" applyAlignment="1">
      <alignment horizontal="center" vertical="center" wrapText="1" readingOrder="1"/>
    </xf>
    <xf numFmtId="0" fontId="8" fillId="21" borderId="4" xfId="0" applyFont="1" applyFill="1" applyBorder="1" applyAlignment="1">
      <alignment horizontal="center" vertical="center" wrapText="1" readingOrder="1"/>
    </xf>
    <xf numFmtId="167" fontId="8" fillId="21" borderId="4" xfId="0" applyNumberFormat="1" applyFont="1" applyFill="1" applyBorder="1" applyAlignment="1">
      <alignment horizontal="center" vertical="center" wrapText="1" readingOrder="1"/>
    </xf>
    <xf numFmtId="0" fontId="11" fillId="20" borderId="4" xfId="0" applyFont="1" applyFill="1" applyBorder="1" applyAlignment="1">
      <alignment horizontal="center" vertical="center" wrapText="1"/>
    </xf>
    <xf numFmtId="0" fontId="11" fillId="0" borderId="6" xfId="0" applyFont="1" applyBorder="1" applyAlignment="1">
      <alignment horizontal="center" vertical="center" wrapText="1"/>
    </xf>
    <xf numFmtId="0" fontId="11" fillId="0" borderId="7" xfId="0" applyFont="1" applyBorder="1" applyAlignment="1">
      <alignment horizontal="center" vertical="center" wrapText="1"/>
    </xf>
    <xf numFmtId="0" fontId="14" fillId="21" borderId="4" xfId="0" applyFont="1" applyFill="1" applyBorder="1" applyAlignment="1">
      <alignment horizontal="center" vertical="center" wrapText="1" readingOrder="1"/>
    </xf>
    <xf numFmtId="0" fontId="8" fillId="22" borderId="4" xfId="0" applyFont="1" applyFill="1" applyBorder="1" applyAlignment="1">
      <alignment horizontal="center" vertical="center" wrapText="1" readingOrder="1"/>
    </xf>
    <xf numFmtId="0" fontId="33" fillId="0" borderId="0" xfId="0" applyFont="1" applyAlignment="1"/>
    <xf numFmtId="0" fontId="33" fillId="17" borderId="0" xfId="0" applyFont="1" applyFill="1" applyAlignment="1"/>
    <xf numFmtId="168" fontId="33" fillId="0" borderId="0" xfId="0" applyNumberFormat="1" applyFont="1" applyAlignment="1"/>
    <xf numFmtId="168" fontId="33" fillId="17" borderId="0" xfId="0" applyNumberFormat="1" applyFont="1" applyFill="1" applyAlignment="1"/>
    <xf numFmtId="0" fontId="34" fillId="0" borderId="0" xfId="0" pivotButton="1" applyFont="1" applyAlignment="1"/>
    <xf numFmtId="0" fontId="34" fillId="0" borderId="0" xfId="0" applyFont="1" applyFill="1" applyAlignment="1"/>
    <xf numFmtId="0" fontId="33" fillId="0" borderId="0" xfId="0" applyFont="1" applyFill="1" applyAlignment="1"/>
    <xf numFmtId="168" fontId="33" fillId="0" borderId="0" xfId="0" applyNumberFormat="1" applyFont="1" applyFill="1" applyAlignment="1"/>
    <xf numFmtId="0" fontId="33" fillId="19" borderId="0" xfId="0" applyFont="1" applyFill="1" applyAlignment="1"/>
    <xf numFmtId="168" fontId="33" fillId="19" borderId="0" xfId="0" applyNumberFormat="1" applyFont="1" applyFill="1" applyAlignment="1"/>
    <xf numFmtId="0" fontId="33" fillId="13" borderId="0" xfId="0" applyFont="1" applyFill="1" applyAlignment="1"/>
    <xf numFmtId="168" fontId="33" fillId="13" borderId="0" xfId="0" applyNumberFormat="1" applyFont="1" applyFill="1" applyAlignment="1"/>
    <xf numFmtId="0" fontId="33" fillId="15" borderId="0" xfId="0" applyFont="1" applyFill="1" applyAlignment="1"/>
    <xf numFmtId="168" fontId="33" fillId="15" borderId="0" xfId="0" applyNumberFormat="1" applyFont="1" applyFill="1" applyAlignment="1"/>
    <xf numFmtId="9" fontId="33" fillId="0" borderId="0" xfId="0" applyNumberFormat="1" applyFont="1" applyAlignment="1"/>
    <xf numFmtId="169" fontId="33" fillId="17" borderId="0" xfId="0" applyNumberFormat="1" applyFont="1" applyFill="1" applyAlignment="1"/>
    <xf numFmtId="169" fontId="33" fillId="13" borderId="0" xfId="0" applyNumberFormat="1" applyFont="1" applyFill="1" applyAlignment="1"/>
    <xf numFmtId="9" fontId="33" fillId="0" borderId="0" xfId="0" applyNumberFormat="1" applyFont="1" applyFill="1" applyAlignment="1"/>
    <xf numFmtId="169" fontId="33" fillId="0" borderId="0" xfId="0" applyNumberFormat="1" applyFont="1" applyFill="1" applyAlignment="1"/>
    <xf numFmtId="169" fontId="33" fillId="15" borderId="0" xfId="0" applyNumberFormat="1" applyFont="1" applyFill="1" applyAlignment="1"/>
    <xf numFmtId="169" fontId="33" fillId="19" borderId="0" xfId="0" applyNumberFormat="1" applyFont="1" applyFill="1" applyAlignment="1"/>
  </cellXfs>
  <cellStyles count="4">
    <cellStyle name="Komma" xfId="3" builtinId="3"/>
    <cellStyle name="Prozent" xfId="1" builtinId="5"/>
    <cellStyle name="Standard" xfId="0" builtinId="0"/>
    <cellStyle name="Währung" xfId="2" builtinId="4"/>
  </cellStyles>
  <dxfs count="1512">
    <dxf>
      <font>
        <b val="0"/>
        <i val="0"/>
        <strike val="0"/>
        <condense val="0"/>
        <extend val="0"/>
        <outline val="0"/>
        <shadow val="0"/>
        <u val="none"/>
        <vertAlign val="baseline"/>
        <sz val="11"/>
        <color theme="1"/>
        <name val="Frutiger LT Com 45 Light"/>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Frutiger LT Com 45 Light"/>
        <scheme val="none"/>
      </font>
      <alignment horizontal="center" vertical="center" textRotation="0" wrapText="1" indent="0" justifyLastLine="0" shrinkToFit="0" readingOrder="0"/>
    </dxf>
    <dxf>
      <font>
        <u/>
      </font>
    </dxf>
    <dxf>
      <font>
        <b/>
      </font>
    </dxf>
    <dxf>
      <numFmt numFmtId="169" formatCode="\-"/>
    </dxf>
    <dxf>
      <numFmt numFmtId="169" formatCode="\-"/>
    </dxf>
    <dxf>
      <numFmt numFmtId="13" formatCode="0%"/>
    </dxf>
    <dxf>
      <numFmt numFmtId="13" formatCode="0%"/>
    </dxf>
    <dxf>
      <numFmt numFmtId="168" formatCode="_-* #,##0\ &quot;€&quot;_-;\-* #,##0\ &quot;€&quot;_-;_-* &quot;-&quot;??\ &quot;€&quot;_-;_-@_-"/>
    </dxf>
    <dxf>
      <numFmt numFmtId="168" formatCode="_-* #,##0\ &quot;€&quot;_-;\-* #,##0\ &quot;€&quot;_-;_-* &quot;-&quot;??\ &quot;€&quot;_-;_-@_-"/>
    </dxf>
    <dxf>
      <numFmt numFmtId="168" formatCode="_-* #,##0\ &quot;€&quot;_-;\-* #,##0\ &quot;€&quot;_-;_-* &quot;-&quot;??\ &quot;€&quot;_-;_-@_-"/>
    </dxf>
    <dxf>
      <numFmt numFmtId="175" formatCode="_-* #,##0.0\ &quot;€&quot;_-;\-* #,##0.0\ &quot;€&quot;_-;_-* &quot;-&quot;??\ &quot;€&quot;_-;_-@_-"/>
    </dxf>
    <dxf>
      <numFmt numFmtId="165" formatCode="_(&quot;€&quot;* #,##0.00_);_(&quot;€&quot;* \(#,##0.00\);_(&quot;€&quot;* &quot;-&quot;??_);_(@_)"/>
    </dxf>
    <dxf>
      <numFmt numFmtId="166" formatCode="_-* #,##0.00\ [$€-407]_-;\-* #,##0.00\ [$€-407]_-;_-* &quot;-&quot;??\ [$€-407]_-;_-@_-"/>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ill>
        <patternFill patternType="none">
          <bgColor auto="1"/>
        </patternFill>
      </fill>
    </dxf>
    <dxf>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u/>
      </font>
    </dxf>
    <dxf>
      <font>
        <b/>
      </font>
    </dxf>
    <dxf>
      <fill>
        <patternFill patternType="solid">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ont>
        <b/>
        <u/>
        <name val="Frutiger LT Com 45 Light"/>
        <scheme val="none"/>
      </font>
    </dxf>
    <dxf>
      <font>
        <u/>
      </font>
    </dxf>
    <dxf>
      <font>
        <b/>
      </font>
    </dxf>
    <dxf>
      <numFmt numFmtId="169" formatCode="\-"/>
    </dxf>
    <dxf>
      <numFmt numFmtId="169" formatCode="\-"/>
    </dxf>
    <dxf>
      <numFmt numFmtId="0" formatCode="General"/>
    </dxf>
    <dxf>
      <numFmt numFmtId="169" formatCode="\-"/>
    </dxf>
    <dxf>
      <numFmt numFmtId="174" formatCode="[$-F400]h:mm:ss\ AM/PM"/>
    </dxf>
    <dxf>
      <numFmt numFmtId="13" formatCode="0%"/>
    </dxf>
    <dxf>
      <numFmt numFmtId="168" formatCode="_-* #,##0\ &quot;€&quot;_-;\-* #,##0\ &quot;€&quot;_-;_-* &quot;-&quot;??\ &quot;€&quot;_-;_-@_-"/>
    </dxf>
    <dxf>
      <numFmt numFmtId="168" formatCode="_-* #,##0\ &quot;€&quot;_-;\-* #,##0\ &quot;€&quot;_-;_-* &quot;-&quot;??\ &quot;€&quot;_-;_-@_-"/>
    </dxf>
    <dxf>
      <numFmt numFmtId="168" formatCode="_-* #,##0\ &quot;€&quot;_-;\-* #,##0\ &quot;€&quot;_-;_-* &quot;-&quot;??\ &quot;€&quot;_-;_-@_-"/>
    </dxf>
    <dxf>
      <numFmt numFmtId="175" formatCode="_-* #,##0.0\ &quot;€&quot;_-;\-* #,##0.0\ &quot;€&quot;_-;_-* &quot;-&quot;??\ &quot;€&quot;_-;_-@_-"/>
    </dxf>
    <dxf>
      <numFmt numFmtId="165" formatCode="_(&quot;€&quot;* #,##0.00_);_(&quot;€&quot;* \(#,##0.00\);_(&quot;€&quot;* &quot;-&quot;??_);_(@_)"/>
    </dxf>
    <dxf>
      <numFmt numFmtId="165" formatCode="_(&quot;€&quot;* #,##0.00_);_(&quot;€&quot;* \(#,##0.00\);_(&quot;€&quot;* &quot;-&quot;??_);_(@_)"/>
    </dxf>
    <dxf>
      <numFmt numFmtId="166" formatCode="_-* #,##0.00\ [$€-407]_-;\-* #,##0.00\ [$€-407]_-;_-* &quot;-&quot;??\ [$€-407]_-;_-@_-"/>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b val="0"/>
      </font>
    </dxf>
    <dxf>
      <font>
        <b/>
      </font>
    </dxf>
    <dxf>
      <font>
        <b val="0"/>
      </font>
    </dxf>
    <dxf>
      <font>
        <b/>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u/>
      </font>
    </dxf>
    <dxf>
      <font>
        <b/>
      </font>
    </dxf>
    <dxf>
      <numFmt numFmtId="169" formatCode="\-"/>
    </dxf>
    <dxf>
      <numFmt numFmtId="13" formatCode="0%"/>
    </dxf>
    <dxf>
      <numFmt numFmtId="13" formatCode="0%"/>
    </dxf>
    <dxf>
      <numFmt numFmtId="169" formatCode="\-"/>
    </dxf>
    <dxf>
      <numFmt numFmtId="168" formatCode="_-* #,##0\ &quot;€&quot;_-;\-* #,##0\ &quot;€&quot;_-;_-* &quot;-&quot;??\ &quot;€&quot;_-;_-@_-"/>
    </dxf>
    <dxf>
      <numFmt numFmtId="168" formatCode="_-* #,##0\ &quot;€&quot;_-;\-* #,##0\ &quot;€&quot;_-;_-* &quot;-&quot;??\ &quot;€&quot;_-;_-@_-"/>
    </dxf>
    <dxf>
      <numFmt numFmtId="168" formatCode="_-* #,##0\ &quot;€&quot;_-;\-* #,##0\ &quot;€&quot;_-;_-* &quot;-&quot;??\ &quot;€&quot;_-;_-@_-"/>
    </dxf>
    <dxf>
      <numFmt numFmtId="175" formatCode="_-* #,##0.0\ &quot;€&quot;_-;\-* #,##0.0\ &quot;€&quot;_-;_-* &quot;-&quot;??\ &quot;€&quot;_-;_-@_-"/>
    </dxf>
    <dxf>
      <numFmt numFmtId="165" formatCode="_(&quot;€&quot;* #,##0.00_);_(&quot;€&quot;* \(#,##0.00\);_(&quot;€&quot;* &quot;-&quot;??_);_(@_)"/>
    </dxf>
    <dxf>
      <numFmt numFmtId="165" formatCode="_(&quot;€&quot;* #,##0.00_);_(&quot;€&quot;* \(#,##0.00\);_(&quot;€&quot;* &quot;-&quot;??_);_(@_)"/>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bgColor theme="5" tint="0.79998168889431442"/>
        </patternFill>
      </fill>
    </dxf>
    <dxf>
      <fill>
        <patternFill>
          <bgColor theme="5" tint="0.79998168889431442"/>
        </patternFill>
      </fill>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u/>
      </font>
    </dxf>
    <dxf>
      <font>
        <b/>
      </font>
    </dxf>
    <dxf>
      <font>
        <u/>
      </font>
    </dxf>
    <dxf>
      <font>
        <b/>
      </font>
    </dxf>
    <dxf>
      <numFmt numFmtId="169" formatCode="\-"/>
    </dxf>
    <dxf>
      <numFmt numFmtId="169" formatCode="\-"/>
    </dxf>
    <dxf>
      <numFmt numFmtId="0" formatCode="General"/>
    </dxf>
    <dxf>
      <numFmt numFmtId="169" formatCode="\-"/>
    </dxf>
    <dxf>
      <numFmt numFmtId="174" formatCode="[$-F400]h:mm:ss\ AM/PM"/>
    </dxf>
    <dxf>
      <numFmt numFmtId="13" formatCode="0%"/>
    </dxf>
    <dxf>
      <numFmt numFmtId="168" formatCode="_-* #,##0\ &quot;€&quot;_-;\-* #,##0\ &quot;€&quot;_-;_-* &quot;-&quot;??\ &quot;€&quot;_-;_-@_-"/>
    </dxf>
    <dxf>
      <numFmt numFmtId="168" formatCode="_-* #,##0\ &quot;€&quot;_-;\-* #,##0\ &quot;€&quot;_-;_-* &quot;-&quot;??\ &quot;€&quot;_-;_-@_-"/>
    </dxf>
    <dxf>
      <numFmt numFmtId="168" formatCode="_-* #,##0\ &quot;€&quot;_-;\-* #,##0\ &quot;€&quot;_-;_-* &quot;-&quot;??\ &quot;€&quot;_-;_-@_-"/>
    </dxf>
    <dxf>
      <numFmt numFmtId="175" formatCode="_-* #,##0.0\ &quot;€&quot;_-;\-* #,##0.0\ &quot;€&quot;_-;_-* &quot;-&quot;??\ &quot;€&quot;_-;_-@_-"/>
    </dxf>
    <dxf>
      <numFmt numFmtId="165" formatCode="_(&quot;€&quot;* #,##0.00_);_(&quot;€&quot;* \(#,##0.00\);_(&quot;€&quot;* &quot;-&quot;??_);_(@_)"/>
    </dxf>
    <dxf>
      <numFmt numFmtId="165" formatCode="_(&quot;€&quot;* #,##0.00_);_(&quot;€&quot;* \(#,##0.00\);_(&quot;€&quot;* &quot;-&quot;??_);_(@_)"/>
    </dxf>
    <dxf>
      <numFmt numFmtId="166" formatCode="_-* #,##0.00\ [$€-407]_-;\-* #,##0.00\ [$€-407]_-;_-* &quot;-&quot;??\ [$€-407]_-;_-@_-"/>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b val="0"/>
      </font>
    </dxf>
    <dxf>
      <font>
        <b/>
      </font>
    </dxf>
    <dxf>
      <font>
        <b val="0"/>
      </font>
    </dxf>
    <dxf>
      <font>
        <b/>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b/>
        <u/>
        <name val="Frutiger LT Com 45 Light"/>
        <scheme val="none"/>
      </font>
    </dxf>
    <dxf>
      <font>
        <u/>
      </font>
    </dxf>
    <dxf>
      <font>
        <b/>
      </font>
    </dxf>
    <dxf>
      <numFmt numFmtId="169" formatCode="\-"/>
    </dxf>
    <dxf>
      <numFmt numFmtId="169" formatCode="\-"/>
    </dxf>
    <dxf>
      <numFmt numFmtId="0" formatCode="General"/>
    </dxf>
    <dxf>
      <numFmt numFmtId="169" formatCode="\-"/>
    </dxf>
    <dxf>
      <numFmt numFmtId="174" formatCode="[$-F400]h:mm:ss\ AM/PM"/>
    </dxf>
    <dxf>
      <numFmt numFmtId="13" formatCode="0%"/>
    </dxf>
    <dxf>
      <numFmt numFmtId="168" formatCode="_-* #,##0\ &quot;€&quot;_-;\-* #,##0\ &quot;€&quot;_-;_-* &quot;-&quot;??\ &quot;€&quot;_-;_-@_-"/>
    </dxf>
    <dxf>
      <numFmt numFmtId="168" formatCode="_-* #,##0\ &quot;€&quot;_-;\-* #,##0\ &quot;€&quot;_-;_-* &quot;-&quot;??\ &quot;€&quot;_-;_-@_-"/>
    </dxf>
    <dxf>
      <numFmt numFmtId="168" formatCode="_-* #,##0\ &quot;€&quot;_-;\-* #,##0\ &quot;€&quot;_-;_-* &quot;-&quot;??\ &quot;€&quot;_-;_-@_-"/>
    </dxf>
    <dxf>
      <numFmt numFmtId="175" formatCode="_-* #,##0.0\ &quot;€&quot;_-;\-* #,##0.0\ &quot;€&quot;_-;_-* &quot;-&quot;??\ &quot;€&quot;_-;_-@_-"/>
    </dxf>
    <dxf>
      <numFmt numFmtId="165" formatCode="_(&quot;€&quot;* #,##0.00_);_(&quot;€&quot;* \(#,##0.00\);_(&quot;€&quot;* &quot;-&quot;??_);_(@_)"/>
    </dxf>
    <dxf>
      <numFmt numFmtId="165" formatCode="_(&quot;€&quot;* #,##0.00_);_(&quot;€&quot;* \(#,##0.00\);_(&quot;€&quot;* &quot;-&quot;??_);_(@_)"/>
    </dxf>
    <dxf>
      <numFmt numFmtId="166" formatCode="_-* #,##0.00\ [$€-407]_-;\-* #,##0.00\ [$€-407]_-;_-* &quot;-&quot;??\ [$€-407]_-;_-@_-"/>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b val="0"/>
      </font>
    </dxf>
    <dxf>
      <font>
        <b/>
      </font>
    </dxf>
    <dxf>
      <font>
        <b val="0"/>
      </font>
    </dxf>
    <dxf>
      <font>
        <b/>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u/>
      </font>
    </dxf>
    <dxf>
      <font>
        <b/>
      </font>
    </dxf>
    <dxf>
      <numFmt numFmtId="169" formatCode="\-"/>
    </dxf>
    <dxf>
      <numFmt numFmtId="13" formatCode="0%"/>
    </dxf>
    <dxf>
      <numFmt numFmtId="13" formatCode="0%"/>
    </dxf>
    <dxf>
      <numFmt numFmtId="168" formatCode="_-* #,##0\ &quot;€&quot;_-;\-* #,##0\ &quot;€&quot;_-;_-* &quot;-&quot;??\ &quot;€&quot;_-;_-@_-"/>
    </dxf>
    <dxf>
      <numFmt numFmtId="168" formatCode="_-* #,##0\ &quot;€&quot;_-;\-* #,##0\ &quot;€&quot;_-;_-* &quot;-&quot;??\ &quot;€&quot;_-;_-@_-"/>
    </dxf>
    <dxf>
      <numFmt numFmtId="168" formatCode="_-* #,##0\ &quot;€&quot;_-;\-* #,##0\ &quot;€&quot;_-;_-* &quot;-&quot;??\ &quot;€&quot;_-;_-@_-"/>
    </dxf>
    <dxf>
      <numFmt numFmtId="175" formatCode="_-* #,##0.0\ &quot;€&quot;_-;\-* #,##0.0\ &quot;€&quot;_-;_-* &quot;-&quot;??\ &quot;€&quot;_-;_-@_-"/>
    </dxf>
    <dxf>
      <numFmt numFmtId="165" formatCode="_(&quot;€&quot;* #,##0.00_);_(&quot;€&quot;* \(#,##0.00\);_(&quot;€&quot;* &quot;-&quot;??_);_(@_)"/>
    </dxf>
    <dxf>
      <numFmt numFmtId="165" formatCode="_(&quot;€&quot;* #,##0.00_);_(&quot;€&quot;* \(#,##0.00\);_(&quot;€&quot;* &quot;-&quot;??_);_(@_)"/>
    </dxf>
    <dxf>
      <numFmt numFmtId="165" formatCode="_(&quot;€&quot;* #,##0.00_);_(&quot;€&quot;* \(#,##0.00\);_(&quot;€&quot;* &quot;-&quot;??_);_(@_)"/>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bgColor theme="5" tint="0.79998168889431442"/>
        </patternFill>
      </fill>
    </dxf>
    <dxf>
      <fill>
        <patternFill>
          <bgColor theme="5" tint="0.79998168889431442"/>
        </patternFill>
      </fill>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numFmt numFmtId="165" formatCode="_(&quot;€&quot;* #,##0.00_);_(&quot;€&quot;* \(#,##0.00\);_(&quot;€&quot;*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font>
    </dxf>
    <dxf>
      <font>
        <u/>
      </font>
    </dxf>
    <dxf>
      <font>
        <name val="Frutiger LT Com 45 Light"/>
        <scheme val="none"/>
      </font>
      <fill>
        <patternFill patternType="solid">
          <fgColor indexed="64"/>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patternType="solid">
          <bgColor theme="2" tint="-0.249977111117893"/>
        </patternFill>
      </fill>
    </dxf>
    <dxf>
      <fill>
        <patternFill patternType="solid">
          <bgColor theme="2" tint="-0.249977111117893"/>
        </patternFill>
      </fill>
    </dxf>
    <dxf>
      <font>
        <u/>
      </font>
    </dxf>
    <dxf>
      <font>
        <b/>
      </font>
    </dxf>
    <dxf>
      <numFmt numFmtId="168" formatCode="_-* #,##0\ &quot;€&quot;_-;\-* #,##0\ &quot;€&quot;_-;_-* &quot;-&quot;??\ &quot;€&quot;_-;_-@_-"/>
    </dxf>
    <dxf>
      <numFmt numFmtId="168" formatCode="_-* #,##0\ &quot;€&quot;_-;\-* #,##0\ &quot;€&quot;_-;_-* &quot;-&quot;??\ &quot;€&quot;_-;_-@_-"/>
    </dxf>
    <dxf>
      <numFmt numFmtId="175" formatCode="_-* #,##0.0\ &quot;€&quot;_-;\-* #,##0.0\ &quot;€&quot;_-;_-* &quot;-&quot;??\ &quot;€&quot;_-;_-@_-"/>
    </dxf>
    <dxf>
      <numFmt numFmtId="165" formatCode="_(&quot;€&quot;* #,##0.00_);_(&quot;€&quot;* \(#,##0.00\);_(&quot;€&quot;* &quot;-&quot;??_);_(@_)"/>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numFmt numFmtId="165" formatCode="_(&quot;€&quot;* #,##0.00_);_(&quot;€&quot;* \(#,##0.00\);_(&quot;€&quot;* &quot;-&quot;??_);_(@_)"/>
    </dxf>
    <dxf>
      <numFmt numFmtId="165" formatCode="_(&quot;€&quot;* #,##0.00_);_(&quot;€&quot;* \(#,##0.00\);_(&quot;€&quot;* &quot;-&quot;??_);_(@_)"/>
    </dxf>
    <dxf>
      <font>
        <name val="Frutiger LT Com 45 Light"/>
        <scheme val="none"/>
      </font>
    </dxf>
    <dxf>
      <font>
        <name val="Frutiger LT Com 45 Light"/>
        <scheme val="none"/>
      </font>
    </dxf>
    <dxf>
      <font>
        <name val="Frutiger LT Com 45 Light"/>
        <scheme val="none"/>
      </font>
    </dxf>
    <dxf>
      <font>
        <u/>
      </font>
    </dxf>
    <dxf>
      <font>
        <b/>
      </font>
    </dxf>
    <dxf>
      <fill>
        <patternFill patternType="none">
          <fgColor indexed="64"/>
          <bgColor indexed="65"/>
        </patternFill>
      </fill>
    </dxf>
    <dxf>
      <numFmt numFmtId="168" formatCode="_-* #,##0\ &quot;€&quot;_-;\-* #,##0\ &quot;€&quot;_-;_-* &quot;-&quot;??\ &quot;€&quot;_-;_-@_-"/>
    </dxf>
    <dxf>
      <numFmt numFmtId="168" formatCode="_-* #,##0\ &quot;€&quot;_-;\-* #,##0\ &quot;€&quot;_-;_-* &quot;-&quot;??\ &quot;€&quot;_-;_-@_-"/>
    </dxf>
    <dxf>
      <numFmt numFmtId="175" formatCode="_-* #,##0.0\ &quot;€&quot;_-;\-* #,##0.0\ &quot;€&quot;_-;_-* &quot;-&quot;??\ &quot;€&quot;_-;_-@_-"/>
    </dxf>
    <dxf>
      <numFmt numFmtId="165" formatCode="_(&quot;€&quot;* #,##0.00_);_(&quot;€&quot;* \(#,##0.00\);_(&quot;€&quot;* &quot;-&quot;??_);_(@_)"/>
    </dxf>
    <dxf>
      <numFmt numFmtId="165" formatCode="_(&quot;€&quot;* #,##0.00_);_(&quot;€&quot;* \(#,##0.00\);_(&quot;€&quot;* &quot;-&quot;??_);_(@_)"/>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bgColor theme="5" tint="0.79998168889431442"/>
        </patternFill>
      </fill>
    </dxf>
    <dxf>
      <fill>
        <patternFill>
          <bgColor theme="5" tint="0.79998168889431442"/>
        </patternFill>
      </fill>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b val="0"/>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font>
    </dxf>
    <dxf>
      <font>
        <b/>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b/>
        <u/>
        <name val="Frutiger LT Com 45 Light"/>
        <scheme val="none"/>
      </font>
    </dxf>
    <dxf>
      <alignment horizontal="left"/>
    </dxf>
    <dxf>
      <alignment vertical="top"/>
    </dxf>
    <dxf>
      <font>
        <u/>
      </font>
    </dxf>
    <dxf>
      <font>
        <b/>
      </font>
    </dxf>
    <dxf>
      <numFmt numFmtId="168" formatCode="_-* #,##0\ &quot;€&quot;_-;\-* #,##0\ &quot;€&quot;_-;_-* &quot;-&quot;??\ &quot;€&quot;_-;_-@_-"/>
    </dxf>
    <dxf>
      <numFmt numFmtId="168" formatCode="_-* #,##0\ &quot;€&quot;_-;\-* #,##0\ &quot;€&quot;_-;_-* &quot;-&quot;??\ &quot;€&quot;_-;_-@_-"/>
    </dxf>
    <dxf>
      <numFmt numFmtId="168" formatCode="_-* #,##0\ &quot;€&quot;_-;\-* #,##0\ &quot;€&quot;_-;_-* &quot;-&quot;??\ &quot;€&quot;_-;_-@_-"/>
    </dxf>
    <dxf>
      <numFmt numFmtId="175" formatCode="_-* #,##0.0\ &quot;€&quot;_-;\-* #,##0.0\ &quot;€&quot;_-;_-* &quot;-&quot;??\ &quot;€&quot;_-;_-@_-"/>
    </dxf>
    <dxf>
      <numFmt numFmtId="165" formatCode="_(&quot;€&quot;* #,##0.00_);_(&quot;€&quot;* \(#,##0.00\);_(&quot;€&quot;* &quot;-&quot;??_);_(@_)"/>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b val="0"/>
      </font>
    </dxf>
    <dxf>
      <font>
        <b/>
      </font>
    </dxf>
    <dxf>
      <font>
        <b val="0"/>
      </font>
    </dxf>
    <dxf>
      <font>
        <b/>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u/>
      </font>
    </dxf>
    <dxf>
      <font>
        <b/>
      </font>
    </dxf>
    <dxf>
      <alignment horizontal="left"/>
    </dxf>
    <dxf>
      <alignment vertical="top"/>
    </dxf>
    <dxf>
      <font>
        <u/>
      </font>
    </dxf>
    <dxf>
      <font>
        <b/>
      </font>
    </dxf>
    <dxf>
      <numFmt numFmtId="168" formatCode="_-* #,##0\ &quot;€&quot;_-;\-* #,##0\ &quot;€&quot;_-;_-* &quot;-&quot;??\ &quot;€&quot;_-;_-@_-"/>
    </dxf>
    <dxf>
      <numFmt numFmtId="168" formatCode="_-* #,##0\ &quot;€&quot;_-;\-* #,##0\ &quot;€&quot;_-;_-* &quot;-&quot;??\ &quot;€&quot;_-;_-@_-"/>
    </dxf>
    <dxf>
      <numFmt numFmtId="168" formatCode="_-* #,##0\ &quot;€&quot;_-;\-* #,##0\ &quot;€&quot;_-;_-* &quot;-&quot;??\ &quot;€&quot;_-;_-@_-"/>
    </dxf>
    <dxf>
      <numFmt numFmtId="175" formatCode="_-* #,##0.0\ &quot;€&quot;_-;\-* #,##0.0\ &quot;€&quot;_-;_-* &quot;-&quot;??\ &quot;€&quot;_-;_-@_-"/>
    </dxf>
    <dxf>
      <numFmt numFmtId="165" formatCode="_(&quot;€&quot;* #,##0.00_);_(&quot;€&quot;* \(#,##0.00\);_(&quot;€&quot;* &quot;-&quot;??_);_(@_)"/>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b val="0"/>
      </font>
    </dxf>
    <dxf>
      <font>
        <b/>
      </font>
    </dxf>
    <dxf>
      <font>
        <b val="0"/>
      </font>
    </dxf>
    <dxf>
      <font>
        <b/>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u/>
      </font>
    </dxf>
    <dxf>
      <font>
        <b/>
      </font>
    </dxf>
    <dxf>
      <numFmt numFmtId="168" formatCode="_-* #,##0\ &quot;€&quot;_-;\-* #,##0\ &quot;€&quot;_-;_-* &quot;-&quot;??\ &quot;€&quot;_-;_-@_-"/>
    </dxf>
    <dxf>
      <numFmt numFmtId="168" formatCode="_-* #,##0\ &quot;€&quot;_-;\-* #,##0\ &quot;€&quot;_-;_-* &quot;-&quot;??\ &quot;€&quot;_-;_-@_-"/>
    </dxf>
    <dxf>
      <numFmt numFmtId="168" formatCode="_-* #,##0\ &quot;€&quot;_-;\-* #,##0\ &quot;€&quot;_-;_-* &quot;-&quot;??\ &quot;€&quot;_-;_-@_-"/>
    </dxf>
    <dxf>
      <numFmt numFmtId="168" formatCode="_-* #,##0\ &quot;€&quot;_-;\-* #,##0\ &quot;€&quot;_-;_-* &quot;-&quot;??\ &quot;€&quot;_-;_-@_-"/>
    </dxf>
    <dxf>
      <numFmt numFmtId="168" formatCode="_-* #,##0\ &quot;€&quot;_-;\-* #,##0\ &quot;€&quot;_-;_-* &quot;-&quot;??\ &quot;€&quot;_-;_-@_-"/>
    </dxf>
    <dxf>
      <numFmt numFmtId="175" formatCode="_-* #,##0.0\ &quot;€&quot;_-;\-* #,##0.0\ &quot;€&quot;_-;_-* &quot;-&quot;??\ &quot;€&quot;_-;_-@_-"/>
    </dxf>
    <dxf>
      <numFmt numFmtId="165" formatCode="_(&quot;€&quot;* #,##0.00_);_(&quot;€&quot;* \(#,##0.00\);_(&quot;€&quot;* &quot;-&quot;??_);_(@_)"/>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bgColor theme="5" tint="0.79998168889431442"/>
        </patternFill>
      </fill>
    </dxf>
    <dxf>
      <fill>
        <patternFill>
          <bgColor theme="5" tint="0.79998168889431442"/>
        </patternFill>
      </fill>
    </dxf>
    <dxf>
      <numFmt numFmtId="165" formatCode="_(&quot;€&quot;* #,##0.00_);_(&quot;€&quot;* \(#,##0.00\);_(&quot;€&quot;* &quot;-&quot;??_);_(@_)"/>
    </dxf>
    <dxf>
      <numFmt numFmtId="165" formatCode="_(&quot;€&quot;* #,##0.00_);_(&quot;€&quot;* \(#,##0.00\);_(&quot;€&quot;* &quot;-&quot;??_);_(@_)"/>
    </dxf>
    <dxf>
      <font>
        <name val="Frutiger LT Com 45 Light"/>
        <scheme val="none"/>
      </font>
    </dxf>
    <dxf>
      <font>
        <name val="Frutiger LT Com 45 Light"/>
        <scheme val="none"/>
      </font>
    </dxf>
    <dxf>
      <font>
        <name val="Frutiger LT Com 45 Light"/>
        <scheme val="none"/>
      </font>
    </dxf>
    <dxf>
      <font>
        <name val="Frutiger LT Com 45 Light"/>
        <scheme val="none"/>
      </font>
    </dxf>
    <dxf>
      <font>
        <u/>
      </font>
    </dxf>
    <dxf>
      <font>
        <b/>
      </font>
    </dxf>
    <dxf>
      <numFmt numFmtId="168" formatCode="_-* #,##0\ &quot;€&quot;_-;\-* #,##0\ &quot;€&quot;_-;_-* &quot;-&quot;??\ &quot;€&quot;_-;_-@_-"/>
    </dxf>
    <dxf>
      <numFmt numFmtId="168" formatCode="_-* #,##0\ &quot;€&quot;_-;\-* #,##0\ &quot;€&quot;_-;_-* &quot;-&quot;??\ &quot;€&quot;_-;_-@_-"/>
    </dxf>
    <dxf>
      <numFmt numFmtId="175" formatCode="_-* #,##0.0\ &quot;€&quot;_-;\-* #,##0.0\ &quot;€&quot;_-;_-* &quot;-&quot;??\ &quot;€&quot;_-;_-@_-"/>
    </dxf>
    <dxf>
      <numFmt numFmtId="165" formatCode="_(&quot;€&quot;* #,##0.00_);_(&quot;€&quot;* \(#,##0.00\);_(&quot;€&quot;* &quot;-&quot;??_);_(@_)"/>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font>
        <name val="Frutiger LT Com 45 Light"/>
        <scheme val="none"/>
      </font>
    </dxf>
    <dxf>
      <numFmt numFmtId="165" formatCode="_(&quot;€&quot;* #,##0.00_);_(&quot;€&quot;* \(#,##0.00\);_(&quot;€&quot;* &quot;-&quot;??_);_(@_)"/>
    </dxf>
    <dxf>
      <numFmt numFmtId="165" formatCode="_(&quot;€&quot;* #,##0.00_);_(&quot;€&quot;* \(#,##0.00\);_(&quot;€&quot;* &quot;-&quot;??_);_(@_)"/>
    </dxf>
    <dxf>
      <font>
        <name val="Frutiger LT Com 45 Light"/>
        <scheme val="none"/>
      </font>
    </dxf>
    <dxf>
      <font>
        <name val="Frutiger LT Com 45 Light"/>
        <scheme val="none"/>
      </font>
    </dxf>
    <dxf>
      <font>
        <name val="Frutiger LT Com 45 Light"/>
        <scheme val="none"/>
      </font>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border>
        <left style="thin">
          <color indexed="64"/>
        </left>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border diagonalUp="0" diagonalDown="0">
        <left style="thin">
          <color indexed="64"/>
        </left>
        <right style="thin">
          <color indexed="64"/>
        </right>
        <top/>
        <bottom/>
        <vertical/>
        <horizontal/>
      </border>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6" formatCode="_-* #,##0.00\ [$€-407]_-;\-* #,##0.00\ [$€-407]_-;_-* &quot;-&quot;??\ [$€-407]_-;_-@_-"/>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65" formatCode="_(&quot;€&quot;* #,##0.00_);_(&quot;€&quot;* \(#,##0.00\);_(&quot;€&quot;*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Frutiger LT Com 45 Light"/>
        <scheme val="none"/>
      </font>
      <numFmt numFmtId="173" formatCode="m/d/yyyy"/>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73" formatCode="m/d/yyyy"/>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73" formatCode="m/d/yyyy"/>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73" formatCode="m/d/yyyy"/>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73" formatCode="m/d/yyyy"/>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73" formatCode="m/d/yyyy"/>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73" formatCode="m/d/yyyy"/>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73" formatCode="m/d/yyyy"/>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73" formatCode="m/d/yyyy"/>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73" formatCode="m/d/yyyy"/>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72" formatCode="_-[$R$-416]\ * #,##0.00_-;\-[$R$-416]\ * #,##0.00_-;_-[$R$-416]\ * &quot;-&quot;??_-;_-@_-"/>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173" formatCode="m/d/yyyy"/>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border diagonalUp="0" diagonalDown="0" outline="0">
        <left style="thin">
          <color indexed="64"/>
        </left>
        <right/>
        <top/>
        <bottom/>
      </border>
      <protection locked="0" hidden="0"/>
    </dxf>
    <dxf>
      <font>
        <b val="0"/>
        <i val="0"/>
        <strike val="0"/>
        <condense val="0"/>
        <extend val="0"/>
        <outline val="0"/>
        <shadow val="0"/>
        <u val="none"/>
        <vertAlign val="baseline"/>
        <sz val="11"/>
        <color auto="1"/>
        <name val="Frutiger LT Com 45 Light"/>
        <scheme val="none"/>
      </font>
      <numFmt numFmtId="0" formatCode="Genera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Frutiger LT Com 45 Light"/>
        <scheme val="none"/>
      </font>
      <numFmt numFmtId="0" formatCode="General"/>
      <fill>
        <patternFill patternType="solid">
          <fgColor indexed="64"/>
          <bgColor rgb="FFD3DD88"/>
        </patternFill>
      </fill>
      <alignment horizontal="center" vertical="center" textRotation="0" wrapText="1" indent="0" justifyLastLine="0" shrinkToFit="0" readingOrder="0"/>
      <protection locked="0" hidden="0"/>
    </dxf>
  </dxfs>
  <tableStyles count="1" defaultTableStyle="TableStyleMedium2" defaultPivotStyle="PivotStyleLight16">
    <tableStyle name="PivotTable-Format 1" table="0" count="0" xr9:uid="{00000000-0011-0000-FFFF-FFFF00000000}"/>
  </tableStyles>
  <colors>
    <mruColors>
      <color rgb="FF12977A"/>
      <color rgb="FFD3DD88"/>
      <color rgb="FFB6C932"/>
      <color rgb="FFB5C82E"/>
      <color rgb="FFF9E9CA"/>
      <color rgb="FFDC911B"/>
      <color rgb="FFD8E5F6"/>
      <color rgb="FF4F80C1"/>
      <color rgb="FFBEDB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[FPC@ITA Acquisition Funnel_vFinal95.xlsm]Prospection Funnels !PivotTable3</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Frutiger 45 Light" panose="020B0300000000000000" pitchFamily="34" charset="0"/>
                <a:ea typeface="+mn-ea"/>
                <a:cs typeface="+mn-cs"/>
              </a:defRPr>
            </a:pPr>
            <a:r>
              <a:rPr lang="en-US">
                <a:solidFill>
                  <a:sysClr val="windowText" lastClr="000000"/>
                </a:solidFill>
                <a:latin typeface="Frutiger 45 Light" panose="020B0300000000000000" pitchFamily="34" charset="0"/>
              </a:rPr>
              <a:t>Attended</a:t>
            </a:r>
            <a:r>
              <a:rPr lang="en-US" baseline="0">
                <a:solidFill>
                  <a:sysClr val="windowText" lastClr="000000"/>
                </a:solidFill>
                <a:latin typeface="Frutiger 45 Light" panose="020B0300000000000000" pitchFamily="34" charset="0"/>
              </a:rPr>
              <a:t> </a:t>
            </a:r>
            <a:r>
              <a:rPr lang="en-US">
                <a:solidFill>
                  <a:sysClr val="windowText" lastClr="000000"/>
                </a:solidFill>
                <a:latin typeface="Frutiger 45 Light" panose="020B0300000000000000" pitchFamily="34" charset="0"/>
              </a:rPr>
              <a:t>Industrial Sectors (ITA)</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Frutiger 45 Light" panose="020B0300000000000000" pitchFamily="34" charset="0"/>
              <a:ea typeface="+mn-ea"/>
              <a:cs typeface="+mn-cs"/>
            </a:defRPr>
          </a:pPr>
          <a:endParaRPr lang="de-D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s>
    <c:plotArea>
      <c:layout/>
      <c:pieChart>
        <c:varyColors val="1"/>
        <c:ser>
          <c:idx val="0"/>
          <c:order val="0"/>
          <c:tx>
            <c:strRef>
              <c:f>'Prospection Funnels '!$T$9</c:f>
              <c:strCache>
                <c:ptCount val="1"/>
                <c:pt idx="0">
                  <c:v>Ergebnis</c:v>
                </c:pt>
              </c:strCache>
            </c:strRef>
          </c:tx>
          <c:dPt>
            <c:idx val="0"/>
            <c:bubble3D val="0"/>
            <c:spPr>
              <a:solidFill>
                <a:schemeClr val="accent1"/>
              </a:solidFill>
              <a:ln>
                <a:noFill/>
              </a:ln>
              <a:effectLst/>
            </c:spPr>
            <c:extLst>
              <c:ext xmlns:c16="http://schemas.microsoft.com/office/drawing/2014/chart" uri="{C3380CC4-5D6E-409C-BE32-E72D297353CC}">
                <c16:uniqueId val="{00000001-8665-4F62-AACC-6A84EEF1A02D}"/>
              </c:ext>
            </c:extLst>
          </c:dPt>
          <c:dPt>
            <c:idx val="1"/>
            <c:bubble3D val="0"/>
            <c:spPr>
              <a:solidFill>
                <a:schemeClr val="accent2"/>
              </a:solidFill>
              <a:ln>
                <a:noFill/>
              </a:ln>
              <a:effectLst/>
            </c:spPr>
            <c:extLst>
              <c:ext xmlns:c16="http://schemas.microsoft.com/office/drawing/2014/chart" uri="{C3380CC4-5D6E-409C-BE32-E72D297353CC}">
                <c16:uniqueId val="{00000003-8665-4F62-AACC-6A84EEF1A02D}"/>
              </c:ext>
            </c:extLst>
          </c:dPt>
          <c:dPt>
            <c:idx val="2"/>
            <c:bubble3D val="0"/>
            <c:spPr>
              <a:solidFill>
                <a:schemeClr val="accent3"/>
              </a:solidFill>
              <a:ln>
                <a:noFill/>
              </a:ln>
              <a:effectLst/>
            </c:spPr>
            <c:extLst>
              <c:ext xmlns:c16="http://schemas.microsoft.com/office/drawing/2014/chart" uri="{C3380CC4-5D6E-409C-BE32-E72D297353CC}">
                <c16:uniqueId val="{00000005-8665-4F62-AACC-6A84EEF1A02D}"/>
              </c:ext>
            </c:extLst>
          </c:dPt>
          <c:dPt>
            <c:idx val="3"/>
            <c:bubble3D val="0"/>
            <c:spPr>
              <a:solidFill>
                <a:schemeClr val="accent4"/>
              </a:solidFill>
              <a:ln>
                <a:noFill/>
              </a:ln>
              <a:effectLst/>
            </c:spPr>
            <c:extLst>
              <c:ext xmlns:c16="http://schemas.microsoft.com/office/drawing/2014/chart" uri="{C3380CC4-5D6E-409C-BE32-E72D297353CC}">
                <c16:uniqueId val="{00000007-8665-4F62-AACC-6A84EEF1A02D}"/>
              </c:ext>
            </c:extLst>
          </c:dPt>
          <c:dPt>
            <c:idx val="4"/>
            <c:bubble3D val="0"/>
            <c:spPr>
              <a:solidFill>
                <a:schemeClr val="accent5"/>
              </a:solidFill>
              <a:ln>
                <a:noFill/>
              </a:ln>
              <a:effectLst/>
            </c:spPr>
            <c:extLst>
              <c:ext xmlns:c16="http://schemas.microsoft.com/office/drawing/2014/chart" uri="{C3380CC4-5D6E-409C-BE32-E72D297353CC}">
                <c16:uniqueId val="{00000009-8665-4F62-AACC-6A84EEF1A02D}"/>
              </c:ext>
            </c:extLst>
          </c:dPt>
          <c:dPt>
            <c:idx val="5"/>
            <c:bubble3D val="0"/>
            <c:spPr>
              <a:solidFill>
                <a:schemeClr val="accent6"/>
              </a:solidFill>
              <a:ln>
                <a:noFill/>
              </a:ln>
              <a:effectLst/>
            </c:spPr>
            <c:extLst>
              <c:ext xmlns:c16="http://schemas.microsoft.com/office/drawing/2014/chart" uri="{C3380CC4-5D6E-409C-BE32-E72D297353CC}">
                <c16:uniqueId val="{0000000B-8665-4F62-AACC-6A84EEF1A02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AC77-4512-926C-0E88801EBB19}"/>
              </c:ext>
            </c:extLst>
          </c:dPt>
          <c:cat>
            <c:strRef>
              <c:f>'Prospection Funnels '!$S$10:$S$16</c:f>
              <c:strCache>
                <c:ptCount val="6"/>
                <c:pt idx="0">
                  <c:v>Aerospace</c:v>
                </c:pt>
                <c:pt idx="1">
                  <c:v>Automotive</c:v>
                </c:pt>
                <c:pt idx="2">
                  <c:v>Energy</c:v>
                </c:pt>
                <c:pt idx="3">
                  <c:v>Metalworks</c:v>
                </c:pt>
                <c:pt idx="4">
                  <c:v>Oil &amp; Gas</c:v>
                </c:pt>
                <c:pt idx="5">
                  <c:v>Other</c:v>
                </c:pt>
              </c:strCache>
            </c:strRef>
          </c:cat>
          <c:val>
            <c:numRef>
              <c:f>'Prospection Funnels '!$T$10:$T$16</c:f>
              <c:numCache>
                <c:formatCode>_("$"* #.##000_);_("$"* \(#.##000\);_("$"* "-"??_);_(@_)</c:formatCode>
                <c:ptCount val="6"/>
                <c:pt idx="0">
                  <c:v>151139.46567849189</c:v>
                </c:pt>
                <c:pt idx="1">
                  <c:v>1830913.4243894722</c:v>
                </c:pt>
                <c:pt idx="2">
                  <c:v>60331.825037707393</c:v>
                </c:pt>
                <c:pt idx="3">
                  <c:v>491116.49289623823</c:v>
                </c:pt>
                <c:pt idx="4">
                  <c:v>2134026.1186240171</c:v>
                </c:pt>
                <c:pt idx="5">
                  <c:v>58621.518657258144</c:v>
                </c:pt>
              </c:numCache>
            </c:numRef>
          </c:val>
          <c:extLst>
            <c:ext xmlns:c16="http://schemas.microsoft.com/office/drawing/2014/chart" uri="{C3380CC4-5D6E-409C-BE32-E72D297353CC}">
              <c16:uniqueId val="{00000000-FD3B-4684-BF7E-78F4F4FF1D7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Frutiger 45 Light" panose="020B0300000000000000" pitchFamily="34" charset="0"/>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[FPC@ITA Acquisition Funnel_vFinal95.xlsm]Prospection Funnels !PivotTable5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Frutiger 45 Light" panose="020B0300000000000000" pitchFamily="34" charset="0"/>
                <a:ea typeface="+mn-ea"/>
                <a:cs typeface="+mn-cs"/>
              </a:defRPr>
            </a:pPr>
            <a:r>
              <a:rPr lang="en-US">
                <a:solidFill>
                  <a:sysClr val="windowText" lastClr="000000"/>
                </a:solidFill>
                <a:latin typeface="Frutiger 45 Light" panose="020B0300000000000000" pitchFamily="34" charset="0"/>
              </a:rPr>
              <a:t>Attended</a:t>
            </a:r>
            <a:r>
              <a:rPr lang="en-US" baseline="0">
                <a:solidFill>
                  <a:sysClr val="windowText" lastClr="000000"/>
                </a:solidFill>
                <a:latin typeface="Frutiger 45 Light" panose="020B0300000000000000" pitchFamily="34" charset="0"/>
              </a:rPr>
              <a:t> Industrial Sectors (IPK)</a:t>
            </a:r>
            <a:endParaRPr lang="en-US">
              <a:solidFill>
                <a:sysClr val="windowText" lastClr="000000"/>
              </a:solidFill>
              <a:latin typeface="Frutiger 45 Light" panose="020B0300000000000000"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Frutiger 45 Light" panose="020B0300000000000000" pitchFamily="34" charset="0"/>
              <a:ea typeface="+mn-ea"/>
              <a:cs typeface="+mn-cs"/>
            </a:defRPr>
          </a:pPr>
          <a:endParaRPr lang="de-D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'Prospection Funnels '!$W$9</c:f>
              <c:strCache>
                <c:ptCount val="1"/>
                <c:pt idx="0">
                  <c:v>Ergebnis</c:v>
                </c:pt>
              </c:strCache>
            </c:strRef>
          </c:tx>
          <c:dPt>
            <c:idx val="0"/>
            <c:bubble3D val="0"/>
            <c:spPr>
              <a:solidFill>
                <a:schemeClr val="accent1"/>
              </a:solidFill>
              <a:ln>
                <a:noFill/>
              </a:ln>
              <a:effectLst/>
            </c:spPr>
            <c:extLst>
              <c:ext xmlns:c16="http://schemas.microsoft.com/office/drawing/2014/chart" uri="{C3380CC4-5D6E-409C-BE32-E72D297353CC}">
                <c16:uniqueId val="{00000001-9BB2-41CC-B835-1A070A385417}"/>
              </c:ext>
            </c:extLst>
          </c:dPt>
          <c:dPt>
            <c:idx val="1"/>
            <c:bubble3D val="0"/>
            <c:spPr>
              <a:solidFill>
                <a:schemeClr val="accent2"/>
              </a:solidFill>
              <a:ln>
                <a:noFill/>
              </a:ln>
              <a:effectLst/>
            </c:spPr>
            <c:extLst>
              <c:ext xmlns:c16="http://schemas.microsoft.com/office/drawing/2014/chart" uri="{C3380CC4-5D6E-409C-BE32-E72D297353CC}">
                <c16:uniqueId val="{00000003-9BB2-41CC-B835-1A070A385417}"/>
              </c:ext>
            </c:extLst>
          </c:dPt>
          <c:cat>
            <c:strRef>
              <c:f>'Prospection Funnels '!$V$10:$V$12</c:f>
              <c:strCache>
                <c:ptCount val="2"/>
                <c:pt idx="0">
                  <c:v>Metalworks</c:v>
                </c:pt>
                <c:pt idx="1">
                  <c:v>Other</c:v>
                </c:pt>
              </c:strCache>
            </c:strRef>
          </c:cat>
          <c:val>
            <c:numRef>
              <c:f>'Prospection Funnels '!$W$10:$W$12</c:f>
              <c:numCache>
                <c:formatCode>General</c:formatCode>
                <c:ptCount val="2"/>
                <c:pt idx="0">
                  <c:v>319000</c:v>
                </c:pt>
                <c:pt idx="1">
                  <c:v>3473151</c:v>
                </c:pt>
              </c:numCache>
            </c:numRef>
          </c:val>
          <c:extLst>
            <c:ext xmlns:c16="http://schemas.microsoft.com/office/drawing/2014/chart" uri="{C3380CC4-5D6E-409C-BE32-E72D297353CC}">
              <c16:uniqueId val="{00000000-C5C5-43BD-821B-AAD3F2F3AB0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Frutiger 45 Light" panose="020B0300000000000000" pitchFamily="34" charset="0"/>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[FPC@ITA Acquisition Funnel_vFinal95.xlsm]Prospection Funnels !PivotTable6</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Frutiger 45 Light" panose="020B0300000000000000" pitchFamily="34" charset="0"/>
                <a:ea typeface="+mn-ea"/>
                <a:cs typeface="+mn-cs"/>
              </a:defRPr>
            </a:pPr>
            <a:r>
              <a:rPr lang="en-US">
                <a:solidFill>
                  <a:sysClr val="windowText" lastClr="000000"/>
                </a:solidFill>
                <a:latin typeface="Frutiger 45 Light" panose="020B0300000000000000" pitchFamily="34" charset="0"/>
              </a:rPr>
              <a:t>Attended Industrial Sectors (IPK &amp; ITA)</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Frutiger 45 Light" panose="020B0300000000000000" pitchFamily="34" charset="0"/>
              <a:ea typeface="+mn-ea"/>
              <a:cs typeface="+mn-cs"/>
            </a:defRPr>
          </a:pPr>
          <a:endParaRPr lang="de-D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'Prospection Funnels '!$Z$9</c:f>
              <c:strCache>
                <c:ptCount val="1"/>
                <c:pt idx="0">
                  <c:v>Ergebnis</c:v>
                </c:pt>
              </c:strCache>
            </c:strRef>
          </c:tx>
          <c:dPt>
            <c:idx val="0"/>
            <c:bubble3D val="0"/>
            <c:spPr>
              <a:solidFill>
                <a:schemeClr val="accent1"/>
              </a:solidFill>
              <a:ln>
                <a:noFill/>
              </a:ln>
              <a:effectLst/>
            </c:spPr>
            <c:extLst>
              <c:ext xmlns:c16="http://schemas.microsoft.com/office/drawing/2014/chart" uri="{C3380CC4-5D6E-409C-BE32-E72D297353CC}">
                <c16:uniqueId val="{00000001-5F55-4278-BDF4-9B56FC28A04D}"/>
              </c:ext>
            </c:extLst>
          </c:dPt>
          <c:dPt>
            <c:idx val="1"/>
            <c:bubble3D val="0"/>
            <c:spPr>
              <a:solidFill>
                <a:schemeClr val="accent2"/>
              </a:solidFill>
              <a:ln>
                <a:noFill/>
              </a:ln>
              <a:effectLst/>
            </c:spPr>
            <c:extLst>
              <c:ext xmlns:c16="http://schemas.microsoft.com/office/drawing/2014/chart" uri="{C3380CC4-5D6E-409C-BE32-E72D297353CC}">
                <c16:uniqueId val="{00000003-5F55-4278-BDF4-9B56FC28A04D}"/>
              </c:ext>
            </c:extLst>
          </c:dPt>
          <c:dPt>
            <c:idx val="2"/>
            <c:bubble3D val="0"/>
            <c:spPr>
              <a:solidFill>
                <a:schemeClr val="accent3"/>
              </a:solidFill>
              <a:ln>
                <a:noFill/>
              </a:ln>
              <a:effectLst/>
            </c:spPr>
            <c:extLst>
              <c:ext xmlns:c16="http://schemas.microsoft.com/office/drawing/2014/chart" uri="{C3380CC4-5D6E-409C-BE32-E72D297353CC}">
                <c16:uniqueId val="{00000005-E3FF-4C07-8A3B-F1FB376158D3}"/>
              </c:ext>
            </c:extLst>
          </c:dPt>
          <c:cat>
            <c:strRef>
              <c:f>'Prospection Funnels '!$Y$10:$Y$13</c:f>
              <c:strCache>
                <c:ptCount val="3"/>
                <c:pt idx="0">
                  <c:v>Automotive</c:v>
                </c:pt>
                <c:pt idx="1">
                  <c:v>Metalworks</c:v>
                </c:pt>
                <c:pt idx="2">
                  <c:v>Other</c:v>
                </c:pt>
              </c:strCache>
            </c:strRef>
          </c:cat>
          <c:val>
            <c:numRef>
              <c:f>'Prospection Funnels '!$Z$10:$Z$13</c:f>
              <c:numCache>
                <c:formatCode>General</c:formatCode>
                <c:ptCount val="3"/>
                <c:pt idx="0">
                  <c:v>391518.57835218089</c:v>
                </c:pt>
                <c:pt idx="1">
                  <c:v>61388.059701492537</c:v>
                </c:pt>
                <c:pt idx="2">
                  <c:v>363772.29679200205</c:v>
                </c:pt>
              </c:numCache>
            </c:numRef>
          </c:val>
          <c:extLst>
            <c:ext xmlns:c16="http://schemas.microsoft.com/office/drawing/2014/chart" uri="{C3380CC4-5D6E-409C-BE32-E72D297353CC}">
              <c16:uniqueId val="{00000000-FF6B-4292-9EEC-295421E1274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Frutiger 45 Light" panose="020B0300000000000000" pitchFamily="34" charset="0"/>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133350</xdr:colOff>
      <xdr:row>0</xdr:row>
      <xdr:rowOff>123825</xdr:rowOff>
    </xdr:from>
    <xdr:to>
      <xdr:col>14</xdr:col>
      <xdr:colOff>183047</xdr:colOff>
      <xdr:row>29</xdr:row>
      <xdr:rowOff>6946</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33350" y="123825"/>
          <a:ext cx="11251097" cy="522347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38100</xdr:colOff>
          <xdr:row>25</xdr:row>
          <xdr:rowOff>38100</xdr:rowOff>
        </xdr:from>
        <xdr:to>
          <xdr:col>14</xdr:col>
          <xdr:colOff>28575</xdr:colOff>
          <xdr:row>26</xdr:row>
          <xdr:rowOff>66675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000-000002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de-DE" sz="1200" b="0" i="0" u="none" strike="noStrike" baseline="0">
                  <a:solidFill>
                    <a:srgbClr val="000000"/>
                  </a:solidFill>
                  <a:latin typeface="Frutiger LT Com 45 Light"/>
                </a:rPr>
                <a:t>Save as and logout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26</xdr:row>
          <xdr:rowOff>85725</xdr:rowOff>
        </xdr:from>
        <xdr:to>
          <xdr:col>14</xdr:col>
          <xdr:colOff>28575</xdr:colOff>
          <xdr:row>28</xdr:row>
          <xdr:rowOff>28575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000-000003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de-DE" sz="1200" b="0" i="0" u="none" strike="noStrike" baseline="0">
                  <a:solidFill>
                    <a:srgbClr val="000000"/>
                  </a:solidFill>
                  <a:latin typeface="Frutiger LT Com 45 Light"/>
                </a:rPr>
                <a:t>Logout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23</xdr:row>
          <xdr:rowOff>76200</xdr:rowOff>
        </xdr:from>
        <xdr:to>
          <xdr:col>14</xdr:col>
          <xdr:colOff>28575</xdr:colOff>
          <xdr:row>25</xdr:row>
          <xdr:rowOff>28575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de-DE" sz="1200" b="0" i="0" u="none" strike="noStrike" baseline="0">
                  <a:solidFill>
                    <a:srgbClr val="000000"/>
                  </a:solidFill>
                  <a:latin typeface="Frutiger LT Com 45 Light"/>
                </a:rPr>
                <a:t>Login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180975</xdr:colOff>
          <xdr:row>0</xdr:row>
          <xdr:rowOff>47625</xdr:rowOff>
        </xdr:from>
        <xdr:to>
          <xdr:col>0</xdr:col>
          <xdr:colOff>2181225</xdr:colOff>
          <xdr:row>0</xdr:row>
          <xdr:rowOff>333375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000" b="0" i="0" u="none" strike="noStrike" baseline="0">
                  <a:solidFill>
                    <a:srgbClr val="000000"/>
                  </a:solidFill>
                  <a:latin typeface="Frutiger LT Com 45 Light"/>
                </a:rPr>
                <a:t>Insert new row on top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66675</xdr:rowOff>
        </xdr:from>
        <xdr:to>
          <xdr:col>1</xdr:col>
          <xdr:colOff>790575</xdr:colOff>
          <xdr:row>3</xdr:row>
          <xdr:rowOff>28575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de-DE" sz="1400" b="0" i="0" u="none" strike="noStrike" baseline="0">
                  <a:solidFill>
                    <a:srgbClr val="000000"/>
                  </a:solidFill>
                  <a:latin typeface="Frutiger LT Com 45 Light"/>
                </a:rPr>
                <a:t>Update Summary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0</xdr:colOff>
      <xdr:row>3</xdr:row>
      <xdr:rowOff>47625</xdr:rowOff>
    </xdr:from>
    <xdr:to>
      <xdr:col>13</xdr:col>
      <xdr:colOff>173036</xdr:colOff>
      <xdr:row>28</xdr:row>
      <xdr:rowOff>162373</xdr:rowOff>
    </xdr:to>
    <xdr:grpSp>
      <xdr:nvGrpSpPr>
        <xdr:cNvPr id="2" name="Gruppieren 1">
          <a:extLst>
            <a:ext uri="{FF2B5EF4-FFF2-40B4-BE49-F238E27FC236}">
              <a16:creationId xmlns:a16="http://schemas.microsoft.com/office/drawing/2014/main" id="{00000000-0008-0000-0300-000002000000}"/>
            </a:ext>
          </a:extLst>
        </xdr:cNvPr>
        <xdr:cNvGrpSpPr/>
      </xdr:nvGrpSpPr>
      <xdr:grpSpPr>
        <a:xfrm>
          <a:off x="802980" y="595867"/>
          <a:ext cx="9808792" cy="4683425"/>
          <a:chOff x="281095" y="1020983"/>
          <a:chExt cx="9317036" cy="4877248"/>
        </a:xfrm>
      </xdr:grpSpPr>
      <xdr:sp macro="" textlink="">
        <xdr:nvSpPr>
          <xdr:cNvPr id="3" name="Rechteck 2">
            <a:extLst>
              <a:ext uri="{FF2B5EF4-FFF2-40B4-BE49-F238E27FC236}">
                <a16:creationId xmlns:a16="http://schemas.microsoft.com/office/drawing/2014/main" id="{00000000-0008-0000-0300-000003000000}"/>
              </a:ext>
            </a:extLst>
          </xdr:cNvPr>
          <xdr:cNvSpPr/>
        </xdr:nvSpPr>
        <xdr:spPr bwMode="auto">
          <a:xfrm>
            <a:off x="281095" y="1020983"/>
            <a:ext cx="9317036" cy="4877248"/>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horz" wrap="square" lIns="88363" tIns="44181" rIns="88363" bIns="44181" numCol="1" rtlCol="0" anchor="t"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61"/>
            <a:endParaRPr lang="en-GB" sz="1517">
              <a:solidFill>
                <a:srgbClr val="000000"/>
              </a:solidFill>
              <a:latin typeface="Frutiger LT Com 45 Light" panose="020B0303030504020204" pitchFamily="34" charset="0"/>
            </a:endParaRPr>
          </a:p>
        </xdr:txBody>
      </xdr:sp>
      <xdr:grpSp>
        <xdr:nvGrpSpPr>
          <xdr:cNvPr id="4" name="Gruppieren 3">
            <a:extLst>
              <a:ext uri="{FF2B5EF4-FFF2-40B4-BE49-F238E27FC236}">
                <a16:creationId xmlns:a16="http://schemas.microsoft.com/office/drawing/2014/main" id="{00000000-0008-0000-0300-000004000000}"/>
              </a:ext>
            </a:extLst>
          </xdr:cNvPr>
          <xdr:cNvGrpSpPr/>
        </xdr:nvGrpSpPr>
        <xdr:grpSpPr>
          <a:xfrm>
            <a:off x="2708768" y="1270831"/>
            <a:ext cx="4485289" cy="3995491"/>
            <a:chOff x="2205857" y="1557195"/>
            <a:chExt cx="4690243" cy="3775721"/>
          </a:xfrm>
          <a:effectLst>
            <a:outerShdw blurRad="660400" dir="18900000" sy="23000" kx="-1200000" algn="bl" rotWithShape="0">
              <a:prstClr val="black">
                <a:alpha val="20000"/>
              </a:prstClr>
            </a:outerShdw>
          </a:effectLst>
        </xdr:grpSpPr>
        <xdr:sp macro="" textlink="">
          <xdr:nvSpPr>
            <xdr:cNvPr id="103" name="Freeform 11">
              <a:extLst>
                <a:ext uri="{FF2B5EF4-FFF2-40B4-BE49-F238E27FC236}">
                  <a16:creationId xmlns:a16="http://schemas.microsoft.com/office/drawing/2014/main" id="{00000000-0008-0000-0300-000067000000}"/>
                </a:ext>
              </a:extLst>
            </xdr:cNvPr>
            <xdr:cNvSpPr>
              <a:spLocks/>
            </xdr:cNvSpPr>
          </xdr:nvSpPr>
          <xdr:spPr bwMode="auto">
            <a:xfrm>
              <a:off x="2214001" y="1849909"/>
              <a:ext cx="4682099" cy="988263"/>
            </a:xfrm>
            <a:custGeom>
              <a:avLst/>
              <a:gdLst>
                <a:gd name="T0" fmla="*/ 2147483647 w 963"/>
                <a:gd name="T1" fmla="*/ 829454232 h 203"/>
                <a:gd name="T2" fmla="*/ 0 w 963"/>
                <a:gd name="T3" fmla="*/ 0 h 203"/>
                <a:gd name="T4" fmla="*/ 1617851877 w 963"/>
                <a:gd name="T5" fmla="*/ 2147483647 h 203"/>
                <a:gd name="T6" fmla="*/ 1709772276 w 963"/>
                <a:gd name="T7" fmla="*/ 2147483647 h 203"/>
                <a:gd name="T8" fmla="*/ 2147483647 w 963"/>
                <a:gd name="T9" fmla="*/ 2147483647 h 203"/>
                <a:gd name="T10" fmla="*/ 2147483647 w 963"/>
                <a:gd name="T11" fmla="*/ 2147483647 h 203"/>
                <a:gd name="T12" fmla="*/ 2147483647 w 963"/>
                <a:gd name="T13" fmla="*/ 2147483647 h 203"/>
                <a:gd name="T14" fmla="*/ 2147483647 w 963"/>
                <a:gd name="T15" fmla="*/ 0 h 203"/>
                <a:gd name="T16" fmla="*/ 2147483647 w 963"/>
                <a:gd name="T17" fmla="*/ 829454232 h 20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63"/>
                <a:gd name="T28" fmla="*/ 0 h 203"/>
                <a:gd name="T29" fmla="*/ 963 w 963"/>
                <a:gd name="T30" fmla="*/ 203 h 20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63" h="203">
                  <a:moveTo>
                    <a:pt x="481" y="45"/>
                  </a:moveTo>
                  <a:cubicBezTo>
                    <a:pt x="237" y="45"/>
                    <a:pt x="35" y="25"/>
                    <a:pt x="0" y="0"/>
                  </a:cubicBezTo>
                  <a:cubicBezTo>
                    <a:pt x="88" y="153"/>
                    <a:pt x="88" y="153"/>
                    <a:pt x="88" y="153"/>
                  </a:cubicBezTo>
                  <a:cubicBezTo>
                    <a:pt x="93" y="160"/>
                    <a:pt x="93" y="160"/>
                    <a:pt x="93" y="160"/>
                  </a:cubicBezTo>
                  <a:cubicBezTo>
                    <a:pt x="121" y="185"/>
                    <a:pt x="284" y="203"/>
                    <a:pt x="482" y="203"/>
                  </a:cubicBezTo>
                  <a:cubicBezTo>
                    <a:pt x="679" y="203"/>
                    <a:pt x="843" y="185"/>
                    <a:pt x="871" y="160"/>
                  </a:cubicBezTo>
                  <a:cubicBezTo>
                    <a:pt x="875" y="153"/>
                    <a:pt x="875" y="153"/>
                    <a:pt x="875" y="153"/>
                  </a:cubicBezTo>
                  <a:cubicBezTo>
                    <a:pt x="963" y="0"/>
                    <a:pt x="963" y="0"/>
                    <a:pt x="963" y="0"/>
                  </a:cubicBezTo>
                  <a:cubicBezTo>
                    <a:pt x="928" y="25"/>
                    <a:pt x="726" y="45"/>
                    <a:pt x="481" y="45"/>
                  </a:cubicBezTo>
                  <a:close/>
                </a:path>
              </a:pathLst>
            </a:custGeom>
            <a:gradFill rotWithShape="1">
              <a:gsLst>
                <a:gs pos="0">
                  <a:srgbClr val="969696"/>
                </a:gs>
                <a:gs pos="50000">
                  <a:srgbClr val="E3E3E3"/>
                </a:gs>
                <a:gs pos="100000">
                  <a:srgbClr val="969696"/>
                </a:gs>
              </a:gsLst>
              <a:lin ang="0" scaled="1"/>
            </a:gradFill>
            <a:ln w="9525">
              <a:solidFill>
                <a:srgbClr val="FFFFFF"/>
              </a:solid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104" name="Oval 47">
              <a:extLst>
                <a:ext uri="{FF2B5EF4-FFF2-40B4-BE49-F238E27FC236}">
                  <a16:creationId xmlns:a16="http://schemas.microsoft.com/office/drawing/2014/main" id="{00000000-0008-0000-0300-000068000000}"/>
                </a:ext>
              </a:extLst>
            </xdr:cNvPr>
            <xdr:cNvSpPr>
              <a:spLocks noChangeArrowheads="1"/>
            </xdr:cNvSpPr>
          </xdr:nvSpPr>
          <xdr:spPr bwMode="gray">
            <a:xfrm>
              <a:off x="2205857" y="1557195"/>
              <a:ext cx="4690243" cy="513317"/>
            </a:xfrm>
            <a:prstGeom prst="ellipse">
              <a:avLst/>
            </a:prstGeom>
            <a:gradFill rotWithShape="1">
              <a:gsLst>
                <a:gs pos="0">
                  <a:srgbClr val="969696"/>
                </a:gs>
                <a:gs pos="100000">
                  <a:srgbClr val="C0C0C0"/>
                </a:gs>
              </a:gsLst>
              <a:lin ang="5400000" scaled="1"/>
            </a:gradFill>
            <a:ln w="12700">
              <a:solidFill>
                <a:srgbClr val="FFFFFF"/>
              </a:solid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nvGrpSpPr>
            <xdr:cNvPr id="105" name="Gruppieren 104">
              <a:extLst>
                <a:ext uri="{FF2B5EF4-FFF2-40B4-BE49-F238E27FC236}">
                  <a16:creationId xmlns:a16="http://schemas.microsoft.com/office/drawing/2014/main" id="{00000000-0008-0000-0300-000069000000}"/>
                </a:ext>
              </a:extLst>
            </xdr:cNvPr>
            <xdr:cNvGrpSpPr/>
          </xdr:nvGrpSpPr>
          <xdr:grpSpPr>
            <a:xfrm>
              <a:off x="2426668" y="1987884"/>
              <a:ext cx="4025396" cy="3345032"/>
              <a:chOff x="2426668" y="1987884"/>
              <a:chExt cx="4025396" cy="3345032"/>
            </a:xfrm>
            <a:effectLst/>
          </xdr:grpSpPr>
          <xdr:sp macro="" textlink="">
            <xdr:nvSpPr>
              <xdr:cNvPr id="106" name="Freeform 10">
                <a:extLst>
                  <a:ext uri="{FF2B5EF4-FFF2-40B4-BE49-F238E27FC236}">
                    <a16:creationId xmlns:a16="http://schemas.microsoft.com/office/drawing/2014/main" id="{00000000-0008-0000-0300-00006A000000}"/>
                  </a:ext>
                </a:extLst>
              </xdr:cNvPr>
              <xdr:cNvSpPr>
                <a:spLocks/>
              </xdr:cNvSpPr>
            </xdr:nvSpPr>
            <xdr:spPr bwMode="auto">
              <a:xfrm>
                <a:off x="3555087" y="4108734"/>
                <a:ext cx="2001728" cy="741923"/>
              </a:xfrm>
              <a:custGeom>
                <a:avLst/>
                <a:gdLst>
                  <a:gd name="T0" fmla="*/ 0 w 412"/>
                  <a:gd name="T1" fmla="*/ 0 h 172"/>
                  <a:gd name="T2" fmla="*/ 1689002227 w 412"/>
                  <a:gd name="T3" fmla="*/ 2147483647 h 172"/>
                  <a:gd name="T4" fmla="*/ 1707362198 w 412"/>
                  <a:gd name="T5" fmla="*/ 2147483647 h 172"/>
                  <a:gd name="T6" fmla="*/ 1725722170 w 412"/>
                  <a:gd name="T7" fmla="*/ 2147483647 h 172"/>
                  <a:gd name="T8" fmla="*/ 1744077856 w 412"/>
                  <a:gd name="T9" fmla="*/ 2147483647 h 172"/>
                  <a:gd name="T10" fmla="*/ 1762437828 w 412"/>
                  <a:gd name="T11" fmla="*/ 2147483647 h 172"/>
                  <a:gd name="T12" fmla="*/ 1799153486 w 412"/>
                  <a:gd name="T13" fmla="*/ 2147483647 h 172"/>
                  <a:gd name="T14" fmla="*/ 1835873429 w 412"/>
                  <a:gd name="T15" fmla="*/ 2147483647 h 172"/>
                  <a:gd name="T16" fmla="*/ 1872589088 w 412"/>
                  <a:gd name="T17" fmla="*/ 2147483647 h 172"/>
                  <a:gd name="T18" fmla="*/ 1909309031 w 412"/>
                  <a:gd name="T19" fmla="*/ 2147483647 h 172"/>
                  <a:gd name="T20" fmla="*/ 1964384660 w 412"/>
                  <a:gd name="T21" fmla="*/ 2147483647 h 172"/>
                  <a:gd name="T22" fmla="*/ 2001100319 w 412"/>
                  <a:gd name="T23" fmla="*/ 2147483647 h 172"/>
                  <a:gd name="T24" fmla="*/ 2147483647 w 412"/>
                  <a:gd name="T25" fmla="*/ 2147483647 h 172"/>
                  <a:gd name="T26" fmla="*/ 2147483647 w 412"/>
                  <a:gd name="T27" fmla="*/ 2147483647 h 172"/>
                  <a:gd name="T28" fmla="*/ 2147483647 w 412"/>
                  <a:gd name="T29" fmla="*/ 2147483647 h 172"/>
                  <a:gd name="T30" fmla="*/ 2147483647 w 412"/>
                  <a:gd name="T31" fmla="*/ 2147483647 h 172"/>
                  <a:gd name="T32" fmla="*/ 2147483647 w 412"/>
                  <a:gd name="T33" fmla="*/ 2147483647 h 172"/>
                  <a:gd name="T34" fmla="*/ 2147483647 w 412"/>
                  <a:gd name="T35" fmla="*/ 2147483647 h 172"/>
                  <a:gd name="T36" fmla="*/ 2147483647 w 412"/>
                  <a:gd name="T37" fmla="*/ 2147483647 h 172"/>
                  <a:gd name="T38" fmla="*/ 2147483647 w 412"/>
                  <a:gd name="T39" fmla="*/ 2147483647 h 172"/>
                  <a:gd name="T40" fmla="*/ 2147483647 w 412"/>
                  <a:gd name="T41" fmla="*/ 2147483647 h 172"/>
                  <a:gd name="T42" fmla="*/ 2147483647 w 412"/>
                  <a:gd name="T43" fmla="*/ 2147483647 h 172"/>
                  <a:gd name="T44" fmla="*/ 2147483647 w 412"/>
                  <a:gd name="T45" fmla="*/ 2147483647 h 172"/>
                  <a:gd name="T46" fmla="*/ 2147483647 w 412"/>
                  <a:gd name="T47" fmla="*/ 2147483647 h 172"/>
                  <a:gd name="T48" fmla="*/ 2147483647 w 412"/>
                  <a:gd name="T49" fmla="*/ 2147483647 h 172"/>
                  <a:gd name="T50" fmla="*/ 2147483647 w 412"/>
                  <a:gd name="T51" fmla="*/ 2147483647 h 172"/>
                  <a:gd name="T52" fmla="*/ 2147483647 w 412"/>
                  <a:gd name="T53" fmla="*/ 2147483647 h 172"/>
                  <a:gd name="T54" fmla="*/ 2147483647 w 412"/>
                  <a:gd name="T55" fmla="*/ 2147483647 h 172"/>
                  <a:gd name="T56" fmla="*/ 2147483647 w 412"/>
                  <a:gd name="T57" fmla="*/ 2147483647 h 172"/>
                  <a:gd name="T58" fmla="*/ 2147483647 w 412"/>
                  <a:gd name="T59" fmla="*/ 2147483647 h 172"/>
                  <a:gd name="T60" fmla="*/ 2147483647 w 412"/>
                  <a:gd name="T61" fmla="*/ 2147483647 h 172"/>
                  <a:gd name="T62" fmla="*/ 2147483647 w 412"/>
                  <a:gd name="T63" fmla="*/ 2147483647 h 172"/>
                  <a:gd name="T64" fmla="*/ 2147483647 w 412"/>
                  <a:gd name="T65" fmla="*/ 2147483647 h 172"/>
                  <a:gd name="T66" fmla="*/ 2147483647 w 412"/>
                  <a:gd name="T67" fmla="*/ 2147483647 h 172"/>
                  <a:gd name="T68" fmla="*/ 2147483647 w 412"/>
                  <a:gd name="T69" fmla="*/ 2147483647 h 172"/>
                  <a:gd name="T70" fmla="*/ 2147483647 w 412"/>
                  <a:gd name="T71" fmla="*/ 2147483647 h 172"/>
                  <a:gd name="T72" fmla="*/ 2147483647 w 412"/>
                  <a:gd name="T73" fmla="*/ 2147483647 h 172"/>
                  <a:gd name="T74" fmla="*/ 2147483647 w 412"/>
                  <a:gd name="T75" fmla="*/ 2147483647 h 172"/>
                  <a:gd name="T76" fmla="*/ 2147483647 w 412"/>
                  <a:gd name="T77" fmla="*/ 2147483647 h 172"/>
                  <a:gd name="T78" fmla="*/ 2147483647 w 412"/>
                  <a:gd name="T79" fmla="*/ 2147483647 h 172"/>
                  <a:gd name="T80" fmla="*/ 2147483647 w 412"/>
                  <a:gd name="T81" fmla="*/ 2147483647 h 172"/>
                  <a:gd name="T82" fmla="*/ 2147483647 w 412"/>
                  <a:gd name="T83" fmla="*/ 2147483647 h 172"/>
                  <a:gd name="T84" fmla="*/ 2147483647 w 412"/>
                  <a:gd name="T85" fmla="*/ 2147483647 h 172"/>
                  <a:gd name="T86" fmla="*/ 2147483647 w 412"/>
                  <a:gd name="T87" fmla="*/ 2147483647 h 172"/>
                  <a:gd name="T88" fmla="*/ 2147483647 w 412"/>
                  <a:gd name="T89" fmla="*/ 2147483647 h 172"/>
                  <a:gd name="T90" fmla="*/ 2147483647 w 412"/>
                  <a:gd name="T91" fmla="*/ 2147483647 h 172"/>
                  <a:gd name="T92" fmla="*/ 2147483647 w 412"/>
                  <a:gd name="T93" fmla="*/ 2147483647 h 172"/>
                  <a:gd name="T94" fmla="*/ 2147483647 w 412"/>
                  <a:gd name="T95" fmla="*/ 2147483647 h 172"/>
                  <a:gd name="T96" fmla="*/ 2147483647 w 412"/>
                  <a:gd name="T97" fmla="*/ 2147483647 h 172"/>
                  <a:gd name="T98" fmla="*/ 2147483647 w 412"/>
                  <a:gd name="T99" fmla="*/ 2147483647 h 172"/>
                  <a:gd name="T100" fmla="*/ 2147483647 w 412"/>
                  <a:gd name="T101" fmla="*/ 2147483647 h 172"/>
                  <a:gd name="T102" fmla="*/ 2147483647 w 412"/>
                  <a:gd name="T103" fmla="*/ 2147483647 h 172"/>
                  <a:gd name="T104" fmla="*/ 2147483647 w 412"/>
                  <a:gd name="T105" fmla="*/ 403485488 h 172"/>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412"/>
                  <a:gd name="T160" fmla="*/ 0 h 172"/>
                  <a:gd name="T161" fmla="*/ 412 w 412"/>
                  <a:gd name="T162" fmla="*/ 172 h 172"/>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412" h="172">
                    <a:moveTo>
                      <a:pt x="206" y="22"/>
                    </a:moveTo>
                    <a:cubicBezTo>
                      <a:pt x="101" y="22"/>
                      <a:pt x="14" y="12"/>
                      <a:pt x="0" y="0"/>
                    </a:cubicBezTo>
                    <a:cubicBezTo>
                      <a:pt x="92" y="158"/>
                      <a:pt x="92" y="158"/>
                      <a:pt x="92" y="158"/>
                    </a:cubicBezTo>
                    <a:cubicBezTo>
                      <a:pt x="92" y="158"/>
                      <a:pt x="92" y="158"/>
                      <a:pt x="92" y="158"/>
                    </a:cubicBezTo>
                    <a:cubicBezTo>
                      <a:pt x="93" y="158"/>
                      <a:pt x="93" y="159"/>
                      <a:pt x="93" y="159"/>
                    </a:cubicBezTo>
                    <a:cubicBezTo>
                      <a:pt x="93" y="159"/>
                      <a:pt x="93" y="159"/>
                      <a:pt x="93" y="159"/>
                    </a:cubicBezTo>
                    <a:cubicBezTo>
                      <a:pt x="93" y="159"/>
                      <a:pt x="94" y="159"/>
                      <a:pt x="94" y="160"/>
                    </a:cubicBezTo>
                    <a:cubicBezTo>
                      <a:pt x="94" y="160"/>
                      <a:pt x="94" y="160"/>
                      <a:pt x="94" y="160"/>
                    </a:cubicBezTo>
                    <a:cubicBezTo>
                      <a:pt x="94" y="160"/>
                      <a:pt x="95" y="160"/>
                      <a:pt x="95" y="160"/>
                    </a:cubicBezTo>
                    <a:cubicBezTo>
                      <a:pt x="95" y="160"/>
                      <a:pt x="95" y="160"/>
                      <a:pt x="95" y="160"/>
                    </a:cubicBezTo>
                    <a:cubicBezTo>
                      <a:pt x="95" y="161"/>
                      <a:pt x="96" y="161"/>
                      <a:pt x="96" y="161"/>
                    </a:cubicBezTo>
                    <a:cubicBezTo>
                      <a:pt x="96" y="161"/>
                      <a:pt x="96" y="161"/>
                      <a:pt x="96" y="161"/>
                    </a:cubicBezTo>
                    <a:cubicBezTo>
                      <a:pt x="97" y="161"/>
                      <a:pt x="97" y="161"/>
                      <a:pt x="98" y="162"/>
                    </a:cubicBezTo>
                    <a:cubicBezTo>
                      <a:pt x="98" y="162"/>
                      <a:pt x="98" y="162"/>
                      <a:pt x="98" y="162"/>
                    </a:cubicBezTo>
                    <a:cubicBezTo>
                      <a:pt x="99" y="162"/>
                      <a:pt x="99" y="162"/>
                      <a:pt x="100" y="162"/>
                    </a:cubicBezTo>
                    <a:cubicBezTo>
                      <a:pt x="100" y="162"/>
                      <a:pt x="100" y="162"/>
                      <a:pt x="100" y="162"/>
                    </a:cubicBezTo>
                    <a:cubicBezTo>
                      <a:pt x="101" y="162"/>
                      <a:pt x="101" y="163"/>
                      <a:pt x="102" y="163"/>
                    </a:cubicBezTo>
                    <a:cubicBezTo>
                      <a:pt x="102" y="163"/>
                      <a:pt x="102" y="163"/>
                      <a:pt x="102" y="163"/>
                    </a:cubicBezTo>
                    <a:cubicBezTo>
                      <a:pt x="103" y="163"/>
                      <a:pt x="103" y="163"/>
                      <a:pt x="104" y="163"/>
                    </a:cubicBezTo>
                    <a:cubicBezTo>
                      <a:pt x="104" y="163"/>
                      <a:pt x="104" y="164"/>
                      <a:pt x="104" y="164"/>
                    </a:cubicBezTo>
                    <a:cubicBezTo>
                      <a:pt x="105" y="164"/>
                      <a:pt x="106" y="164"/>
                      <a:pt x="106" y="164"/>
                    </a:cubicBezTo>
                    <a:cubicBezTo>
                      <a:pt x="107" y="164"/>
                      <a:pt x="107" y="164"/>
                      <a:pt x="107" y="164"/>
                    </a:cubicBezTo>
                    <a:cubicBezTo>
                      <a:pt x="107" y="164"/>
                      <a:pt x="108" y="164"/>
                      <a:pt x="109" y="165"/>
                    </a:cubicBezTo>
                    <a:cubicBezTo>
                      <a:pt x="109" y="165"/>
                      <a:pt x="109" y="165"/>
                      <a:pt x="109" y="165"/>
                    </a:cubicBezTo>
                    <a:cubicBezTo>
                      <a:pt x="115" y="166"/>
                      <a:pt x="121" y="167"/>
                      <a:pt x="129" y="168"/>
                    </a:cubicBezTo>
                    <a:cubicBezTo>
                      <a:pt x="129" y="168"/>
                      <a:pt x="129" y="168"/>
                      <a:pt x="129" y="168"/>
                    </a:cubicBezTo>
                    <a:cubicBezTo>
                      <a:pt x="130" y="168"/>
                      <a:pt x="131" y="168"/>
                      <a:pt x="132" y="168"/>
                    </a:cubicBezTo>
                    <a:cubicBezTo>
                      <a:pt x="132" y="168"/>
                      <a:pt x="133" y="168"/>
                      <a:pt x="133" y="168"/>
                    </a:cubicBezTo>
                    <a:cubicBezTo>
                      <a:pt x="134" y="168"/>
                      <a:pt x="135" y="168"/>
                      <a:pt x="136" y="169"/>
                    </a:cubicBezTo>
                    <a:cubicBezTo>
                      <a:pt x="136" y="169"/>
                      <a:pt x="137" y="169"/>
                      <a:pt x="137" y="169"/>
                    </a:cubicBezTo>
                    <a:cubicBezTo>
                      <a:pt x="138" y="169"/>
                      <a:pt x="139" y="169"/>
                      <a:pt x="140" y="169"/>
                    </a:cubicBezTo>
                    <a:cubicBezTo>
                      <a:pt x="140" y="169"/>
                      <a:pt x="141" y="169"/>
                      <a:pt x="142" y="169"/>
                    </a:cubicBezTo>
                    <a:cubicBezTo>
                      <a:pt x="142" y="169"/>
                      <a:pt x="143" y="169"/>
                      <a:pt x="144" y="169"/>
                    </a:cubicBezTo>
                    <a:cubicBezTo>
                      <a:pt x="145" y="169"/>
                      <a:pt x="145" y="169"/>
                      <a:pt x="146" y="169"/>
                    </a:cubicBezTo>
                    <a:cubicBezTo>
                      <a:pt x="147" y="170"/>
                      <a:pt x="148" y="170"/>
                      <a:pt x="149" y="170"/>
                    </a:cubicBezTo>
                    <a:cubicBezTo>
                      <a:pt x="149" y="170"/>
                      <a:pt x="150" y="170"/>
                      <a:pt x="151" y="170"/>
                    </a:cubicBezTo>
                    <a:cubicBezTo>
                      <a:pt x="152" y="170"/>
                      <a:pt x="152" y="170"/>
                      <a:pt x="153" y="170"/>
                    </a:cubicBezTo>
                    <a:cubicBezTo>
                      <a:pt x="154" y="170"/>
                      <a:pt x="155" y="170"/>
                      <a:pt x="156" y="170"/>
                    </a:cubicBezTo>
                    <a:cubicBezTo>
                      <a:pt x="156" y="170"/>
                      <a:pt x="157" y="170"/>
                      <a:pt x="158" y="170"/>
                    </a:cubicBezTo>
                    <a:cubicBezTo>
                      <a:pt x="159" y="170"/>
                      <a:pt x="160" y="170"/>
                      <a:pt x="161" y="170"/>
                    </a:cubicBezTo>
                    <a:cubicBezTo>
                      <a:pt x="161" y="170"/>
                      <a:pt x="162" y="171"/>
                      <a:pt x="163" y="171"/>
                    </a:cubicBezTo>
                    <a:cubicBezTo>
                      <a:pt x="164" y="171"/>
                      <a:pt x="165" y="171"/>
                      <a:pt x="166" y="171"/>
                    </a:cubicBezTo>
                    <a:cubicBezTo>
                      <a:pt x="166" y="171"/>
                      <a:pt x="167" y="171"/>
                      <a:pt x="168" y="171"/>
                    </a:cubicBezTo>
                    <a:cubicBezTo>
                      <a:pt x="169" y="171"/>
                      <a:pt x="170" y="171"/>
                      <a:pt x="171" y="171"/>
                    </a:cubicBezTo>
                    <a:cubicBezTo>
                      <a:pt x="172" y="171"/>
                      <a:pt x="172" y="171"/>
                      <a:pt x="173" y="171"/>
                    </a:cubicBezTo>
                    <a:cubicBezTo>
                      <a:pt x="174" y="171"/>
                      <a:pt x="175" y="171"/>
                      <a:pt x="176" y="171"/>
                    </a:cubicBezTo>
                    <a:cubicBezTo>
                      <a:pt x="177" y="171"/>
                      <a:pt x="178" y="171"/>
                      <a:pt x="179" y="171"/>
                    </a:cubicBezTo>
                    <a:cubicBezTo>
                      <a:pt x="180" y="171"/>
                      <a:pt x="181" y="171"/>
                      <a:pt x="181" y="171"/>
                    </a:cubicBezTo>
                    <a:cubicBezTo>
                      <a:pt x="182" y="171"/>
                      <a:pt x="183" y="171"/>
                      <a:pt x="184" y="171"/>
                    </a:cubicBezTo>
                    <a:cubicBezTo>
                      <a:pt x="185" y="171"/>
                      <a:pt x="186" y="171"/>
                      <a:pt x="187" y="171"/>
                    </a:cubicBezTo>
                    <a:cubicBezTo>
                      <a:pt x="188" y="171"/>
                      <a:pt x="189" y="172"/>
                      <a:pt x="189" y="172"/>
                    </a:cubicBezTo>
                    <a:cubicBezTo>
                      <a:pt x="191" y="172"/>
                      <a:pt x="192" y="172"/>
                      <a:pt x="193" y="172"/>
                    </a:cubicBezTo>
                    <a:cubicBezTo>
                      <a:pt x="194" y="172"/>
                      <a:pt x="194" y="172"/>
                      <a:pt x="195" y="172"/>
                    </a:cubicBezTo>
                    <a:cubicBezTo>
                      <a:pt x="196" y="172"/>
                      <a:pt x="198" y="172"/>
                      <a:pt x="199" y="172"/>
                    </a:cubicBezTo>
                    <a:cubicBezTo>
                      <a:pt x="199" y="172"/>
                      <a:pt x="200" y="172"/>
                      <a:pt x="201" y="172"/>
                    </a:cubicBezTo>
                    <a:cubicBezTo>
                      <a:pt x="203" y="172"/>
                      <a:pt x="205" y="172"/>
                      <a:pt x="206" y="172"/>
                    </a:cubicBezTo>
                    <a:cubicBezTo>
                      <a:pt x="208" y="172"/>
                      <a:pt x="210" y="172"/>
                      <a:pt x="212" y="172"/>
                    </a:cubicBezTo>
                    <a:cubicBezTo>
                      <a:pt x="213" y="172"/>
                      <a:pt x="213" y="172"/>
                      <a:pt x="214" y="172"/>
                    </a:cubicBezTo>
                    <a:cubicBezTo>
                      <a:pt x="215" y="172"/>
                      <a:pt x="216" y="172"/>
                      <a:pt x="218" y="172"/>
                    </a:cubicBezTo>
                    <a:cubicBezTo>
                      <a:pt x="219" y="172"/>
                      <a:pt x="219" y="172"/>
                      <a:pt x="220" y="172"/>
                    </a:cubicBezTo>
                    <a:cubicBezTo>
                      <a:pt x="221" y="172"/>
                      <a:pt x="222" y="172"/>
                      <a:pt x="223" y="172"/>
                    </a:cubicBezTo>
                    <a:cubicBezTo>
                      <a:pt x="224" y="172"/>
                      <a:pt x="225" y="171"/>
                      <a:pt x="226" y="171"/>
                    </a:cubicBezTo>
                    <a:cubicBezTo>
                      <a:pt x="227" y="171"/>
                      <a:pt x="228" y="171"/>
                      <a:pt x="229" y="171"/>
                    </a:cubicBezTo>
                    <a:cubicBezTo>
                      <a:pt x="230" y="171"/>
                      <a:pt x="230" y="171"/>
                      <a:pt x="231" y="171"/>
                    </a:cubicBezTo>
                    <a:cubicBezTo>
                      <a:pt x="232" y="171"/>
                      <a:pt x="233" y="171"/>
                      <a:pt x="234" y="171"/>
                    </a:cubicBezTo>
                    <a:cubicBezTo>
                      <a:pt x="235" y="171"/>
                      <a:pt x="236" y="171"/>
                      <a:pt x="237" y="171"/>
                    </a:cubicBezTo>
                    <a:cubicBezTo>
                      <a:pt x="237" y="171"/>
                      <a:pt x="238" y="171"/>
                      <a:pt x="239" y="171"/>
                    </a:cubicBezTo>
                    <a:cubicBezTo>
                      <a:pt x="240" y="171"/>
                      <a:pt x="241" y="171"/>
                      <a:pt x="242" y="171"/>
                    </a:cubicBezTo>
                    <a:cubicBezTo>
                      <a:pt x="243" y="171"/>
                      <a:pt x="244" y="171"/>
                      <a:pt x="245" y="171"/>
                    </a:cubicBezTo>
                    <a:cubicBezTo>
                      <a:pt x="245" y="171"/>
                      <a:pt x="246" y="171"/>
                      <a:pt x="247" y="171"/>
                    </a:cubicBezTo>
                    <a:cubicBezTo>
                      <a:pt x="248" y="171"/>
                      <a:pt x="249" y="171"/>
                      <a:pt x="250" y="171"/>
                    </a:cubicBezTo>
                    <a:cubicBezTo>
                      <a:pt x="250" y="171"/>
                      <a:pt x="251" y="171"/>
                      <a:pt x="252" y="170"/>
                    </a:cubicBezTo>
                    <a:cubicBezTo>
                      <a:pt x="253" y="170"/>
                      <a:pt x="254" y="170"/>
                      <a:pt x="254" y="170"/>
                    </a:cubicBezTo>
                    <a:cubicBezTo>
                      <a:pt x="255" y="170"/>
                      <a:pt x="256" y="170"/>
                      <a:pt x="257" y="170"/>
                    </a:cubicBezTo>
                    <a:cubicBezTo>
                      <a:pt x="258" y="170"/>
                      <a:pt x="258" y="170"/>
                      <a:pt x="259" y="170"/>
                    </a:cubicBezTo>
                    <a:cubicBezTo>
                      <a:pt x="260" y="170"/>
                      <a:pt x="261" y="170"/>
                      <a:pt x="262" y="170"/>
                    </a:cubicBezTo>
                    <a:cubicBezTo>
                      <a:pt x="262" y="170"/>
                      <a:pt x="263" y="170"/>
                      <a:pt x="264" y="170"/>
                    </a:cubicBezTo>
                    <a:cubicBezTo>
                      <a:pt x="265" y="170"/>
                      <a:pt x="265" y="170"/>
                      <a:pt x="266" y="170"/>
                    </a:cubicBezTo>
                    <a:cubicBezTo>
                      <a:pt x="267" y="169"/>
                      <a:pt x="267" y="169"/>
                      <a:pt x="268" y="169"/>
                    </a:cubicBezTo>
                    <a:cubicBezTo>
                      <a:pt x="269" y="169"/>
                      <a:pt x="270" y="169"/>
                      <a:pt x="271" y="169"/>
                    </a:cubicBezTo>
                    <a:cubicBezTo>
                      <a:pt x="271" y="169"/>
                      <a:pt x="271" y="169"/>
                      <a:pt x="271" y="169"/>
                    </a:cubicBezTo>
                    <a:cubicBezTo>
                      <a:pt x="275" y="169"/>
                      <a:pt x="279" y="168"/>
                      <a:pt x="282" y="168"/>
                    </a:cubicBezTo>
                    <a:cubicBezTo>
                      <a:pt x="283" y="168"/>
                      <a:pt x="283" y="168"/>
                      <a:pt x="283" y="168"/>
                    </a:cubicBezTo>
                    <a:cubicBezTo>
                      <a:pt x="284" y="168"/>
                      <a:pt x="285" y="168"/>
                      <a:pt x="286" y="168"/>
                    </a:cubicBezTo>
                    <a:cubicBezTo>
                      <a:pt x="286" y="167"/>
                      <a:pt x="286" y="167"/>
                      <a:pt x="287" y="167"/>
                    </a:cubicBezTo>
                    <a:cubicBezTo>
                      <a:pt x="288" y="167"/>
                      <a:pt x="289" y="167"/>
                      <a:pt x="290" y="167"/>
                    </a:cubicBezTo>
                    <a:cubicBezTo>
                      <a:pt x="290" y="167"/>
                      <a:pt x="290" y="167"/>
                      <a:pt x="290" y="167"/>
                    </a:cubicBezTo>
                    <a:cubicBezTo>
                      <a:pt x="291" y="167"/>
                      <a:pt x="292" y="167"/>
                      <a:pt x="293" y="167"/>
                    </a:cubicBezTo>
                    <a:cubicBezTo>
                      <a:pt x="293" y="167"/>
                      <a:pt x="294" y="166"/>
                      <a:pt x="294" y="166"/>
                    </a:cubicBezTo>
                    <a:cubicBezTo>
                      <a:pt x="295" y="166"/>
                      <a:pt x="295" y="166"/>
                      <a:pt x="296" y="166"/>
                    </a:cubicBezTo>
                    <a:cubicBezTo>
                      <a:pt x="297" y="166"/>
                      <a:pt x="297" y="166"/>
                      <a:pt x="297" y="166"/>
                    </a:cubicBezTo>
                    <a:cubicBezTo>
                      <a:pt x="298" y="166"/>
                      <a:pt x="299" y="166"/>
                      <a:pt x="299" y="166"/>
                    </a:cubicBezTo>
                    <a:cubicBezTo>
                      <a:pt x="300" y="165"/>
                      <a:pt x="300" y="165"/>
                      <a:pt x="300" y="165"/>
                    </a:cubicBezTo>
                    <a:cubicBezTo>
                      <a:pt x="301" y="165"/>
                      <a:pt x="302" y="165"/>
                      <a:pt x="302" y="165"/>
                    </a:cubicBezTo>
                    <a:cubicBezTo>
                      <a:pt x="303" y="165"/>
                      <a:pt x="303" y="165"/>
                      <a:pt x="303" y="165"/>
                    </a:cubicBezTo>
                    <a:cubicBezTo>
                      <a:pt x="304" y="165"/>
                      <a:pt x="305" y="165"/>
                      <a:pt x="305" y="164"/>
                    </a:cubicBezTo>
                    <a:cubicBezTo>
                      <a:pt x="305" y="164"/>
                      <a:pt x="306" y="164"/>
                      <a:pt x="306" y="164"/>
                    </a:cubicBezTo>
                    <a:cubicBezTo>
                      <a:pt x="306" y="164"/>
                      <a:pt x="307" y="164"/>
                      <a:pt x="308" y="164"/>
                    </a:cubicBezTo>
                    <a:cubicBezTo>
                      <a:pt x="308" y="164"/>
                      <a:pt x="308" y="164"/>
                      <a:pt x="308" y="164"/>
                    </a:cubicBezTo>
                    <a:cubicBezTo>
                      <a:pt x="314" y="162"/>
                      <a:pt x="319" y="160"/>
                      <a:pt x="320" y="159"/>
                    </a:cubicBezTo>
                    <a:cubicBezTo>
                      <a:pt x="320" y="158"/>
                      <a:pt x="320" y="158"/>
                      <a:pt x="320" y="158"/>
                    </a:cubicBezTo>
                    <a:cubicBezTo>
                      <a:pt x="320" y="158"/>
                      <a:pt x="320" y="158"/>
                      <a:pt x="320" y="158"/>
                    </a:cubicBezTo>
                    <a:cubicBezTo>
                      <a:pt x="321" y="157"/>
                      <a:pt x="321" y="157"/>
                      <a:pt x="321" y="157"/>
                    </a:cubicBezTo>
                    <a:cubicBezTo>
                      <a:pt x="321" y="157"/>
                      <a:pt x="321" y="157"/>
                      <a:pt x="321" y="157"/>
                    </a:cubicBezTo>
                    <a:cubicBezTo>
                      <a:pt x="412" y="0"/>
                      <a:pt x="412" y="0"/>
                      <a:pt x="412" y="0"/>
                    </a:cubicBezTo>
                    <a:cubicBezTo>
                      <a:pt x="397" y="12"/>
                      <a:pt x="311" y="22"/>
                      <a:pt x="206" y="22"/>
                    </a:cubicBezTo>
                    <a:close/>
                  </a:path>
                </a:pathLst>
              </a:custGeom>
              <a:solidFill>
                <a:srgbClr val="FFFFFF">
                  <a:lumMod val="75000"/>
                </a:srgbClr>
              </a:solidFill>
              <a:ln w="9525">
                <a:solidFill>
                  <a:srgbClr val="FFFFFF">
                    <a:lumMod val="75000"/>
                  </a:srgbClr>
                </a:solid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107" name="Freeform 12">
                <a:extLst>
                  <a:ext uri="{FF2B5EF4-FFF2-40B4-BE49-F238E27FC236}">
                    <a16:creationId xmlns:a16="http://schemas.microsoft.com/office/drawing/2014/main" id="{00000000-0008-0000-0300-00006B000000}"/>
                  </a:ext>
                </a:extLst>
              </xdr:cNvPr>
              <xdr:cNvSpPr>
                <a:spLocks/>
              </xdr:cNvSpPr>
            </xdr:nvSpPr>
            <xdr:spPr bwMode="auto">
              <a:xfrm>
                <a:off x="2665829" y="2629358"/>
                <a:ext cx="3782043" cy="937861"/>
              </a:xfrm>
              <a:custGeom>
                <a:avLst/>
                <a:gdLst>
                  <a:gd name="T0" fmla="*/ 2147483647 w 778"/>
                  <a:gd name="T1" fmla="*/ 789689070 h 193"/>
                  <a:gd name="T2" fmla="*/ 0 w 778"/>
                  <a:gd name="T3" fmla="*/ 0 h 193"/>
                  <a:gd name="T4" fmla="*/ 1617347438 w 778"/>
                  <a:gd name="T5" fmla="*/ 2147483647 h 193"/>
                  <a:gd name="T6" fmla="*/ 1617347438 w 778"/>
                  <a:gd name="T7" fmla="*/ 2147483647 h 193"/>
                  <a:gd name="T8" fmla="*/ 1654104737 w 778"/>
                  <a:gd name="T9" fmla="*/ 2147483647 h 193"/>
                  <a:gd name="T10" fmla="*/ 1672483387 w 778"/>
                  <a:gd name="T11" fmla="*/ 2147483647 h 193"/>
                  <a:gd name="T12" fmla="*/ 1690862037 w 778"/>
                  <a:gd name="T13" fmla="*/ 2147483647 h 193"/>
                  <a:gd name="T14" fmla="*/ 2147483647 w 778"/>
                  <a:gd name="T15" fmla="*/ 2147483647 h 193"/>
                  <a:gd name="T16" fmla="*/ 2147483647 w 778"/>
                  <a:gd name="T17" fmla="*/ 2147483647 h 193"/>
                  <a:gd name="T18" fmla="*/ 2147483647 w 778"/>
                  <a:gd name="T19" fmla="*/ 2147483647 h 193"/>
                  <a:gd name="T20" fmla="*/ 2147483647 w 778"/>
                  <a:gd name="T21" fmla="*/ 2147483647 h 193"/>
                  <a:gd name="T22" fmla="*/ 2147483647 w 778"/>
                  <a:gd name="T23" fmla="*/ 2147483647 h 193"/>
                  <a:gd name="T24" fmla="*/ 2147483647 w 778"/>
                  <a:gd name="T25" fmla="*/ 2147483647 h 193"/>
                  <a:gd name="T26" fmla="*/ 2147483647 w 778"/>
                  <a:gd name="T27" fmla="*/ 0 h 193"/>
                  <a:gd name="T28" fmla="*/ 2147483647 w 778"/>
                  <a:gd name="T29" fmla="*/ 789689070 h 19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778"/>
                  <a:gd name="T46" fmla="*/ 0 h 193"/>
                  <a:gd name="T47" fmla="*/ 778 w 778"/>
                  <a:gd name="T48" fmla="*/ 193 h 19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778" h="193">
                    <a:moveTo>
                      <a:pt x="389" y="43"/>
                    </a:moveTo>
                    <a:cubicBezTo>
                      <a:pt x="191" y="43"/>
                      <a:pt x="28" y="25"/>
                      <a:pt x="0" y="0"/>
                    </a:cubicBezTo>
                    <a:cubicBezTo>
                      <a:pt x="88" y="154"/>
                      <a:pt x="88" y="154"/>
                      <a:pt x="88" y="154"/>
                    </a:cubicBezTo>
                    <a:cubicBezTo>
                      <a:pt x="88" y="154"/>
                      <a:pt x="88" y="154"/>
                      <a:pt x="88" y="154"/>
                    </a:cubicBezTo>
                    <a:cubicBezTo>
                      <a:pt x="90" y="157"/>
                      <a:pt x="90" y="157"/>
                      <a:pt x="90" y="157"/>
                    </a:cubicBezTo>
                    <a:cubicBezTo>
                      <a:pt x="91" y="160"/>
                      <a:pt x="91" y="160"/>
                      <a:pt x="91" y="160"/>
                    </a:cubicBezTo>
                    <a:cubicBezTo>
                      <a:pt x="92" y="160"/>
                      <a:pt x="92" y="160"/>
                      <a:pt x="92" y="160"/>
                    </a:cubicBezTo>
                    <a:cubicBezTo>
                      <a:pt x="113" y="178"/>
                      <a:pt x="238" y="193"/>
                      <a:pt x="389" y="193"/>
                    </a:cubicBezTo>
                    <a:cubicBezTo>
                      <a:pt x="540" y="193"/>
                      <a:pt x="665" y="178"/>
                      <a:pt x="686" y="160"/>
                    </a:cubicBezTo>
                    <a:cubicBezTo>
                      <a:pt x="686" y="160"/>
                      <a:pt x="686" y="160"/>
                      <a:pt x="686" y="160"/>
                    </a:cubicBezTo>
                    <a:cubicBezTo>
                      <a:pt x="688" y="157"/>
                      <a:pt x="688" y="157"/>
                      <a:pt x="688" y="157"/>
                    </a:cubicBezTo>
                    <a:cubicBezTo>
                      <a:pt x="689" y="154"/>
                      <a:pt x="689" y="154"/>
                      <a:pt x="689" y="154"/>
                    </a:cubicBezTo>
                    <a:cubicBezTo>
                      <a:pt x="689" y="154"/>
                      <a:pt x="689" y="154"/>
                      <a:pt x="689" y="154"/>
                    </a:cubicBezTo>
                    <a:cubicBezTo>
                      <a:pt x="778" y="0"/>
                      <a:pt x="778" y="0"/>
                      <a:pt x="778" y="0"/>
                    </a:cubicBezTo>
                    <a:cubicBezTo>
                      <a:pt x="750" y="25"/>
                      <a:pt x="586" y="43"/>
                      <a:pt x="389" y="43"/>
                    </a:cubicBezTo>
                    <a:close/>
                  </a:path>
                </a:pathLst>
              </a:custGeom>
              <a:gradFill rotWithShape="1">
                <a:gsLst>
                  <a:gs pos="0">
                    <a:srgbClr val="C0C0C0"/>
                  </a:gs>
                  <a:gs pos="50000">
                    <a:srgbClr val="EEEEEE"/>
                  </a:gs>
                  <a:gs pos="100000">
                    <a:srgbClr val="C0C0C0"/>
                  </a:gs>
                </a:gsLst>
                <a:lin ang="0" scaled="1"/>
              </a:gradFill>
              <a:ln w="9525">
                <a:solidFill>
                  <a:srgbClr val="FFFFFF"/>
                </a:solid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108" name="Freeform 13">
                <a:extLst>
                  <a:ext uri="{FF2B5EF4-FFF2-40B4-BE49-F238E27FC236}">
                    <a16:creationId xmlns:a16="http://schemas.microsoft.com/office/drawing/2014/main" id="{00000000-0008-0000-0300-00006C000000}"/>
                  </a:ext>
                </a:extLst>
              </xdr:cNvPr>
              <xdr:cNvSpPr>
                <a:spLocks/>
              </xdr:cNvSpPr>
            </xdr:nvSpPr>
            <xdr:spPr bwMode="auto">
              <a:xfrm>
                <a:off x="3112258" y="3407009"/>
                <a:ext cx="2889186" cy="802347"/>
              </a:xfrm>
              <a:custGeom>
                <a:avLst/>
                <a:gdLst>
                  <a:gd name="T0" fmla="*/ 2147483647 w 594"/>
                  <a:gd name="T1" fmla="*/ 607018679 h 181"/>
                  <a:gd name="T2" fmla="*/ 0 w 594"/>
                  <a:gd name="T3" fmla="*/ 0 h 181"/>
                  <a:gd name="T4" fmla="*/ 1637551895 w 594"/>
                  <a:gd name="T5" fmla="*/ 2147483647 h 181"/>
                  <a:gd name="T6" fmla="*/ 1674351139 w 594"/>
                  <a:gd name="T7" fmla="*/ 2147483647 h 181"/>
                  <a:gd name="T8" fmla="*/ 2147483647 w 594"/>
                  <a:gd name="T9" fmla="*/ 2147483647 h 181"/>
                  <a:gd name="T10" fmla="*/ 2147483647 w 594"/>
                  <a:gd name="T11" fmla="*/ 2147483647 h 181"/>
                  <a:gd name="T12" fmla="*/ 2147483647 w 594"/>
                  <a:gd name="T13" fmla="*/ 2147483647 h 181"/>
                  <a:gd name="T14" fmla="*/ 2147483647 w 594"/>
                  <a:gd name="T15" fmla="*/ 0 h 181"/>
                  <a:gd name="T16" fmla="*/ 2147483647 w 594"/>
                  <a:gd name="T17" fmla="*/ 607018679 h 18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594"/>
                  <a:gd name="T28" fmla="*/ 0 h 181"/>
                  <a:gd name="T29" fmla="*/ 594 w 594"/>
                  <a:gd name="T30" fmla="*/ 181 h 18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594" h="181">
                    <a:moveTo>
                      <a:pt x="297" y="33"/>
                    </a:moveTo>
                    <a:cubicBezTo>
                      <a:pt x="146" y="33"/>
                      <a:pt x="21" y="18"/>
                      <a:pt x="0" y="0"/>
                    </a:cubicBezTo>
                    <a:cubicBezTo>
                      <a:pt x="89" y="155"/>
                      <a:pt x="89" y="155"/>
                      <a:pt x="89" y="155"/>
                    </a:cubicBezTo>
                    <a:cubicBezTo>
                      <a:pt x="91" y="159"/>
                      <a:pt x="91" y="159"/>
                      <a:pt x="91" y="159"/>
                    </a:cubicBezTo>
                    <a:cubicBezTo>
                      <a:pt x="105" y="171"/>
                      <a:pt x="192" y="181"/>
                      <a:pt x="297" y="181"/>
                    </a:cubicBezTo>
                    <a:cubicBezTo>
                      <a:pt x="402" y="181"/>
                      <a:pt x="488" y="171"/>
                      <a:pt x="503" y="159"/>
                    </a:cubicBezTo>
                    <a:cubicBezTo>
                      <a:pt x="505" y="155"/>
                      <a:pt x="505" y="155"/>
                      <a:pt x="505" y="155"/>
                    </a:cubicBezTo>
                    <a:cubicBezTo>
                      <a:pt x="594" y="0"/>
                      <a:pt x="594" y="0"/>
                      <a:pt x="594" y="0"/>
                    </a:cubicBezTo>
                    <a:cubicBezTo>
                      <a:pt x="573" y="18"/>
                      <a:pt x="448" y="33"/>
                      <a:pt x="297" y="33"/>
                    </a:cubicBezTo>
                    <a:close/>
                  </a:path>
                </a:pathLst>
              </a:custGeom>
              <a:gradFill rotWithShape="1">
                <a:gsLst>
                  <a:gs pos="0">
                    <a:srgbClr val="D7D7D7"/>
                  </a:gs>
                  <a:gs pos="100000">
                    <a:srgbClr val="969696"/>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109" name="Oval 16">
                <a:extLst>
                  <a:ext uri="{FF2B5EF4-FFF2-40B4-BE49-F238E27FC236}">
                    <a16:creationId xmlns:a16="http://schemas.microsoft.com/office/drawing/2014/main" id="{00000000-0008-0000-0300-00006D000000}"/>
                  </a:ext>
                </a:extLst>
              </xdr:cNvPr>
              <xdr:cNvSpPr>
                <a:spLocks noChangeArrowheads="1"/>
              </xdr:cNvSpPr>
            </xdr:nvSpPr>
            <xdr:spPr bwMode="auto">
              <a:xfrm>
                <a:off x="3150188" y="3214097"/>
                <a:ext cx="2830389" cy="379825"/>
              </a:xfrm>
              <a:prstGeom prst="ellipse">
                <a:avLst/>
              </a:prstGeom>
              <a:solidFill>
                <a:srgbClr val="AAD4C8">
                  <a:lumMod val="75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110" name="Oval 18">
                <a:extLst>
                  <a:ext uri="{FF2B5EF4-FFF2-40B4-BE49-F238E27FC236}">
                    <a16:creationId xmlns:a16="http://schemas.microsoft.com/office/drawing/2014/main" id="{00000000-0008-0000-0300-00006E000000}"/>
                  </a:ext>
                </a:extLst>
              </xdr:cNvPr>
              <xdr:cNvSpPr>
                <a:spLocks noChangeArrowheads="1"/>
              </xdr:cNvSpPr>
            </xdr:nvSpPr>
            <xdr:spPr bwMode="auto">
              <a:xfrm>
                <a:off x="2670021" y="2340347"/>
                <a:ext cx="3782043" cy="486031"/>
              </a:xfrm>
              <a:prstGeom prst="ellipse">
                <a:avLst/>
              </a:prstGeom>
              <a:solidFill>
                <a:srgbClr val="AAD4C8">
                  <a:lumMod val="5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pic>
            <xdr:nvPicPr>
              <xdr:cNvPr id="111" name="Picture 19">
                <a:extLst>
                  <a:ext uri="{FF2B5EF4-FFF2-40B4-BE49-F238E27FC236}">
                    <a16:creationId xmlns:a16="http://schemas.microsoft.com/office/drawing/2014/main" id="{00000000-0008-0000-0300-00006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6668" y="1987884"/>
                <a:ext cx="2000583" cy="33450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sp macro="" textlink="">
        <xdr:nvSpPr>
          <xdr:cNvPr id="5" name="Line 17">
            <a:extLst>
              <a:ext uri="{FF2B5EF4-FFF2-40B4-BE49-F238E27FC236}">
                <a16:creationId xmlns:a16="http://schemas.microsoft.com/office/drawing/2014/main" id="{00000000-0008-0000-0300-000005000000}"/>
              </a:ext>
            </a:extLst>
          </xdr:cNvPr>
          <xdr:cNvSpPr>
            <a:spLocks noChangeShapeType="1"/>
          </xdr:cNvSpPr>
        </xdr:nvSpPr>
        <xdr:spPr bwMode="gray">
          <a:xfrm>
            <a:off x="5658148" y="4703879"/>
            <a:ext cx="2955070" cy="23213"/>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sp macro="" textlink="">
        <xdr:nvSpPr>
          <xdr:cNvPr id="6" name="Line 17">
            <a:extLst>
              <a:ext uri="{FF2B5EF4-FFF2-40B4-BE49-F238E27FC236}">
                <a16:creationId xmlns:a16="http://schemas.microsoft.com/office/drawing/2014/main" id="{00000000-0008-0000-0300-000006000000}"/>
              </a:ext>
            </a:extLst>
          </xdr:cNvPr>
          <xdr:cNvSpPr>
            <a:spLocks noChangeShapeType="1"/>
          </xdr:cNvSpPr>
        </xdr:nvSpPr>
        <xdr:spPr bwMode="gray">
          <a:xfrm>
            <a:off x="6463527" y="3325925"/>
            <a:ext cx="2451374" cy="23213"/>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sp macro="" textlink="">
        <xdr:nvSpPr>
          <xdr:cNvPr id="7" name="Line 17">
            <a:extLst>
              <a:ext uri="{FF2B5EF4-FFF2-40B4-BE49-F238E27FC236}">
                <a16:creationId xmlns:a16="http://schemas.microsoft.com/office/drawing/2014/main" id="{00000000-0008-0000-0300-000007000000}"/>
              </a:ext>
            </a:extLst>
          </xdr:cNvPr>
          <xdr:cNvSpPr>
            <a:spLocks noChangeShapeType="1"/>
          </xdr:cNvSpPr>
        </xdr:nvSpPr>
        <xdr:spPr bwMode="gray">
          <a:xfrm flipV="1">
            <a:off x="6925564" y="2376892"/>
            <a:ext cx="2260509" cy="0"/>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grpSp>
        <xdr:nvGrpSpPr>
          <xdr:cNvPr id="8" name="Gruppieren 7">
            <a:extLst>
              <a:ext uri="{FF2B5EF4-FFF2-40B4-BE49-F238E27FC236}">
                <a16:creationId xmlns:a16="http://schemas.microsoft.com/office/drawing/2014/main" id="{00000000-0008-0000-0300-000008000000}"/>
              </a:ext>
            </a:extLst>
          </xdr:cNvPr>
          <xdr:cNvGrpSpPr/>
        </xdr:nvGrpSpPr>
        <xdr:grpSpPr>
          <a:xfrm>
            <a:off x="7019393" y="5183907"/>
            <a:ext cx="1425501" cy="680410"/>
            <a:chOff x="6660231" y="2528607"/>
            <a:chExt cx="1221857" cy="583208"/>
          </a:xfrm>
        </xdr:grpSpPr>
        <xdr:sp macro="" textlink="">
          <xdr:nvSpPr>
            <xdr:cNvPr id="97" name="Rechteck 96">
              <a:extLst>
                <a:ext uri="{FF2B5EF4-FFF2-40B4-BE49-F238E27FC236}">
                  <a16:creationId xmlns:a16="http://schemas.microsoft.com/office/drawing/2014/main" id="{00000000-0008-0000-0300-00006100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Declined</a:t>
              </a:r>
            </a:p>
          </xdr:txBody>
        </xdr:sp>
        <xdr:cxnSp macro="">
          <xdr:nvCxnSpPr>
            <xdr:cNvPr id="98" name="Gerade Verbindung 126">
              <a:extLst>
                <a:ext uri="{FF2B5EF4-FFF2-40B4-BE49-F238E27FC236}">
                  <a16:creationId xmlns:a16="http://schemas.microsoft.com/office/drawing/2014/main" id="{00000000-0008-0000-0300-00006200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99" name="Rectangle 28">
              <a:extLst>
                <a:ext uri="{FF2B5EF4-FFF2-40B4-BE49-F238E27FC236}">
                  <a16:creationId xmlns:a16="http://schemas.microsoft.com/office/drawing/2014/main" id="{00000000-0008-0000-0300-00006300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S1043">
          <xdr:nvSpPr>
            <xdr:cNvPr id="100" name="Rectangle 27">
              <a:extLst>
                <a:ext uri="{FF2B5EF4-FFF2-40B4-BE49-F238E27FC236}">
                  <a16:creationId xmlns:a16="http://schemas.microsoft.com/office/drawing/2014/main" id="{00000000-0008-0000-0300-00006400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ED66228F-2848-4690-8D61-56F528D5DF7C}"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78</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101" name="Rectangle 28">
              <a:extLst>
                <a:ext uri="{FF2B5EF4-FFF2-40B4-BE49-F238E27FC236}">
                  <a16:creationId xmlns:a16="http://schemas.microsoft.com/office/drawing/2014/main" id="{00000000-0008-0000-0300-00006500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T1043">
          <xdr:nvSpPr>
            <xdr:cNvPr id="102" name="Rectangle 27">
              <a:extLst>
                <a:ext uri="{FF2B5EF4-FFF2-40B4-BE49-F238E27FC236}">
                  <a16:creationId xmlns:a16="http://schemas.microsoft.com/office/drawing/2014/main" id="{00000000-0008-0000-0300-00006600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32B5A3A7-A21C-4EA2-A9B8-8B22A22A94C0}" type="TxLink">
                <a:rPr lang="en-US" altLang="de-DE" sz="1000" b="0"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7.152.822 </a:t>
              </a:fld>
              <a:endParaRPr kumimoji="0" lang="en-US" altLang="de-DE" sz="7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sp macro="" textlink="">
        <xdr:nvSpPr>
          <xdr:cNvPr id="9" name="Textfeld 75">
            <a:extLst>
              <a:ext uri="{FF2B5EF4-FFF2-40B4-BE49-F238E27FC236}">
                <a16:creationId xmlns:a16="http://schemas.microsoft.com/office/drawing/2014/main" id="{00000000-0008-0000-0300-000009000000}"/>
              </a:ext>
            </a:extLst>
          </xdr:cNvPr>
          <xdr:cNvSpPr txBox="1"/>
        </xdr:nvSpPr>
        <xdr:spPr>
          <a:xfrm>
            <a:off x="7194057" y="1191274"/>
            <a:ext cx="2404074" cy="322687"/>
          </a:xfrm>
          <a:prstGeom prst="rect">
            <a:avLst/>
          </a:prstGeom>
          <a:noFill/>
        </xdr:spPr>
        <xdr:txBody>
          <a:bodyPr wrap="square" lIns="88363" tIns="44181" rIns="88363" bIns="44181" rtlCol="0">
            <a:spAutoFit/>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r" defTabSz="883695">
              <a:spcAft>
                <a:spcPct val="0"/>
              </a:spcAft>
              <a:buFontTx/>
              <a:buNone/>
            </a:pPr>
            <a:r>
              <a:rPr lang="en-GB" sz="1517" b="1">
                <a:solidFill>
                  <a:srgbClr val="000000"/>
                </a:solidFill>
                <a:latin typeface="Frutiger LT Com 45 Light" panose="020B0303030504020204" pitchFamily="34" charset="0"/>
              </a:rPr>
              <a:t>Industry funded projects</a:t>
            </a:r>
          </a:p>
        </xdr:txBody>
      </xdr:sp>
      <xdr:sp macro="" textlink="">
        <xdr:nvSpPr>
          <xdr:cNvPr id="10" name="Rechteck 9">
            <a:extLst>
              <a:ext uri="{FF2B5EF4-FFF2-40B4-BE49-F238E27FC236}">
                <a16:creationId xmlns:a16="http://schemas.microsoft.com/office/drawing/2014/main" id="{00000000-0008-0000-0300-00000A000000}"/>
              </a:ext>
            </a:extLst>
          </xdr:cNvPr>
          <xdr:cNvSpPr/>
        </xdr:nvSpPr>
        <xdr:spPr bwMode="auto">
          <a:xfrm>
            <a:off x="3198536" y="1895076"/>
            <a:ext cx="3495855" cy="468000"/>
          </a:xfrm>
          <a:prstGeom prst="rect">
            <a:avLst/>
          </a:prstGeom>
          <a:solidFill>
            <a:srgbClr val="FFFFFF">
              <a:alpha val="69000"/>
            </a:srgbClr>
          </a:solidFill>
          <a:ln w="9525" cap="flat" cmpd="sng" algn="ctr">
            <a:noFill/>
            <a:prstDash val="solid"/>
            <a:round/>
            <a:headEnd type="none" w="med" len="med"/>
            <a:tailEnd type="none" w="med" len="med"/>
          </a:ln>
          <a:effectLst/>
        </xdr:spPr>
        <xdr:txBody>
          <a:bodyPr vert="horz" wrap="square" lIns="106680" tIns="53340" rIns="106680" bIns="5334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auto" latinLnBrk="0" hangingPunct="1">
              <a:lnSpc>
                <a:spcPct val="100000"/>
              </a:lnSpc>
              <a:spcBef>
                <a:spcPts val="0"/>
              </a:spcBef>
              <a:spcAft>
                <a:spcPct val="0"/>
              </a:spcAft>
              <a:buClrTx/>
              <a:buSzTx/>
              <a:buFontTx/>
              <a:buNone/>
              <a:tabLst/>
              <a:defRPr/>
            </a:pPr>
            <a:r>
              <a:rPr kumimoji="0" lang="en-US" sz="1400" b="1" i="0" u="none" strike="noStrike" kern="0" cap="none" spc="0" normalizeH="0" baseline="0">
                <a:ln>
                  <a:noFill/>
                </a:ln>
                <a:solidFill>
                  <a:srgbClr val="000000"/>
                </a:solidFill>
                <a:effectLst/>
                <a:uLnTx/>
                <a:uFillTx/>
                <a:latin typeface="Frutiger LT Com 45 Light" panose="020B0303030504020204" pitchFamily="34" charset="0"/>
              </a:rPr>
              <a:t>Project Proposal Preparation</a:t>
            </a:r>
          </a:p>
        </xdr:txBody>
      </xdr:sp>
      <xdr:sp macro="" textlink="">
        <xdr:nvSpPr>
          <xdr:cNvPr id="11" name="Textfeld 77">
            <a:extLst>
              <a:ext uri="{FF2B5EF4-FFF2-40B4-BE49-F238E27FC236}">
                <a16:creationId xmlns:a16="http://schemas.microsoft.com/office/drawing/2014/main" id="{00000000-0008-0000-0300-00000B000000}"/>
              </a:ext>
            </a:extLst>
          </xdr:cNvPr>
          <xdr:cNvSpPr txBox="1"/>
        </xdr:nvSpPr>
        <xdr:spPr>
          <a:xfrm>
            <a:off x="3278950" y="1093212"/>
            <a:ext cx="1369586" cy="432000"/>
          </a:xfrm>
          <a:prstGeom prst="rect">
            <a:avLst/>
          </a:prstGeom>
          <a:solidFill>
            <a:srgbClr val="FFFFFF">
              <a:alpha val="69000"/>
            </a:srgbClr>
          </a:solidFill>
          <a:ln w="9525" cap="flat" cmpd="sng" algn="ctr">
            <a:noFill/>
            <a:prstDash val="solid"/>
            <a:round/>
            <a:headEnd type="none" w="med" len="med"/>
            <a:tailEnd type="none" w="med" len="med"/>
          </a:ln>
          <a:effectLst/>
        </xdr:spPr>
        <xdr:txBody>
          <a:bodyPr rot="0" spcFirstLastPara="0" vert="horz" wrap="square" lIns="106680" tIns="53340" rIns="106680" bIns="53340" numCol="1" spcCol="0" rtlCol="0" fromWordArt="0" anchor="t" anchorCtr="0" forceAA="0" compatLnSpc="1">
            <a:prstTxWarp prst="textNoShape">
              <a:avLst/>
            </a:prstTxWarp>
            <a:noAutofit/>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base" latinLnBrk="0" hangingPunct="1">
              <a:lnSpc>
                <a:spcPct val="100000"/>
              </a:lnSpc>
              <a:spcBef>
                <a:spcPct val="0"/>
              </a:spcBef>
              <a:spcAft>
                <a:spcPct val="0"/>
              </a:spcAft>
              <a:buClrTx/>
              <a:buSzTx/>
              <a:buFontTx/>
              <a:buNone/>
              <a:tabLst/>
              <a:defRPr/>
            </a:pPr>
            <a:r>
              <a:rPr kumimoji="0" lang="en-GB" i="0" u="none" strike="noStrike" kern="0" cap="none" spc="0" normalizeH="0" baseline="0">
                <a:ln>
                  <a:noFill/>
                </a:ln>
                <a:solidFill>
                  <a:srgbClr val="000000"/>
                </a:solidFill>
                <a:effectLst/>
                <a:uLnTx/>
                <a:uFillTx/>
                <a:latin typeface="Frutiger LT Com 45 Light" panose="020B0303030504020204" pitchFamily="34" charset="0"/>
              </a:rPr>
              <a:t>FPC@ITA</a:t>
            </a:r>
            <a:br>
              <a:rPr kumimoji="0" lang="en-GB" i="0" u="none" strike="noStrike" kern="0" cap="none" spc="0" normalizeH="0" baseline="0">
                <a:ln>
                  <a:noFill/>
                </a:ln>
                <a:solidFill>
                  <a:srgbClr val="000000"/>
                </a:solidFill>
                <a:effectLst/>
                <a:uLnTx/>
                <a:uFillTx/>
                <a:latin typeface="Frutiger LT Com 45 Light" panose="020B0303030504020204" pitchFamily="34" charset="0"/>
              </a:rPr>
            </a:br>
            <a:r>
              <a:rPr kumimoji="0" lang="en-GB" i="0" u="none" strike="noStrike" kern="0" cap="none" spc="0" normalizeH="0" baseline="0">
                <a:ln>
                  <a:noFill/>
                </a:ln>
                <a:solidFill>
                  <a:srgbClr val="000000"/>
                </a:solidFill>
                <a:effectLst/>
                <a:uLnTx/>
                <a:uFillTx/>
                <a:latin typeface="Frutiger LT Com 45 Light" panose="020B0303030504020204" pitchFamily="34" charset="0"/>
              </a:rPr>
              <a:t> R&amp;D Portfolio</a:t>
            </a:r>
          </a:p>
        </xdr:txBody>
      </xdr:sp>
      <xdr:sp macro="" textlink="">
        <xdr:nvSpPr>
          <xdr:cNvPr id="12" name="Textfeld 78">
            <a:extLst>
              <a:ext uri="{FF2B5EF4-FFF2-40B4-BE49-F238E27FC236}">
                <a16:creationId xmlns:a16="http://schemas.microsoft.com/office/drawing/2014/main" id="{00000000-0008-0000-0300-00000C000000}"/>
              </a:ext>
            </a:extLst>
          </xdr:cNvPr>
          <xdr:cNvSpPr txBox="1"/>
        </xdr:nvSpPr>
        <xdr:spPr>
          <a:xfrm>
            <a:off x="5406600" y="1093212"/>
            <a:ext cx="1421048" cy="432000"/>
          </a:xfrm>
          <a:prstGeom prst="rect">
            <a:avLst/>
          </a:prstGeom>
          <a:solidFill>
            <a:srgbClr val="FFFFFF">
              <a:alpha val="69000"/>
            </a:srgbClr>
          </a:solidFill>
          <a:ln w="9525" cap="flat" cmpd="sng" algn="ctr">
            <a:noFill/>
            <a:prstDash val="solid"/>
            <a:round/>
            <a:headEnd type="none" w="med" len="med"/>
            <a:tailEnd type="none" w="med" len="med"/>
          </a:ln>
          <a:effectLst/>
        </xdr:spPr>
        <xdr:txBody>
          <a:bodyPr rot="0" spcFirstLastPara="0" vert="horz" wrap="square" lIns="106680" tIns="53340" rIns="106680" bIns="53340" numCol="1" spcCol="0" rtlCol="0" fromWordArt="0" anchor="t" anchorCtr="0" forceAA="0" compatLnSpc="1">
            <a:prstTxWarp prst="textNoShape">
              <a:avLst/>
            </a:prstTxWarp>
            <a:noAutofit/>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base" latinLnBrk="0" hangingPunct="1">
              <a:lnSpc>
                <a:spcPct val="100000"/>
              </a:lnSpc>
              <a:spcBef>
                <a:spcPct val="0"/>
              </a:spcBef>
              <a:spcAft>
                <a:spcPct val="0"/>
              </a:spcAft>
              <a:buClrTx/>
              <a:buSzTx/>
              <a:buFontTx/>
              <a:buNone/>
              <a:tabLst/>
              <a:defRPr/>
            </a:pPr>
            <a:r>
              <a:rPr kumimoji="0" lang="en-GB" i="0" u="none" strike="noStrike" kern="0" cap="none" spc="0" normalizeH="0" baseline="0">
                <a:ln>
                  <a:noFill/>
                </a:ln>
                <a:solidFill>
                  <a:srgbClr val="000000"/>
                </a:solidFill>
                <a:effectLst/>
                <a:uLnTx/>
                <a:uFillTx/>
                <a:latin typeface="Frutiger LT Com 45 Light" panose="020B0303030504020204" pitchFamily="34" charset="0"/>
              </a:rPr>
              <a:t>Prioritized</a:t>
            </a:r>
            <a:br>
              <a:rPr kumimoji="0" lang="en-GB" i="0" u="none" strike="noStrike" kern="0" cap="none" spc="0" normalizeH="0" baseline="0">
                <a:ln>
                  <a:noFill/>
                </a:ln>
                <a:solidFill>
                  <a:srgbClr val="000000"/>
                </a:solidFill>
                <a:effectLst/>
                <a:uLnTx/>
                <a:uFillTx/>
                <a:latin typeface="Frutiger LT Com 45 Light" panose="020B0303030504020204" pitchFamily="34" charset="0"/>
              </a:rPr>
            </a:br>
            <a:r>
              <a:rPr kumimoji="0" lang="en-GB" i="0" u="none" strike="noStrike" kern="0" cap="none" spc="0" normalizeH="0" baseline="0">
                <a:ln>
                  <a:noFill/>
                </a:ln>
                <a:solidFill>
                  <a:srgbClr val="000000"/>
                </a:solidFill>
                <a:effectLst/>
                <a:uLnTx/>
                <a:uFillTx/>
                <a:latin typeface="Frutiger LT Com 45 Light" panose="020B0303030504020204" pitchFamily="34" charset="0"/>
              </a:rPr>
              <a:t> Market Segments</a:t>
            </a:r>
          </a:p>
        </xdr:txBody>
      </xdr:sp>
      <xdr:cxnSp macro="">
        <xdr:nvCxnSpPr>
          <xdr:cNvPr id="13" name="Gerade Verbindung mit Pfeil 12">
            <a:extLst>
              <a:ext uri="{FF2B5EF4-FFF2-40B4-BE49-F238E27FC236}">
                <a16:creationId xmlns:a16="http://schemas.microsoft.com/office/drawing/2014/main" id="{00000000-0008-0000-0300-00000D000000}"/>
              </a:ext>
            </a:extLst>
          </xdr:cNvPr>
          <xdr:cNvCxnSpPr>
            <a:cxnSpLocks/>
            <a:stCxn id="11" idx="2"/>
          </xdr:cNvCxnSpPr>
        </xdr:nvCxnSpPr>
        <xdr:spPr bwMode="auto">
          <a:xfrm>
            <a:off x="3963743" y="1525212"/>
            <a:ext cx="780236" cy="178822"/>
          </a:xfrm>
          <a:prstGeom prst="straightConnector1">
            <a:avLst/>
          </a:prstGeom>
          <a:solidFill>
            <a:srgbClr val="00AF93"/>
          </a:solidFill>
          <a:ln w="9525" cap="flat" cmpd="sng" algn="ctr">
            <a:solidFill>
              <a:srgbClr val="0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xnSp macro="">
        <xdr:nvCxnSpPr>
          <xdr:cNvPr id="14" name="Gerade Verbindung mit Pfeil 13">
            <a:extLst>
              <a:ext uri="{FF2B5EF4-FFF2-40B4-BE49-F238E27FC236}">
                <a16:creationId xmlns:a16="http://schemas.microsoft.com/office/drawing/2014/main" id="{00000000-0008-0000-0300-00000E000000}"/>
              </a:ext>
            </a:extLst>
          </xdr:cNvPr>
          <xdr:cNvCxnSpPr>
            <a:cxnSpLocks/>
            <a:stCxn id="12" idx="2"/>
          </xdr:cNvCxnSpPr>
        </xdr:nvCxnSpPr>
        <xdr:spPr bwMode="auto">
          <a:xfrm flipH="1">
            <a:off x="5162024" y="1525212"/>
            <a:ext cx="955100" cy="155750"/>
          </a:xfrm>
          <a:prstGeom prst="straightConnector1">
            <a:avLst/>
          </a:prstGeom>
          <a:solidFill>
            <a:srgbClr val="00AF93"/>
          </a:solidFill>
          <a:ln w="9525" cap="flat" cmpd="sng" algn="ctr">
            <a:solidFill>
              <a:srgbClr val="0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15" name="Rechteck 14">
            <a:extLst>
              <a:ext uri="{FF2B5EF4-FFF2-40B4-BE49-F238E27FC236}">
                <a16:creationId xmlns:a16="http://schemas.microsoft.com/office/drawing/2014/main" id="{00000000-0008-0000-0300-00000F000000}"/>
              </a:ext>
            </a:extLst>
          </xdr:cNvPr>
          <xdr:cNvSpPr/>
        </xdr:nvSpPr>
        <xdr:spPr bwMode="auto">
          <a:xfrm>
            <a:off x="3661627" y="2780987"/>
            <a:ext cx="2604043" cy="468000"/>
          </a:xfrm>
          <a:prstGeom prst="rect">
            <a:avLst/>
          </a:prstGeom>
          <a:solidFill>
            <a:srgbClr val="FFFFFF">
              <a:alpha val="69000"/>
            </a:srgbClr>
          </a:solidFill>
          <a:ln w="9525" cap="flat" cmpd="sng" algn="ctr">
            <a:noFill/>
            <a:prstDash val="solid"/>
            <a:round/>
            <a:headEnd type="none" w="med" len="med"/>
            <a:tailEnd type="none" w="med" len="med"/>
          </a:ln>
          <a:effectLst/>
        </xdr:spPr>
        <xdr:txBody>
          <a:bodyPr vert="horz" wrap="square" lIns="106680" tIns="53340" rIns="106680" bIns="5334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auto" latinLnBrk="0" hangingPunct="1">
              <a:lnSpc>
                <a:spcPct val="100000"/>
              </a:lnSpc>
              <a:spcBef>
                <a:spcPts val="0"/>
              </a:spcBef>
              <a:spcAft>
                <a:spcPct val="0"/>
              </a:spcAft>
              <a:buClrTx/>
              <a:buSzTx/>
              <a:buFontTx/>
              <a:buNone/>
              <a:tabLst/>
              <a:defRPr/>
            </a:pPr>
            <a:r>
              <a:rPr kumimoji="0" lang="en-US" sz="1400" b="1" i="0" u="none" strike="noStrike" kern="0" cap="none" spc="0" normalizeH="0" baseline="0">
                <a:ln>
                  <a:noFill/>
                </a:ln>
                <a:solidFill>
                  <a:srgbClr val="000000"/>
                </a:solidFill>
                <a:effectLst/>
                <a:uLnTx/>
                <a:uFillTx/>
                <a:latin typeface="Frutiger LT Com 45 Light" panose="020B0303030504020204" pitchFamily="34" charset="0"/>
              </a:rPr>
              <a:t>Proposals Submitted </a:t>
            </a:r>
          </a:p>
        </xdr:txBody>
      </xdr:sp>
      <xdr:sp macro="" textlink="">
        <xdr:nvSpPr>
          <xdr:cNvPr id="16" name="Rechteck 15">
            <a:extLst>
              <a:ext uri="{FF2B5EF4-FFF2-40B4-BE49-F238E27FC236}">
                <a16:creationId xmlns:a16="http://schemas.microsoft.com/office/drawing/2014/main" id="{00000000-0008-0000-0300-000010000000}"/>
              </a:ext>
            </a:extLst>
          </xdr:cNvPr>
          <xdr:cNvSpPr/>
        </xdr:nvSpPr>
        <xdr:spPr bwMode="auto">
          <a:xfrm>
            <a:off x="4261830" y="3666298"/>
            <a:ext cx="1368121" cy="746106"/>
          </a:xfrm>
          <a:prstGeom prst="rect">
            <a:avLst/>
          </a:prstGeom>
          <a:solidFill>
            <a:srgbClr val="FFFFFF">
              <a:alpha val="69000"/>
            </a:srgbClr>
          </a:solidFill>
          <a:ln w="9525" cap="flat" cmpd="sng" algn="ctr">
            <a:noFill/>
            <a:prstDash val="solid"/>
            <a:round/>
            <a:headEnd type="none" w="med" len="med"/>
            <a:tailEnd type="none" w="med" len="med"/>
          </a:ln>
          <a:effectLst/>
        </xdr:spPr>
        <xdr:txBody>
          <a:bodyPr vert="horz" wrap="square" lIns="106680" tIns="53340" rIns="106680" bIns="53340" numCol="1" rtlCol="0" anchor="t"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auto" latinLnBrk="0" hangingPunct="1">
              <a:lnSpc>
                <a:spcPct val="100000"/>
              </a:lnSpc>
              <a:spcBef>
                <a:spcPts val="0"/>
              </a:spcBef>
              <a:spcAft>
                <a:spcPct val="0"/>
              </a:spcAft>
              <a:buClrTx/>
              <a:buSzTx/>
              <a:buFontTx/>
              <a:buNone/>
              <a:tabLst/>
              <a:defRPr/>
            </a:pPr>
            <a:r>
              <a:rPr kumimoji="0" lang="en-US" sz="1400" b="1" i="0" u="none" strike="noStrike" kern="0" cap="none" spc="0" normalizeH="0" baseline="0">
                <a:ln>
                  <a:noFill/>
                </a:ln>
                <a:solidFill>
                  <a:srgbClr val="000000"/>
                </a:solidFill>
                <a:effectLst/>
                <a:uLnTx/>
                <a:uFillTx/>
                <a:latin typeface="Frutiger LT Com 45 Light" panose="020B0303030504020204" pitchFamily="34" charset="0"/>
              </a:rPr>
              <a:t>Approved and Running / Finished</a:t>
            </a:r>
          </a:p>
        </xdr:txBody>
      </xdr:sp>
      <xdr:grpSp>
        <xdr:nvGrpSpPr>
          <xdr:cNvPr id="17" name="Gruppieren 16">
            <a:extLst>
              <a:ext uri="{FF2B5EF4-FFF2-40B4-BE49-F238E27FC236}">
                <a16:creationId xmlns:a16="http://schemas.microsoft.com/office/drawing/2014/main" id="{00000000-0008-0000-0300-000011000000}"/>
              </a:ext>
            </a:extLst>
          </xdr:cNvPr>
          <xdr:cNvGrpSpPr/>
        </xdr:nvGrpSpPr>
        <xdr:grpSpPr>
          <a:xfrm>
            <a:off x="7184434" y="3910254"/>
            <a:ext cx="1425501" cy="680410"/>
            <a:chOff x="6660231" y="2528607"/>
            <a:chExt cx="1221857" cy="583208"/>
          </a:xfrm>
        </xdr:grpSpPr>
        <xdr:sp macro="" textlink="">
          <xdr:nvSpPr>
            <xdr:cNvPr id="91" name="Rechteck 90">
              <a:extLst>
                <a:ext uri="{FF2B5EF4-FFF2-40B4-BE49-F238E27FC236}">
                  <a16:creationId xmlns:a16="http://schemas.microsoft.com/office/drawing/2014/main" id="{00000000-0008-0000-0300-00005B00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Running and Finished</a:t>
              </a:r>
            </a:p>
          </xdr:txBody>
        </xdr:sp>
        <xdr:cxnSp macro="">
          <xdr:nvCxnSpPr>
            <xdr:cNvPr id="92" name="Gerade Verbindung 126">
              <a:extLst>
                <a:ext uri="{FF2B5EF4-FFF2-40B4-BE49-F238E27FC236}">
                  <a16:creationId xmlns:a16="http://schemas.microsoft.com/office/drawing/2014/main" id="{00000000-0008-0000-0300-00005C00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93" name="Rectangle 28">
              <a:extLst>
                <a:ext uri="{FF2B5EF4-FFF2-40B4-BE49-F238E27FC236}">
                  <a16:creationId xmlns:a16="http://schemas.microsoft.com/office/drawing/2014/main" id="{00000000-0008-0000-0300-00005D00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Projects</a:t>
              </a:r>
            </a:p>
          </xdr:txBody>
        </xdr:sp>
        <xdr:sp macro="" textlink="'Prospection Summary'!S1040">
          <xdr:nvSpPr>
            <xdr:cNvPr id="94" name="Rectangle 27">
              <a:extLst>
                <a:ext uri="{FF2B5EF4-FFF2-40B4-BE49-F238E27FC236}">
                  <a16:creationId xmlns:a16="http://schemas.microsoft.com/office/drawing/2014/main" id="{00000000-0008-0000-0300-00005E00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A2E37E34-98A9-4D54-97E4-9FBE79285D6C}"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29</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95" name="Rectangle 28">
              <a:extLst>
                <a:ext uri="{FF2B5EF4-FFF2-40B4-BE49-F238E27FC236}">
                  <a16:creationId xmlns:a16="http://schemas.microsoft.com/office/drawing/2014/main" id="{00000000-0008-0000-0300-00005F00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T1040">
          <xdr:nvSpPr>
            <xdr:cNvPr id="96" name="Rectangle 27">
              <a:extLst>
                <a:ext uri="{FF2B5EF4-FFF2-40B4-BE49-F238E27FC236}">
                  <a16:creationId xmlns:a16="http://schemas.microsoft.com/office/drawing/2014/main" id="{00000000-0008-0000-0300-00006000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E1A6CF95-83FC-4C84-A381-34BF1D7D7F6D}"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5.886.993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18" name="Gruppieren 17">
            <a:extLst>
              <a:ext uri="{FF2B5EF4-FFF2-40B4-BE49-F238E27FC236}">
                <a16:creationId xmlns:a16="http://schemas.microsoft.com/office/drawing/2014/main" id="{00000000-0008-0000-0300-000012000000}"/>
              </a:ext>
            </a:extLst>
          </xdr:cNvPr>
          <xdr:cNvGrpSpPr/>
        </xdr:nvGrpSpPr>
        <xdr:grpSpPr>
          <a:xfrm>
            <a:off x="7473541" y="2580837"/>
            <a:ext cx="1425505" cy="680411"/>
            <a:chOff x="6660228" y="2528607"/>
            <a:chExt cx="1221860" cy="583209"/>
          </a:xfrm>
        </xdr:grpSpPr>
        <xdr:sp macro="" textlink="">
          <xdr:nvSpPr>
            <xdr:cNvPr id="85" name="Rechteck 84">
              <a:extLst>
                <a:ext uri="{FF2B5EF4-FFF2-40B4-BE49-F238E27FC236}">
                  <a16:creationId xmlns:a16="http://schemas.microsoft.com/office/drawing/2014/main" id="{00000000-0008-0000-0300-00005500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Proposals Submitted</a:t>
              </a:r>
            </a:p>
          </xdr:txBody>
        </xdr:sp>
        <xdr:cxnSp macro="">
          <xdr:nvCxnSpPr>
            <xdr:cNvPr id="86" name="Gerade Verbindung 126">
              <a:extLst>
                <a:ext uri="{FF2B5EF4-FFF2-40B4-BE49-F238E27FC236}">
                  <a16:creationId xmlns:a16="http://schemas.microsoft.com/office/drawing/2014/main" id="{00000000-0008-0000-0300-00005600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87" name="Rectangle 28">
              <a:extLst>
                <a:ext uri="{FF2B5EF4-FFF2-40B4-BE49-F238E27FC236}">
                  <a16:creationId xmlns:a16="http://schemas.microsoft.com/office/drawing/2014/main" id="{00000000-0008-0000-0300-00005700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S1037">
          <xdr:nvSpPr>
            <xdr:cNvPr id="88" name="Rectangle 27">
              <a:extLst>
                <a:ext uri="{FF2B5EF4-FFF2-40B4-BE49-F238E27FC236}">
                  <a16:creationId xmlns:a16="http://schemas.microsoft.com/office/drawing/2014/main" id="{00000000-0008-0000-0300-000058000000}"/>
                </a:ext>
              </a:extLst>
            </xdr:cNvPr>
            <xdr:cNvSpPr>
              <a:spLocks noChangeArrowheads="1"/>
            </xdr:cNvSpPr>
          </xdr:nvSpPr>
          <xdr:spPr bwMode="auto">
            <a:xfrm>
              <a:off x="6660228" y="2986669"/>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A902B20F-51F3-4773-8FE6-B5A3A840C170}"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113</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89" name="Rectangle 28">
              <a:extLst>
                <a:ext uri="{FF2B5EF4-FFF2-40B4-BE49-F238E27FC236}">
                  <a16:creationId xmlns:a16="http://schemas.microsoft.com/office/drawing/2014/main" id="{00000000-0008-0000-0300-00005900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T1037">
          <xdr:nvSpPr>
            <xdr:cNvPr id="90" name="Rectangle 27">
              <a:extLst>
                <a:ext uri="{FF2B5EF4-FFF2-40B4-BE49-F238E27FC236}">
                  <a16:creationId xmlns:a16="http://schemas.microsoft.com/office/drawing/2014/main" id="{00000000-0008-0000-0300-00005A00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EA3628CF-4835-4015-B993-59A57C9B6CEB}"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14.482.173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19" name="Gruppieren 18">
            <a:extLst>
              <a:ext uri="{FF2B5EF4-FFF2-40B4-BE49-F238E27FC236}">
                <a16:creationId xmlns:a16="http://schemas.microsoft.com/office/drawing/2014/main" id="{00000000-0008-0000-0300-000013000000}"/>
              </a:ext>
            </a:extLst>
          </xdr:cNvPr>
          <xdr:cNvGrpSpPr/>
        </xdr:nvGrpSpPr>
        <xdr:grpSpPr>
          <a:xfrm>
            <a:off x="7758292" y="1611968"/>
            <a:ext cx="1425501" cy="680410"/>
            <a:chOff x="6660231" y="2528607"/>
            <a:chExt cx="1221857" cy="583208"/>
          </a:xfrm>
        </xdr:grpSpPr>
        <xdr:sp macro="" textlink="">
          <xdr:nvSpPr>
            <xdr:cNvPr id="79" name="Rechteck 78">
              <a:extLst>
                <a:ext uri="{FF2B5EF4-FFF2-40B4-BE49-F238E27FC236}">
                  <a16:creationId xmlns:a16="http://schemas.microsoft.com/office/drawing/2014/main" id="{00000000-0008-0000-0300-00004F00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Proposal Preparation</a:t>
              </a:r>
            </a:p>
          </xdr:txBody>
        </xdr:sp>
        <xdr:cxnSp macro="">
          <xdr:nvCxnSpPr>
            <xdr:cNvPr id="80" name="Gerade Verbindung 126">
              <a:extLst>
                <a:ext uri="{FF2B5EF4-FFF2-40B4-BE49-F238E27FC236}">
                  <a16:creationId xmlns:a16="http://schemas.microsoft.com/office/drawing/2014/main" id="{00000000-0008-0000-0300-00005000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81" name="Rectangle 28">
              <a:extLst>
                <a:ext uri="{FF2B5EF4-FFF2-40B4-BE49-F238E27FC236}">
                  <a16:creationId xmlns:a16="http://schemas.microsoft.com/office/drawing/2014/main" id="{00000000-0008-0000-0300-00005100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S1034">
          <xdr:nvSpPr>
            <xdr:cNvPr id="82" name="Rectangle 27">
              <a:extLst>
                <a:ext uri="{FF2B5EF4-FFF2-40B4-BE49-F238E27FC236}">
                  <a16:creationId xmlns:a16="http://schemas.microsoft.com/office/drawing/2014/main" id="{00000000-0008-0000-0300-00005200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423E88B5-64A1-4BCC-BA2B-05654F6E9D8D}" type="TxLink">
                <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121</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83" name="Rectangle 28">
              <a:extLst>
                <a:ext uri="{FF2B5EF4-FFF2-40B4-BE49-F238E27FC236}">
                  <a16:creationId xmlns:a16="http://schemas.microsoft.com/office/drawing/2014/main" id="{00000000-0008-0000-0300-00005300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T1034">
          <xdr:nvSpPr>
            <xdr:cNvPr id="84" name="Rectangle 27">
              <a:extLst>
                <a:ext uri="{FF2B5EF4-FFF2-40B4-BE49-F238E27FC236}">
                  <a16:creationId xmlns:a16="http://schemas.microsoft.com/office/drawing/2014/main" id="{00000000-0008-0000-0300-00005400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31FBE3FC-6AC6-414E-A178-0947D5947467}"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15.210.298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20" name="Gruppieren 19">
            <a:extLst>
              <a:ext uri="{FF2B5EF4-FFF2-40B4-BE49-F238E27FC236}">
                <a16:creationId xmlns:a16="http://schemas.microsoft.com/office/drawing/2014/main" id="{00000000-0008-0000-0300-000014000000}"/>
              </a:ext>
            </a:extLst>
          </xdr:cNvPr>
          <xdr:cNvGrpSpPr/>
        </xdr:nvGrpSpPr>
        <xdr:grpSpPr>
          <a:xfrm>
            <a:off x="3687220" y="5319114"/>
            <a:ext cx="2578450" cy="545198"/>
            <a:chOff x="6660232" y="2646359"/>
            <a:chExt cx="1221856" cy="467313"/>
          </a:xfrm>
        </xdr:grpSpPr>
        <xdr:sp macro="" textlink="">
          <xdr:nvSpPr>
            <xdr:cNvPr id="71" name="Rechteck 70">
              <a:extLst>
                <a:ext uri="{FF2B5EF4-FFF2-40B4-BE49-F238E27FC236}">
                  <a16:creationId xmlns:a16="http://schemas.microsoft.com/office/drawing/2014/main" id="{00000000-0008-0000-0300-000047000000}"/>
                </a:ext>
              </a:extLst>
            </xdr:cNvPr>
            <xdr:cNvSpPr/>
          </xdr:nvSpPr>
          <xdr:spPr bwMode="auto">
            <a:xfrm>
              <a:off x="6660232" y="2646359"/>
              <a:ext cx="1221856" cy="186330"/>
            </a:xfrm>
            <a:prstGeom prst="rect">
              <a:avLst/>
            </a:prstGeom>
            <a:solidFill>
              <a:schemeClr val="bg1">
                <a:lumMod val="85000"/>
              </a:schemeClr>
            </a:solidFill>
            <a:ln w="9525" cap="flat" cmpd="sng" algn="ctr">
              <a:solidFill>
                <a:schemeClr val="bg1">
                  <a:lumMod val="85000"/>
                </a:scheme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defTabSz="1065687" fontAlgn="auto">
                <a:lnSpc>
                  <a:spcPct val="90000"/>
                </a:lnSpc>
                <a:spcBef>
                  <a:spcPts val="0"/>
                </a:spcBef>
                <a:spcAft>
                  <a:spcPts val="0"/>
                </a:spcAft>
                <a:buClr>
                  <a:srgbClr val="3E8F7D"/>
                </a:buClr>
              </a:pPr>
              <a:r>
                <a:rPr lang="en-US" sz="1167" b="1">
                  <a:solidFill>
                    <a:srgbClr val="000000"/>
                  </a:solidFill>
                  <a:latin typeface="Frutiger LT Com 45 Light" panose="020B0303030504020204" pitchFamily="34" charset="0"/>
                </a:rPr>
                <a:t>€ Revenue generated</a:t>
              </a:r>
            </a:p>
          </xdr:txBody>
        </xdr:sp>
        <xdr:cxnSp macro="">
          <xdr:nvCxnSpPr>
            <xdr:cNvPr id="72" name="Gerade Verbindung 137">
              <a:extLst>
                <a:ext uri="{FF2B5EF4-FFF2-40B4-BE49-F238E27FC236}">
                  <a16:creationId xmlns:a16="http://schemas.microsoft.com/office/drawing/2014/main" id="{00000000-0008-0000-0300-000048000000}"/>
                </a:ext>
              </a:extLst>
            </xdr:cNvPr>
            <xdr:cNvCxnSpPr/>
          </xdr:nvCxnSpPr>
          <xdr:spPr bwMode="auto">
            <a:xfrm>
              <a:off x="6660232" y="3072697"/>
              <a:ext cx="814545" cy="0"/>
            </a:xfrm>
            <a:prstGeom prst="line">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73" name="Rectangle 28">
              <a:extLst>
                <a:ext uri="{FF2B5EF4-FFF2-40B4-BE49-F238E27FC236}">
                  <a16:creationId xmlns:a16="http://schemas.microsoft.com/office/drawing/2014/main" id="{00000000-0008-0000-0300-000049000000}"/>
                </a:ext>
              </a:extLst>
            </xdr:cNvPr>
            <xdr:cNvSpPr>
              <a:spLocks noChangeArrowheads="1"/>
            </xdr:cNvSpPr>
          </xdr:nvSpPr>
          <xdr:spPr bwMode="auto">
            <a:xfrm>
              <a:off x="7067542" y="2835410"/>
              <a:ext cx="407273" cy="161557"/>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r>
                <a:rPr lang="en-US" altLang="de-DE" sz="933" b="1">
                  <a:solidFill>
                    <a:srgbClr val="000000"/>
                  </a:solidFill>
                  <a:latin typeface="Frutiger LT Com 45 Light" panose="020B0303030504020204" pitchFamily="34" charset="0"/>
                </a:rPr>
                <a:t>Target</a:t>
              </a:r>
            </a:p>
          </xdr:txBody>
        </xdr:sp>
        <xdr:sp macro="" textlink="'Prospection Summary'!Q1047">
          <xdr:nvSpPr>
            <xdr:cNvPr id="74" name="Rectangle 27">
              <a:extLst>
                <a:ext uri="{FF2B5EF4-FFF2-40B4-BE49-F238E27FC236}">
                  <a16:creationId xmlns:a16="http://schemas.microsoft.com/office/drawing/2014/main" id="{00000000-0008-0000-0300-00004A000000}"/>
                </a:ext>
              </a:extLst>
            </xdr:cNvPr>
            <xdr:cNvSpPr>
              <a:spLocks noChangeArrowheads="1"/>
            </xdr:cNvSpPr>
          </xdr:nvSpPr>
          <xdr:spPr bwMode="auto">
            <a:xfrm>
              <a:off x="7067542" y="2997308"/>
              <a:ext cx="407273" cy="116364"/>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fld id="{95497DDF-340E-476F-9CED-ADFFAB8EF2EB}" type="TxLink">
                <a:rPr lang="en-US" altLang="de-DE" sz="1000" b="1" i="0" u="none" strike="noStrike">
                  <a:solidFill>
                    <a:srgbClr val="000000"/>
                  </a:solidFill>
                  <a:latin typeface="Frutiger LT Com 45 Light" panose="020B0303030504020204" pitchFamily="34" charset="0"/>
                </a:rPr>
                <a:pPr algn="ctr" eaLnBrk="1" fontAlgn="auto" hangingPunct="1">
                  <a:spcBef>
                    <a:spcPct val="0"/>
                  </a:spcBef>
                  <a:spcAft>
                    <a:spcPts val="0"/>
                  </a:spcAft>
                </a:pPr>
                <a:t>2.600.000,00 </a:t>
              </a:fld>
              <a:endParaRPr lang="en-US" altLang="de-DE" sz="1000" b="1">
                <a:solidFill>
                  <a:srgbClr val="000000"/>
                </a:solidFill>
                <a:latin typeface="Frutiger LT Com 45 Light" panose="020B0303030504020204" pitchFamily="34" charset="0"/>
              </a:endParaRPr>
            </a:p>
          </xdr:txBody>
        </xdr:sp>
        <xdr:sp macro="" textlink="">
          <xdr:nvSpPr>
            <xdr:cNvPr id="75" name="Rectangle 28">
              <a:extLst>
                <a:ext uri="{FF2B5EF4-FFF2-40B4-BE49-F238E27FC236}">
                  <a16:creationId xmlns:a16="http://schemas.microsoft.com/office/drawing/2014/main" id="{00000000-0008-0000-0300-00004B000000}"/>
                </a:ext>
              </a:extLst>
            </xdr:cNvPr>
            <xdr:cNvSpPr>
              <a:spLocks noChangeArrowheads="1"/>
            </xdr:cNvSpPr>
          </xdr:nvSpPr>
          <xdr:spPr bwMode="auto">
            <a:xfrm>
              <a:off x="6661142" y="2835410"/>
              <a:ext cx="407273" cy="161557"/>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r>
                <a:rPr lang="en-US" altLang="de-DE" sz="933" b="1">
                  <a:solidFill>
                    <a:srgbClr val="000000"/>
                  </a:solidFill>
                  <a:latin typeface="Frutiger LT Com 45 Light" panose="020B0303030504020204" pitchFamily="34" charset="0"/>
                </a:rPr>
                <a:t>Current</a:t>
              </a:r>
            </a:p>
          </xdr:txBody>
        </xdr:sp>
        <xdr:sp macro="" textlink="'Prospection Summary'!P1047">
          <xdr:nvSpPr>
            <xdr:cNvPr id="76" name="Rectangle 27">
              <a:extLst>
                <a:ext uri="{FF2B5EF4-FFF2-40B4-BE49-F238E27FC236}">
                  <a16:creationId xmlns:a16="http://schemas.microsoft.com/office/drawing/2014/main" id="{00000000-0008-0000-0300-00004C000000}"/>
                </a:ext>
              </a:extLst>
            </xdr:cNvPr>
            <xdr:cNvSpPr>
              <a:spLocks noChangeArrowheads="1"/>
            </xdr:cNvSpPr>
          </xdr:nvSpPr>
          <xdr:spPr bwMode="auto">
            <a:xfrm>
              <a:off x="6661142" y="2997308"/>
              <a:ext cx="407273" cy="116364"/>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fld id="{346FD550-242C-499F-915F-3D1F7E89E0DD}" type="TxLink">
                <a:rPr lang="en-US" altLang="de-DE" sz="1000" b="1" i="0" u="none" strike="noStrike">
                  <a:solidFill>
                    <a:srgbClr val="000000"/>
                  </a:solidFill>
                  <a:latin typeface="Frutiger LT Com 45 Light" panose="020B0303030504020204" pitchFamily="34" charset="0"/>
                </a:rPr>
                <a:pPr algn="ctr" eaLnBrk="1" fontAlgn="auto" hangingPunct="1">
                  <a:spcBef>
                    <a:spcPct val="0"/>
                  </a:spcBef>
                  <a:spcAft>
                    <a:spcPts val="0"/>
                  </a:spcAft>
                </a:pPr>
                <a:t>9.334.979 </a:t>
              </a:fld>
              <a:endParaRPr lang="en-US" altLang="de-DE" sz="1000" b="1">
                <a:solidFill>
                  <a:srgbClr val="000000"/>
                </a:solidFill>
                <a:latin typeface="Frutiger LT Com 45 Light" panose="020B0303030504020204" pitchFamily="34" charset="0"/>
              </a:endParaRPr>
            </a:p>
          </xdr:txBody>
        </xdr:sp>
        <xdr:sp macro="" textlink="">
          <xdr:nvSpPr>
            <xdr:cNvPr id="77" name="Rectangle 28">
              <a:extLst>
                <a:ext uri="{FF2B5EF4-FFF2-40B4-BE49-F238E27FC236}">
                  <a16:creationId xmlns:a16="http://schemas.microsoft.com/office/drawing/2014/main" id="{00000000-0008-0000-0300-00004D000000}"/>
                </a:ext>
              </a:extLst>
            </xdr:cNvPr>
            <xdr:cNvSpPr>
              <a:spLocks noChangeArrowheads="1"/>
            </xdr:cNvSpPr>
          </xdr:nvSpPr>
          <xdr:spPr bwMode="auto">
            <a:xfrm>
              <a:off x="7474815" y="2835410"/>
              <a:ext cx="407273" cy="161557"/>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r>
                <a:rPr lang="en-US" altLang="de-DE" sz="933" b="1">
                  <a:solidFill>
                    <a:srgbClr val="000000"/>
                  </a:solidFill>
                  <a:latin typeface="Frutiger LT Com 45 Light" panose="020B0303030504020204" pitchFamily="34" charset="0"/>
                </a:rPr>
                <a:t>Result</a:t>
              </a:r>
            </a:p>
          </xdr:txBody>
        </xdr:sp>
        <xdr:sp macro="" textlink="'Prospection Summary'!R1047">
          <xdr:nvSpPr>
            <xdr:cNvPr id="78" name="Rectangle 27">
              <a:extLst>
                <a:ext uri="{FF2B5EF4-FFF2-40B4-BE49-F238E27FC236}">
                  <a16:creationId xmlns:a16="http://schemas.microsoft.com/office/drawing/2014/main" id="{00000000-0008-0000-0300-00004E000000}"/>
                </a:ext>
              </a:extLst>
            </xdr:cNvPr>
            <xdr:cNvSpPr>
              <a:spLocks noChangeArrowheads="1"/>
            </xdr:cNvSpPr>
          </xdr:nvSpPr>
          <xdr:spPr bwMode="auto">
            <a:xfrm>
              <a:off x="7474815" y="2997308"/>
              <a:ext cx="407273" cy="116364"/>
            </a:xfrm>
            <a:prstGeom prst="rect">
              <a:avLst/>
            </a:prstGeom>
            <a:solidFill>
              <a:schemeClr val="bg2">
                <a:lumMod val="20000"/>
                <a:lumOff val="80000"/>
              </a:schemeClr>
            </a:solidFill>
            <a:ln w="9525">
              <a:solidFill>
                <a:schemeClr val="bg1">
                  <a:lumMod val="85000"/>
                </a:scheme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fld id="{9F2E896A-2C69-4EB7-ABAF-81BBB543A1E8}" type="TxLink">
                <a:rPr lang="en-US" altLang="de-DE" sz="1000" b="1" i="0" u="none" strike="noStrike">
                  <a:solidFill>
                    <a:srgbClr val="000000"/>
                  </a:solidFill>
                  <a:latin typeface="Frutiger LT Com 45 Light" panose="020B0303030504020204" pitchFamily="34" charset="0"/>
                </a:rPr>
                <a:pPr algn="ctr" eaLnBrk="1" fontAlgn="auto" hangingPunct="1">
                  <a:spcBef>
                    <a:spcPct val="0"/>
                  </a:spcBef>
                  <a:spcAft>
                    <a:spcPts val="0"/>
                  </a:spcAft>
                </a:pPr>
                <a:t>359%</a:t>
              </a:fld>
              <a:endParaRPr lang="en-US" altLang="de-DE" sz="1000" b="1">
                <a:solidFill>
                  <a:srgbClr val="000000"/>
                </a:solidFill>
                <a:latin typeface="Frutiger LT Com 45 Light" panose="020B0303030504020204" pitchFamily="34" charset="0"/>
              </a:endParaRPr>
            </a:p>
          </xdr:txBody>
        </xdr:sp>
      </xdr:grpSp>
      <xdr:sp macro="" textlink="">
        <xdr:nvSpPr>
          <xdr:cNvPr id="21" name="Freeform 33">
            <a:extLst>
              <a:ext uri="{FF2B5EF4-FFF2-40B4-BE49-F238E27FC236}">
                <a16:creationId xmlns:a16="http://schemas.microsoft.com/office/drawing/2014/main" id="{00000000-0008-0000-0300-000015000000}"/>
              </a:ext>
            </a:extLst>
          </xdr:cNvPr>
          <xdr:cNvSpPr>
            <a:spLocks/>
          </xdr:cNvSpPr>
        </xdr:nvSpPr>
        <xdr:spPr bwMode="gray">
          <a:xfrm>
            <a:off x="4430099" y="4704082"/>
            <a:ext cx="1061917" cy="472956"/>
          </a:xfrm>
          <a:custGeom>
            <a:avLst/>
            <a:gdLst/>
            <a:ahLst/>
            <a:cxnLst>
              <a:cxn ang="0">
                <a:pos x="115" y="14"/>
              </a:cxn>
              <a:cxn ang="0">
                <a:pos x="1" y="0"/>
              </a:cxn>
              <a:cxn ang="0">
                <a:pos x="0" y="0"/>
              </a:cxn>
              <a:cxn ang="0">
                <a:pos x="0" y="0"/>
              </a:cxn>
              <a:cxn ang="0">
                <a:pos x="0" y="0"/>
              </a:cxn>
              <a:cxn ang="0">
                <a:pos x="0" y="163"/>
              </a:cxn>
              <a:cxn ang="0">
                <a:pos x="229" y="163"/>
              </a:cxn>
              <a:cxn ang="0">
                <a:pos x="229" y="1"/>
              </a:cxn>
              <a:cxn ang="0">
                <a:pos x="115" y="14"/>
              </a:cxn>
            </a:cxnLst>
            <a:rect l="0" t="0" r="r" b="b"/>
            <a:pathLst>
              <a:path w="229" h="163">
                <a:moveTo>
                  <a:pt x="115" y="14"/>
                </a:moveTo>
                <a:cubicBezTo>
                  <a:pt x="55" y="14"/>
                  <a:pt x="6" y="8"/>
                  <a:pt x="1" y="0"/>
                </a:cubicBezTo>
                <a:cubicBezTo>
                  <a:pt x="0" y="0"/>
                  <a:pt x="0" y="0"/>
                  <a:pt x="0" y="0"/>
                </a:cubicBezTo>
                <a:cubicBezTo>
                  <a:pt x="0" y="0"/>
                  <a:pt x="0" y="0"/>
                  <a:pt x="0" y="0"/>
                </a:cubicBezTo>
                <a:cubicBezTo>
                  <a:pt x="0" y="0"/>
                  <a:pt x="0" y="0"/>
                  <a:pt x="0" y="0"/>
                </a:cubicBezTo>
                <a:cubicBezTo>
                  <a:pt x="0" y="163"/>
                  <a:pt x="0" y="163"/>
                  <a:pt x="0" y="163"/>
                </a:cubicBezTo>
                <a:cubicBezTo>
                  <a:pt x="229" y="163"/>
                  <a:pt x="229" y="163"/>
                  <a:pt x="229" y="163"/>
                </a:cubicBezTo>
                <a:cubicBezTo>
                  <a:pt x="229" y="1"/>
                  <a:pt x="229" y="1"/>
                  <a:pt x="229" y="1"/>
                </a:cubicBezTo>
                <a:cubicBezTo>
                  <a:pt x="222" y="8"/>
                  <a:pt x="174" y="14"/>
                  <a:pt x="115" y="14"/>
                </a:cubicBezTo>
                <a:close/>
              </a:path>
            </a:pathLst>
          </a:custGeom>
          <a:gradFill rotWithShape="1">
            <a:gsLst>
              <a:gs pos="0">
                <a:srgbClr val="969696"/>
              </a:gs>
              <a:gs pos="50000">
                <a:srgbClr val="D7D7D7"/>
              </a:gs>
              <a:gs pos="100000">
                <a:srgbClr val="969696"/>
              </a:gs>
            </a:gsLst>
            <a:lin ang="0" scaled="1"/>
          </a:gradFill>
          <a:ln w="9525">
            <a:no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endParaRPr lang="en-GB" sz="2100">
              <a:solidFill>
                <a:srgbClr val="000000"/>
              </a:solidFill>
              <a:latin typeface="Frutiger LT Com 45 Light" panose="020B0303030504020204" pitchFamily="34" charset="0"/>
            </a:endParaRPr>
          </a:p>
        </xdr:txBody>
      </xdr:sp>
      <xdr:sp macro="" textlink="">
        <xdr:nvSpPr>
          <xdr:cNvPr id="22" name="Oval 36">
            <a:extLst>
              <a:ext uri="{FF2B5EF4-FFF2-40B4-BE49-F238E27FC236}">
                <a16:creationId xmlns:a16="http://schemas.microsoft.com/office/drawing/2014/main" id="{00000000-0008-0000-0300-000016000000}"/>
              </a:ext>
            </a:extLst>
          </xdr:cNvPr>
          <xdr:cNvSpPr>
            <a:spLocks noChangeArrowheads="1"/>
          </xdr:cNvSpPr>
        </xdr:nvSpPr>
        <xdr:spPr bwMode="gray">
          <a:xfrm>
            <a:off x="4429655" y="5085076"/>
            <a:ext cx="1061917" cy="154016"/>
          </a:xfrm>
          <a:prstGeom prst="ellipse">
            <a:avLst/>
          </a:prstGeom>
          <a:gradFill rotWithShape="1">
            <a:gsLst>
              <a:gs pos="0">
                <a:srgbClr val="AFAFAF"/>
              </a:gs>
              <a:gs pos="50000">
                <a:srgbClr val="E6E6E6"/>
              </a:gs>
              <a:gs pos="100000">
                <a:srgbClr val="AFAFAF"/>
              </a:gs>
            </a:gsLst>
            <a:lin ang="0" scaled="1"/>
          </a:gradFill>
          <a:ln w="9525">
            <a:no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endParaRPr lang="en-GB" sz="2100">
              <a:solidFill>
                <a:srgbClr val="000000"/>
              </a:solidFill>
              <a:latin typeface="Frutiger LT Com 45 Light" panose="020B0303030504020204" pitchFamily="34" charset="0"/>
            </a:endParaRPr>
          </a:p>
        </xdr:txBody>
      </xdr:sp>
      <xdr:sp macro="" textlink="">
        <xdr:nvSpPr>
          <xdr:cNvPr id="23" name="Textfeld 122">
            <a:extLst>
              <a:ext uri="{FF2B5EF4-FFF2-40B4-BE49-F238E27FC236}">
                <a16:creationId xmlns:a16="http://schemas.microsoft.com/office/drawing/2014/main" id="{00000000-0008-0000-0300-000017000000}"/>
              </a:ext>
            </a:extLst>
          </xdr:cNvPr>
          <xdr:cNvSpPr txBox="1"/>
        </xdr:nvSpPr>
        <xdr:spPr>
          <a:xfrm>
            <a:off x="287275" y="1191274"/>
            <a:ext cx="2404074" cy="322687"/>
          </a:xfrm>
          <a:prstGeom prst="rect">
            <a:avLst/>
          </a:prstGeom>
          <a:noFill/>
        </xdr:spPr>
        <xdr:txBody>
          <a:bodyPr wrap="square" lIns="88363" tIns="44181" rIns="88363" bIns="44181" rtlCol="0">
            <a:spAutoFit/>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r>
              <a:rPr lang="en-GB" sz="1517" b="1">
                <a:solidFill>
                  <a:srgbClr val="000000"/>
                </a:solidFill>
                <a:latin typeface="Frutiger LT Com 45 Light" panose="020B0303030504020204" pitchFamily="34" charset="0"/>
              </a:rPr>
              <a:t>Public-funded projects</a:t>
            </a:r>
          </a:p>
        </xdr:txBody>
      </xdr:sp>
      <xdr:cxnSp macro="">
        <xdr:nvCxnSpPr>
          <xdr:cNvPr id="24" name="Gewinkelter Verbinder 23">
            <a:extLst>
              <a:ext uri="{FF2B5EF4-FFF2-40B4-BE49-F238E27FC236}">
                <a16:creationId xmlns:a16="http://schemas.microsoft.com/office/drawing/2014/main" id="{00000000-0008-0000-0300-000018000000}"/>
              </a:ext>
            </a:extLst>
          </xdr:cNvPr>
          <xdr:cNvCxnSpPr/>
        </xdr:nvCxnSpPr>
        <xdr:spPr bwMode="auto">
          <a:xfrm rot="16200000" flipH="1">
            <a:off x="5483243" y="4244608"/>
            <a:ext cx="2340000" cy="504000"/>
          </a:xfrm>
          <a:prstGeom prst="bentConnector3">
            <a:avLst>
              <a:gd name="adj1" fmla="val 50000"/>
            </a:avLst>
          </a:prstGeom>
          <a:noFill/>
          <a:ln w="19050" cap="sq">
            <a:solidFill>
              <a:srgbClr val="FF0000"/>
            </a:solidFill>
            <a:prstDash val="sysDot"/>
            <a:round/>
            <a:headEnd/>
            <a:tailEnd type="triangle"/>
          </a:ln>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25" name="Line 17">
            <a:extLst>
              <a:ext uri="{FF2B5EF4-FFF2-40B4-BE49-F238E27FC236}">
                <a16:creationId xmlns:a16="http://schemas.microsoft.com/office/drawing/2014/main" id="{00000000-0008-0000-0300-000019000000}"/>
              </a:ext>
            </a:extLst>
          </xdr:cNvPr>
          <xdr:cNvSpPr>
            <a:spLocks noChangeShapeType="1"/>
          </xdr:cNvSpPr>
        </xdr:nvSpPr>
        <xdr:spPr bwMode="gray">
          <a:xfrm>
            <a:off x="1340708" y="4691048"/>
            <a:ext cx="2955070" cy="23213"/>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sp macro="" textlink="">
        <xdr:nvSpPr>
          <xdr:cNvPr id="26" name="Line 17">
            <a:extLst>
              <a:ext uri="{FF2B5EF4-FFF2-40B4-BE49-F238E27FC236}">
                <a16:creationId xmlns:a16="http://schemas.microsoft.com/office/drawing/2014/main" id="{00000000-0008-0000-0300-00001A000000}"/>
              </a:ext>
            </a:extLst>
          </xdr:cNvPr>
          <xdr:cNvSpPr>
            <a:spLocks noChangeShapeType="1"/>
          </xdr:cNvSpPr>
        </xdr:nvSpPr>
        <xdr:spPr bwMode="gray">
          <a:xfrm>
            <a:off x="1058630" y="3301278"/>
            <a:ext cx="2503162" cy="561"/>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sp macro="" textlink="">
        <xdr:nvSpPr>
          <xdr:cNvPr id="27" name="Line 17">
            <a:extLst>
              <a:ext uri="{FF2B5EF4-FFF2-40B4-BE49-F238E27FC236}">
                <a16:creationId xmlns:a16="http://schemas.microsoft.com/office/drawing/2014/main" id="{00000000-0008-0000-0300-00001B000000}"/>
              </a:ext>
            </a:extLst>
          </xdr:cNvPr>
          <xdr:cNvSpPr>
            <a:spLocks noChangeShapeType="1"/>
          </xdr:cNvSpPr>
        </xdr:nvSpPr>
        <xdr:spPr bwMode="gray">
          <a:xfrm flipV="1">
            <a:off x="791329" y="2373820"/>
            <a:ext cx="2260509" cy="0"/>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grpSp>
        <xdr:nvGrpSpPr>
          <xdr:cNvPr id="28" name="Gruppieren 27">
            <a:extLst>
              <a:ext uri="{FF2B5EF4-FFF2-40B4-BE49-F238E27FC236}">
                <a16:creationId xmlns:a16="http://schemas.microsoft.com/office/drawing/2014/main" id="{00000000-0008-0000-0300-00001C000000}"/>
              </a:ext>
            </a:extLst>
          </xdr:cNvPr>
          <xdr:cNvGrpSpPr/>
        </xdr:nvGrpSpPr>
        <xdr:grpSpPr>
          <a:xfrm>
            <a:off x="808070" y="1605594"/>
            <a:ext cx="1425501" cy="680410"/>
            <a:chOff x="6660231" y="2528607"/>
            <a:chExt cx="1221857" cy="583208"/>
          </a:xfrm>
        </xdr:grpSpPr>
        <xdr:sp macro="" textlink="">
          <xdr:nvSpPr>
            <xdr:cNvPr id="65" name="Rechteck 64">
              <a:extLst>
                <a:ext uri="{FF2B5EF4-FFF2-40B4-BE49-F238E27FC236}">
                  <a16:creationId xmlns:a16="http://schemas.microsoft.com/office/drawing/2014/main" id="{00000000-0008-0000-0300-00004100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Proposal Preparation</a:t>
              </a:r>
            </a:p>
          </xdr:txBody>
        </xdr:sp>
        <xdr:cxnSp macro="">
          <xdr:nvCxnSpPr>
            <xdr:cNvPr id="66" name="Gerade Verbindung 126">
              <a:extLst>
                <a:ext uri="{FF2B5EF4-FFF2-40B4-BE49-F238E27FC236}">
                  <a16:creationId xmlns:a16="http://schemas.microsoft.com/office/drawing/2014/main" id="{00000000-0008-0000-0300-00004200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67" name="Rectangle 28">
              <a:extLst>
                <a:ext uri="{FF2B5EF4-FFF2-40B4-BE49-F238E27FC236}">
                  <a16:creationId xmlns:a16="http://schemas.microsoft.com/office/drawing/2014/main" id="{00000000-0008-0000-0300-00004300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P1034">
          <xdr:nvSpPr>
            <xdr:cNvPr id="68" name="Rectangle 27">
              <a:extLst>
                <a:ext uri="{FF2B5EF4-FFF2-40B4-BE49-F238E27FC236}">
                  <a16:creationId xmlns:a16="http://schemas.microsoft.com/office/drawing/2014/main" id="{00000000-0008-0000-0300-00004400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7069A112-1D2B-4B2C-A92E-8F029A67526A}" type="TxLink">
                <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53</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9" name="Rectangle 28">
              <a:extLst>
                <a:ext uri="{FF2B5EF4-FFF2-40B4-BE49-F238E27FC236}">
                  <a16:creationId xmlns:a16="http://schemas.microsoft.com/office/drawing/2014/main" id="{00000000-0008-0000-0300-00004500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lang="en-US" altLang="de-DE" sz="933" kern="0">
                  <a:solidFill>
                    <a:srgbClr val="000000"/>
                  </a:solidFill>
                  <a:latin typeface="Frutiger LT Com 45 Light" panose="020B0303030504020204" pitchFamily="34" charset="0"/>
                </a:rPr>
                <a:t>Amount [€]</a:t>
              </a:r>
              <a:endPar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Prospection Summary'!Q1034">
          <xdr:nvSpPr>
            <xdr:cNvPr id="70" name="Rectangle 27">
              <a:extLst>
                <a:ext uri="{FF2B5EF4-FFF2-40B4-BE49-F238E27FC236}">
                  <a16:creationId xmlns:a16="http://schemas.microsoft.com/office/drawing/2014/main" id="{00000000-0008-0000-0300-00004600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AC477A27-792B-42C4-A3C1-E9AB0C4D440B}"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20.476.572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29" name="Gruppieren 28">
            <a:extLst>
              <a:ext uri="{FF2B5EF4-FFF2-40B4-BE49-F238E27FC236}">
                <a16:creationId xmlns:a16="http://schemas.microsoft.com/office/drawing/2014/main" id="{00000000-0008-0000-0300-00001D000000}"/>
              </a:ext>
            </a:extLst>
          </xdr:cNvPr>
          <xdr:cNvGrpSpPr/>
        </xdr:nvGrpSpPr>
        <xdr:grpSpPr>
          <a:xfrm>
            <a:off x="1345564" y="3910254"/>
            <a:ext cx="1425501" cy="680410"/>
            <a:chOff x="6660231" y="2528607"/>
            <a:chExt cx="1221857" cy="583208"/>
          </a:xfrm>
        </xdr:grpSpPr>
        <xdr:sp macro="" textlink="">
          <xdr:nvSpPr>
            <xdr:cNvPr id="59" name="Rechteck 58">
              <a:extLst>
                <a:ext uri="{FF2B5EF4-FFF2-40B4-BE49-F238E27FC236}">
                  <a16:creationId xmlns:a16="http://schemas.microsoft.com/office/drawing/2014/main" id="{00000000-0008-0000-0300-00003B00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Running and Finished</a:t>
              </a:r>
            </a:p>
          </xdr:txBody>
        </xdr:sp>
        <xdr:cxnSp macro="">
          <xdr:nvCxnSpPr>
            <xdr:cNvPr id="60" name="Gerade Verbindung 126">
              <a:extLst>
                <a:ext uri="{FF2B5EF4-FFF2-40B4-BE49-F238E27FC236}">
                  <a16:creationId xmlns:a16="http://schemas.microsoft.com/office/drawing/2014/main" id="{00000000-0008-0000-0300-00003C00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61" name="Rectangle 28">
              <a:extLst>
                <a:ext uri="{FF2B5EF4-FFF2-40B4-BE49-F238E27FC236}">
                  <a16:creationId xmlns:a16="http://schemas.microsoft.com/office/drawing/2014/main" id="{00000000-0008-0000-0300-00003D00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Projects</a:t>
              </a:r>
            </a:p>
          </xdr:txBody>
        </xdr:sp>
        <xdr:sp macro="" textlink="'Prospection Summary'!P1040">
          <xdr:nvSpPr>
            <xdr:cNvPr id="62" name="Rectangle 27">
              <a:extLst>
                <a:ext uri="{FF2B5EF4-FFF2-40B4-BE49-F238E27FC236}">
                  <a16:creationId xmlns:a16="http://schemas.microsoft.com/office/drawing/2014/main" id="{00000000-0008-0000-0300-00003E00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65BC9AD8-E510-446E-A870-32E0D677E6DA}" type="TxLink">
                <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17</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3" name="Rectangle 28">
              <a:extLst>
                <a:ext uri="{FF2B5EF4-FFF2-40B4-BE49-F238E27FC236}">
                  <a16:creationId xmlns:a16="http://schemas.microsoft.com/office/drawing/2014/main" id="{00000000-0008-0000-0300-00003F00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Q1040">
          <xdr:nvSpPr>
            <xdr:cNvPr id="64" name="Rectangle 27">
              <a:extLst>
                <a:ext uri="{FF2B5EF4-FFF2-40B4-BE49-F238E27FC236}">
                  <a16:creationId xmlns:a16="http://schemas.microsoft.com/office/drawing/2014/main" id="{00000000-0008-0000-0300-00004000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4F9B6AF6-7546-41C1-8469-C410367F968E}"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3.447.986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cxnSp macro="">
        <xdr:nvCxnSpPr>
          <xdr:cNvPr id="30" name="Gewinkelter Verbinder 29">
            <a:extLst>
              <a:ext uri="{FF2B5EF4-FFF2-40B4-BE49-F238E27FC236}">
                <a16:creationId xmlns:a16="http://schemas.microsoft.com/office/drawing/2014/main" id="{00000000-0008-0000-0300-00001E000000}"/>
              </a:ext>
            </a:extLst>
          </xdr:cNvPr>
          <xdr:cNvCxnSpPr/>
        </xdr:nvCxnSpPr>
        <xdr:spPr bwMode="auto">
          <a:xfrm rot="5400000">
            <a:off x="2152912" y="4255531"/>
            <a:ext cx="2340000" cy="504000"/>
          </a:xfrm>
          <a:prstGeom prst="bentConnector3">
            <a:avLst>
              <a:gd name="adj1" fmla="val 50000"/>
            </a:avLst>
          </a:prstGeom>
          <a:noFill/>
          <a:ln w="19050" cap="sq">
            <a:solidFill>
              <a:srgbClr val="FF0000"/>
            </a:solidFill>
            <a:prstDash val="sysDot"/>
            <a:round/>
            <a:headEnd/>
            <a:tailEnd type="triangle"/>
          </a:ln>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grpSp>
        <xdr:nvGrpSpPr>
          <xdr:cNvPr id="31" name="Gruppieren 30">
            <a:extLst>
              <a:ext uri="{FF2B5EF4-FFF2-40B4-BE49-F238E27FC236}">
                <a16:creationId xmlns:a16="http://schemas.microsoft.com/office/drawing/2014/main" id="{00000000-0008-0000-0300-00001F000000}"/>
              </a:ext>
            </a:extLst>
          </xdr:cNvPr>
          <xdr:cNvGrpSpPr/>
        </xdr:nvGrpSpPr>
        <xdr:grpSpPr>
          <a:xfrm>
            <a:off x="1533104" y="5136103"/>
            <a:ext cx="1425501" cy="680410"/>
            <a:chOff x="6660231" y="2528607"/>
            <a:chExt cx="1221857" cy="583208"/>
          </a:xfrm>
        </xdr:grpSpPr>
        <xdr:sp macro="" textlink="">
          <xdr:nvSpPr>
            <xdr:cNvPr id="53" name="Rechteck 52">
              <a:extLst>
                <a:ext uri="{FF2B5EF4-FFF2-40B4-BE49-F238E27FC236}">
                  <a16:creationId xmlns:a16="http://schemas.microsoft.com/office/drawing/2014/main" id="{00000000-0008-0000-0300-00003500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Declined</a:t>
              </a:r>
            </a:p>
          </xdr:txBody>
        </xdr:sp>
        <xdr:cxnSp macro="">
          <xdr:nvCxnSpPr>
            <xdr:cNvPr id="54" name="Gerade Verbindung 126">
              <a:extLst>
                <a:ext uri="{FF2B5EF4-FFF2-40B4-BE49-F238E27FC236}">
                  <a16:creationId xmlns:a16="http://schemas.microsoft.com/office/drawing/2014/main" id="{00000000-0008-0000-0300-00003600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55" name="Rectangle 28">
              <a:extLst>
                <a:ext uri="{FF2B5EF4-FFF2-40B4-BE49-F238E27FC236}">
                  <a16:creationId xmlns:a16="http://schemas.microsoft.com/office/drawing/2014/main" id="{00000000-0008-0000-0300-00003700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P1043">
          <xdr:nvSpPr>
            <xdr:cNvPr id="56" name="Rectangle 27">
              <a:extLst>
                <a:ext uri="{FF2B5EF4-FFF2-40B4-BE49-F238E27FC236}">
                  <a16:creationId xmlns:a16="http://schemas.microsoft.com/office/drawing/2014/main" id="{00000000-0008-0000-0300-00003800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C6284C85-29DE-4016-BA50-AFFCE390EA5A}"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28</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7" name="Rectangle 28">
              <a:extLst>
                <a:ext uri="{FF2B5EF4-FFF2-40B4-BE49-F238E27FC236}">
                  <a16:creationId xmlns:a16="http://schemas.microsoft.com/office/drawing/2014/main" id="{00000000-0008-0000-0300-00003900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Q1043">
          <xdr:nvSpPr>
            <xdr:cNvPr id="58" name="Rectangle 27">
              <a:extLst>
                <a:ext uri="{FF2B5EF4-FFF2-40B4-BE49-F238E27FC236}">
                  <a16:creationId xmlns:a16="http://schemas.microsoft.com/office/drawing/2014/main" id="{00000000-0008-0000-0300-00003A00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12D3F5EF-9E39-4F99-8BE0-D6E888DC01CC}"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12.932.616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32" name="Gruppieren 31">
            <a:extLst>
              <a:ext uri="{FF2B5EF4-FFF2-40B4-BE49-F238E27FC236}">
                <a16:creationId xmlns:a16="http://schemas.microsoft.com/office/drawing/2014/main" id="{00000000-0008-0000-0300-000020000000}"/>
              </a:ext>
            </a:extLst>
          </xdr:cNvPr>
          <xdr:cNvGrpSpPr/>
        </xdr:nvGrpSpPr>
        <xdr:grpSpPr>
          <a:xfrm>
            <a:off x="1042375" y="2583646"/>
            <a:ext cx="1425505" cy="680411"/>
            <a:chOff x="6660228" y="2528607"/>
            <a:chExt cx="1221860" cy="583209"/>
          </a:xfrm>
        </xdr:grpSpPr>
        <xdr:sp macro="" textlink="">
          <xdr:nvSpPr>
            <xdr:cNvPr id="47" name="Rechteck 46">
              <a:extLst>
                <a:ext uri="{FF2B5EF4-FFF2-40B4-BE49-F238E27FC236}">
                  <a16:creationId xmlns:a16="http://schemas.microsoft.com/office/drawing/2014/main" id="{00000000-0008-0000-0300-00002F00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Proposals Submitted</a:t>
              </a:r>
            </a:p>
          </xdr:txBody>
        </xdr:sp>
        <xdr:cxnSp macro="">
          <xdr:nvCxnSpPr>
            <xdr:cNvPr id="48" name="Gerade Verbindung 126">
              <a:extLst>
                <a:ext uri="{FF2B5EF4-FFF2-40B4-BE49-F238E27FC236}">
                  <a16:creationId xmlns:a16="http://schemas.microsoft.com/office/drawing/2014/main" id="{00000000-0008-0000-0300-00003000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49" name="Rectangle 28">
              <a:extLst>
                <a:ext uri="{FF2B5EF4-FFF2-40B4-BE49-F238E27FC236}">
                  <a16:creationId xmlns:a16="http://schemas.microsoft.com/office/drawing/2014/main" id="{00000000-0008-0000-0300-00003100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P1037">
          <xdr:nvSpPr>
            <xdr:cNvPr id="50" name="Rectangle 27">
              <a:extLst>
                <a:ext uri="{FF2B5EF4-FFF2-40B4-BE49-F238E27FC236}">
                  <a16:creationId xmlns:a16="http://schemas.microsoft.com/office/drawing/2014/main" id="{00000000-0008-0000-0300-000032000000}"/>
                </a:ext>
              </a:extLst>
            </xdr:cNvPr>
            <xdr:cNvSpPr>
              <a:spLocks noChangeArrowheads="1"/>
            </xdr:cNvSpPr>
          </xdr:nvSpPr>
          <xdr:spPr bwMode="auto">
            <a:xfrm>
              <a:off x="6660228" y="2986669"/>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0AEE8FDF-6EDB-49F0-B8B0-D046A782E8DA}" type="TxLink">
                <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51</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1" name="Rectangle 28">
              <a:extLst>
                <a:ext uri="{FF2B5EF4-FFF2-40B4-BE49-F238E27FC236}">
                  <a16:creationId xmlns:a16="http://schemas.microsoft.com/office/drawing/2014/main" id="{00000000-0008-0000-0300-00003300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Q1037">
          <xdr:nvSpPr>
            <xdr:cNvPr id="52" name="Rectangle 27">
              <a:extLst>
                <a:ext uri="{FF2B5EF4-FFF2-40B4-BE49-F238E27FC236}">
                  <a16:creationId xmlns:a16="http://schemas.microsoft.com/office/drawing/2014/main" id="{00000000-0008-0000-0300-00003400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EC9D7E1A-BAB4-4496-B07E-CB11B8BDDF71}"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20.378.572</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33" name="Gruppieren 32">
            <a:extLst>
              <a:ext uri="{FF2B5EF4-FFF2-40B4-BE49-F238E27FC236}">
                <a16:creationId xmlns:a16="http://schemas.microsoft.com/office/drawing/2014/main" id="{00000000-0008-0000-0300-000021000000}"/>
              </a:ext>
            </a:extLst>
          </xdr:cNvPr>
          <xdr:cNvGrpSpPr/>
        </xdr:nvGrpSpPr>
        <xdr:grpSpPr>
          <a:xfrm>
            <a:off x="355795" y="4558687"/>
            <a:ext cx="821702" cy="680410"/>
            <a:chOff x="6660231" y="2528607"/>
            <a:chExt cx="1221857" cy="583208"/>
          </a:xfrm>
        </xdr:grpSpPr>
        <xdr:sp macro="" textlink="">
          <xdr:nvSpPr>
            <xdr:cNvPr id="41" name="Rechteck 40">
              <a:extLst>
                <a:ext uri="{FF2B5EF4-FFF2-40B4-BE49-F238E27FC236}">
                  <a16:creationId xmlns:a16="http://schemas.microsoft.com/office/drawing/2014/main" id="{00000000-0008-0000-0300-00002900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1" i="0" u="none" strike="noStrike" kern="0" cap="none" spc="0" normalizeH="0" baseline="0">
                  <a:ln>
                    <a:noFill/>
                  </a:ln>
                  <a:solidFill>
                    <a:srgbClr val="000000"/>
                  </a:solidFill>
                  <a:effectLst/>
                  <a:uLnTx/>
                  <a:uFillTx/>
                  <a:latin typeface="Frutiger LT Com 45 Light" panose="020B0303030504020204" pitchFamily="34" charset="0"/>
                </a:rPr>
                <a:t>Success rate</a:t>
              </a:r>
            </a:p>
          </xdr:txBody>
        </xdr:sp>
        <xdr:cxnSp macro="">
          <xdr:nvCxnSpPr>
            <xdr:cNvPr id="42" name="Gerade Verbindung 126">
              <a:extLst>
                <a:ext uri="{FF2B5EF4-FFF2-40B4-BE49-F238E27FC236}">
                  <a16:creationId xmlns:a16="http://schemas.microsoft.com/office/drawing/2014/main" id="{00000000-0008-0000-0300-00002A000000}"/>
                </a:ext>
              </a:extLst>
            </xdr:cNvPr>
            <xdr:cNvCxnSpPr/>
          </xdr:nvCxnSpPr>
          <xdr:spPr bwMode="auto">
            <a:xfrm>
              <a:off x="6660232" y="3072697"/>
              <a:ext cx="814546"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43" name="Rectangle 28">
              <a:extLst>
                <a:ext uri="{FF2B5EF4-FFF2-40B4-BE49-F238E27FC236}">
                  <a16:creationId xmlns:a16="http://schemas.microsoft.com/office/drawing/2014/main" id="{00000000-0008-0000-0300-00002B00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lang="en-US" altLang="de-DE" sz="933" b="1" kern="0">
                  <a:solidFill>
                    <a:srgbClr val="000000"/>
                  </a:solidFill>
                  <a:latin typeface="Frutiger LT Com 45 Light" panose="020B0303030504020204" pitchFamily="34" charset="0"/>
                </a:rPr>
                <a:t>#</a:t>
              </a:r>
              <a:endParaRPr kumimoji="0" lang="en-US" altLang="de-DE" sz="933"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Prospection Summary'!N1040">
          <xdr:nvSpPr>
            <xdr:cNvPr id="44" name="Rectangle 27">
              <a:extLst>
                <a:ext uri="{FF2B5EF4-FFF2-40B4-BE49-F238E27FC236}">
                  <a16:creationId xmlns:a16="http://schemas.microsoft.com/office/drawing/2014/main" id="{00000000-0008-0000-0300-00002C00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F4F90D9F-07BC-4731-B344-4856D2E73FBF}" type="TxLink">
                <a:rPr lang="en-US" altLang="de-DE" sz="1000" b="1"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38%</a:t>
              </a:fld>
              <a:endPar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45" name="Rectangle 28">
              <a:extLst>
                <a:ext uri="{FF2B5EF4-FFF2-40B4-BE49-F238E27FC236}">
                  <a16:creationId xmlns:a16="http://schemas.microsoft.com/office/drawing/2014/main" id="{00000000-0008-0000-0300-00002D00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b="1" kern="0">
                  <a:solidFill>
                    <a:srgbClr val="000000"/>
                  </a:solidFill>
                  <a:latin typeface="Frutiger LT Com 45 Light" panose="020B0303030504020204" pitchFamily="34" charset="0"/>
                </a:rPr>
                <a:t>€</a:t>
              </a:r>
            </a:p>
          </xdr:txBody>
        </xdr:sp>
        <xdr:sp macro="" textlink="'Prospection Summary'!O1040">
          <xdr:nvSpPr>
            <xdr:cNvPr id="46" name="Rectangle 27">
              <a:extLst>
                <a:ext uri="{FF2B5EF4-FFF2-40B4-BE49-F238E27FC236}">
                  <a16:creationId xmlns:a16="http://schemas.microsoft.com/office/drawing/2014/main" id="{00000000-0008-0000-0300-00002E00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411FB454-9F48-41A0-9B42-77C229BC35FE}" type="TxLink">
                <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21%</a:t>
              </a:fld>
              <a:endPar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34" name="Gruppieren 33">
            <a:extLst>
              <a:ext uri="{FF2B5EF4-FFF2-40B4-BE49-F238E27FC236}">
                <a16:creationId xmlns:a16="http://schemas.microsoft.com/office/drawing/2014/main" id="{00000000-0008-0000-0300-000022000000}"/>
              </a:ext>
            </a:extLst>
          </xdr:cNvPr>
          <xdr:cNvGrpSpPr/>
        </xdr:nvGrpSpPr>
        <xdr:grpSpPr>
          <a:xfrm>
            <a:off x="8708377" y="4558687"/>
            <a:ext cx="821702" cy="680410"/>
            <a:chOff x="6660231" y="2528607"/>
            <a:chExt cx="1221857" cy="583208"/>
          </a:xfrm>
        </xdr:grpSpPr>
        <xdr:sp macro="" textlink="">
          <xdr:nvSpPr>
            <xdr:cNvPr id="35" name="Rechteck 34">
              <a:extLst>
                <a:ext uri="{FF2B5EF4-FFF2-40B4-BE49-F238E27FC236}">
                  <a16:creationId xmlns:a16="http://schemas.microsoft.com/office/drawing/2014/main" id="{00000000-0008-0000-0300-00002300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1" i="0" u="none" strike="noStrike" kern="0" cap="none" spc="0" normalizeH="0" baseline="0">
                  <a:ln>
                    <a:noFill/>
                  </a:ln>
                  <a:solidFill>
                    <a:srgbClr val="000000"/>
                  </a:solidFill>
                  <a:effectLst/>
                  <a:uLnTx/>
                  <a:uFillTx/>
                  <a:latin typeface="Frutiger LT Com 45 Light" panose="020B0303030504020204" pitchFamily="34" charset="0"/>
                </a:rPr>
                <a:t>Success rate</a:t>
              </a:r>
            </a:p>
          </xdr:txBody>
        </xdr:sp>
        <xdr:cxnSp macro="">
          <xdr:nvCxnSpPr>
            <xdr:cNvPr id="36" name="Gerade Verbindung 126">
              <a:extLst>
                <a:ext uri="{FF2B5EF4-FFF2-40B4-BE49-F238E27FC236}">
                  <a16:creationId xmlns:a16="http://schemas.microsoft.com/office/drawing/2014/main" id="{00000000-0008-0000-0300-000024000000}"/>
                </a:ext>
              </a:extLst>
            </xdr:cNvPr>
            <xdr:cNvCxnSpPr/>
          </xdr:nvCxnSpPr>
          <xdr:spPr bwMode="auto">
            <a:xfrm>
              <a:off x="6660232" y="3072697"/>
              <a:ext cx="814546"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37" name="Rectangle 28">
              <a:extLst>
                <a:ext uri="{FF2B5EF4-FFF2-40B4-BE49-F238E27FC236}">
                  <a16:creationId xmlns:a16="http://schemas.microsoft.com/office/drawing/2014/main" id="{00000000-0008-0000-0300-00002500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lang="en-US" altLang="de-DE" sz="933" b="1" kern="0">
                  <a:solidFill>
                    <a:srgbClr val="000000"/>
                  </a:solidFill>
                  <a:latin typeface="Frutiger LT Com 45 Light" panose="020B0303030504020204" pitchFamily="34" charset="0"/>
                </a:rPr>
                <a:t>#</a:t>
              </a:r>
              <a:endParaRPr kumimoji="0" lang="en-US" altLang="de-DE" sz="933"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Prospection Summary'!U1040">
          <xdr:nvSpPr>
            <xdr:cNvPr id="38" name="Rectangle 27">
              <a:extLst>
                <a:ext uri="{FF2B5EF4-FFF2-40B4-BE49-F238E27FC236}">
                  <a16:creationId xmlns:a16="http://schemas.microsoft.com/office/drawing/2014/main" id="{00000000-0008-0000-0300-00002600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03CA760B-4061-45D0-A8BE-5121B498B7EC}" type="TxLink">
                <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27%</a:t>
              </a:fld>
              <a:endPar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39" name="Rectangle 28">
              <a:extLst>
                <a:ext uri="{FF2B5EF4-FFF2-40B4-BE49-F238E27FC236}">
                  <a16:creationId xmlns:a16="http://schemas.microsoft.com/office/drawing/2014/main" id="{00000000-0008-0000-0300-00002700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b="1" kern="0">
                  <a:solidFill>
                    <a:srgbClr val="000000"/>
                  </a:solidFill>
                  <a:latin typeface="Frutiger LT Com 45 Light" panose="020B0303030504020204" pitchFamily="34" charset="0"/>
                </a:rPr>
                <a:t>€</a:t>
              </a:r>
            </a:p>
          </xdr:txBody>
        </xdr:sp>
        <xdr:sp macro="" textlink="'Prospection Summary'!V1040">
          <xdr:nvSpPr>
            <xdr:cNvPr id="40" name="Rectangle 27">
              <a:extLst>
                <a:ext uri="{FF2B5EF4-FFF2-40B4-BE49-F238E27FC236}">
                  <a16:creationId xmlns:a16="http://schemas.microsoft.com/office/drawing/2014/main" id="{00000000-0008-0000-0300-00002800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01BB4C3E-F581-4CF8-BDEB-94AC7CBCF8E3}" type="TxLink">
                <a:rPr lang="en-US" altLang="de-DE" sz="1000" b="1"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45%</a:t>
              </a:fld>
              <a:endPar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clientData/>
  </xdr:twoCellAnchor>
  <xdr:twoCellAnchor>
    <xdr:from>
      <xdr:col>1</xdr:col>
      <xdr:colOff>0</xdr:colOff>
      <xdr:row>32</xdr:row>
      <xdr:rowOff>47625</xdr:rowOff>
    </xdr:from>
    <xdr:to>
      <xdr:col>13</xdr:col>
      <xdr:colOff>173036</xdr:colOff>
      <xdr:row>57</xdr:row>
      <xdr:rowOff>162373</xdr:rowOff>
    </xdr:to>
    <xdr:grpSp>
      <xdr:nvGrpSpPr>
        <xdr:cNvPr id="447" name="Gruppieren 446">
          <a:extLst>
            <a:ext uri="{FF2B5EF4-FFF2-40B4-BE49-F238E27FC236}">
              <a16:creationId xmlns:a16="http://schemas.microsoft.com/office/drawing/2014/main" id="{00000000-0008-0000-0300-0000BF010000}"/>
            </a:ext>
          </a:extLst>
        </xdr:cNvPr>
        <xdr:cNvGrpSpPr/>
      </xdr:nvGrpSpPr>
      <xdr:grpSpPr>
        <a:xfrm>
          <a:off x="802980" y="5895532"/>
          <a:ext cx="9808792" cy="4683426"/>
          <a:chOff x="281095" y="1020983"/>
          <a:chExt cx="9317036" cy="4877248"/>
        </a:xfrm>
      </xdr:grpSpPr>
      <xdr:sp macro="" textlink="">
        <xdr:nvSpPr>
          <xdr:cNvPr id="448" name="Rechteck 447">
            <a:extLst>
              <a:ext uri="{FF2B5EF4-FFF2-40B4-BE49-F238E27FC236}">
                <a16:creationId xmlns:a16="http://schemas.microsoft.com/office/drawing/2014/main" id="{00000000-0008-0000-0300-0000C0010000}"/>
              </a:ext>
            </a:extLst>
          </xdr:cNvPr>
          <xdr:cNvSpPr/>
        </xdr:nvSpPr>
        <xdr:spPr bwMode="auto">
          <a:xfrm>
            <a:off x="281095" y="1020983"/>
            <a:ext cx="9317036" cy="4877248"/>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horz" wrap="square" lIns="88363" tIns="44181" rIns="88363" bIns="44181" numCol="1" rtlCol="0" anchor="t"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61"/>
            <a:endParaRPr lang="en-GB" sz="1517">
              <a:solidFill>
                <a:srgbClr val="000000"/>
              </a:solidFill>
              <a:latin typeface="Frutiger LT Com 45 Light" panose="020B0303030504020204" pitchFamily="34" charset="0"/>
            </a:endParaRPr>
          </a:p>
        </xdr:txBody>
      </xdr:sp>
      <xdr:grpSp>
        <xdr:nvGrpSpPr>
          <xdr:cNvPr id="449" name="Gruppieren 448">
            <a:extLst>
              <a:ext uri="{FF2B5EF4-FFF2-40B4-BE49-F238E27FC236}">
                <a16:creationId xmlns:a16="http://schemas.microsoft.com/office/drawing/2014/main" id="{00000000-0008-0000-0300-0000C1010000}"/>
              </a:ext>
            </a:extLst>
          </xdr:cNvPr>
          <xdr:cNvGrpSpPr/>
        </xdr:nvGrpSpPr>
        <xdr:grpSpPr>
          <a:xfrm>
            <a:off x="2708768" y="1270831"/>
            <a:ext cx="4485289" cy="3995491"/>
            <a:chOff x="2205857" y="1557195"/>
            <a:chExt cx="4690243" cy="3775721"/>
          </a:xfrm>
          <a:effectLst>
            <a:outerShdw blurRad="660400" dir="18900000" sy="23000" kx="-1200000" algn="bl" rotWithShape="0">
              <a:prstClr val="black">
                <a:alpha val="20000"/>
              </a:prstClr>
            </a:outerShdw>
          </a:effectLst>
        </xdr:grpSpPr>
        <xdr:sp macro="" textlink="">
          <xdr:nvSpPr>
            <xdr:cNvPr id="548" name="Freeform 11">
              <a:extLst>
                <a:ext uri="{FF2B5EF4-FFF2-40B4-BE49-F238E27FC236}">
                  <a16:creationId xmlns:a16="http://schemas.microsoft.com/office/drawing/2014/main" id="{00000000-0008-0000-0300-000024020000}"/>
                </a:ext>
              </a:extLst>
            </xdr:cNvPr>
            <xdr:cNvSpPr>
              <a:spLocks/>
            </xdr:cNvSpPr>
          </xdr:nvSpPr>
          <xdr:spPr bwMode="auto">
            <a:xfrm>
              <a:off x="2214001" y="1849909"/>
              <a:ext cx="4682099" cy="988263"/>
            </a:xfrm>
            <a:custGeom>
              <a:avLst/>
              <a:gdLst>
                <a:gd name="T0" fmla="*/ 2147483647 w 963"/>
                <a:gd name="T1" fmla="*/ 829454232 h 203"/>
                <a:gd name="T2" fmla="*/ 0 w 963"/>
                <a:gd name="T3" fmla="*/ 0 h 203"/>
                <a:gd name="T4" fmla="*/ 1617851877 w 963"/>
                <a:gd name="T5" fmla="*/ 2147483647 h 203"/>
                <a:gd name="T6" fmla="*/ 1709772276 w 963"/>
                <a:gd name="T7" fmla="*/ 2147483647 h 203"/>
                <a:gd name="T8" fmla="*/ 2147483647 w 963"/>
                <a:gd name="T9" fmla="*/ 2147483647 h 203"/>
                <a:gd name="T10" fmla="*/ 2147483647 w 963"/>
                <a:gd name="T11" fmla="*/ 2147483647 h 203"/>
                <a:gd name="T12" fmla="*/ 2147483647 w 963"/>
                <a:gd name="T13" fmla="*/ 2147483647 h 203"/>
                <a:gd name="T14" fmla="*/ 2147483647 w 963"/>
                <a:gd name="T15" fmla="*/ 0 h 203"/>
                <a:gd name="T16" fmla="*/ 2147483647 w 963"/>
                <a:gd name="T17" fmla="*/ 829454232 h 20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63"/>
                <a:gd name="T28" fmla="*/ 0 h 203"/>
                <a:gd name="T29" fmla="*/ 963 w 963"/>
                <a:gd name="T30" fmla="*/ 203 h 20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63" h="203">
                  <a:moveTo>
                    <a:pt x="481" y="45"/>
                  </a:moveTo>
                  <a:cubicBezTo>
                    <a:pt x="237" y="45"/>
                    <a:pt x="35" y="25"/>
                    <a:pt x="0" y="0"/>
                  </a:cubicBezTo>
                  <a:cubicBezTo>
                    <a:pt x="88" y="153"/>
                    <a:pt x="88" y="153"/>
                    <a:pt x="88" y="153"/>
                  </a:cubicBezTo>
                  <a:cubicBezTo>
                    <a:pt x="93" y="160"/>
                    <a:pt x="93" y="160"/>
                    <a:pt x="93" y="160"/>
                  </a:cubicBezTo>
                  <a:cubicBezTo>
                    <a:pt x="121" y="185"/>
                    <a:pt x="284" y="203"/>
                    <a:pt x="482" y="203"/>
                  </a:cubicBezTo>
                  <a:cubicBezTo>
                    <a:pt x="679" y="203"/>
                    <a:pt x="843" y="185"/>
                    <a:pt x="871" y="160"/>
                  </a:cubicBezTo>
                  <a:cubicBezTo>
                    <a:pt x="875" y="153"/>
                    <a:pt x="875" y="153"/>
                    <a:pt x="875" y="153"/>
                  </a:cubicBezTo>
                  <a:cubicBezTo>
                    <a:pt x="963" y="0"/>
                    <a:pt x="963" y="0"/>
                    <a:pt x="963" y="0"/>
                  </a:cubicBezTo>
                  <a:cubicBezTo>
                    <a:pt x="928" y="25"/>
                    <a:pt x="726" y="45"/>
                    <a:pt x="481" y="45"/>
                  </a:cubicBezTo>
                  <a:close/>
                </a:path>
              </a:pathLst>
            </a:custGeom>
            <a:gradFill rotWithShape="1">
              <a:gsLst>
                <a:gs pos="0">
                  <a:srgbClr val="969696"/>
                </a:gs>
                <a:gs pos="50000">
                  <a:srgbClr val="E3E3E3"/>
                </a:gs>
                <a:gs pos="100000">
                  <a:srgbClr val="969696"/>
                </a:gs>
              </a:gsLst>
              <a:lin ang="0" scaled="1"/>
            </a:gradFill>
            <a:ln w="9525">
              <a:solidFill>
                <a:srgbClr val="FFFFFF"/>
              </a:solid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49" name="Oval 47">
              <a:extLst>
                <a:ext uri="{FF2B5EF4-FFF2-40B4-BE49-F238E27FC236}">
                  <a16:creationId xmlns:a16="http://schemas.microsoft.com/office/drawing/2014/main" id="{00000000-0008-0000-0300-000025020000}"/>
                </a:ext>
              </a:extLst>
            </xdr:cNvPr>
            <xdr:cNvSpPr>
              <a:spLocks noChangeArrowheads="1"/>
            </xdr:cNvSpPr>
          </xdr:nvSpPr>
          <xdr:spPr bwMode="gray">
            <a:xfrm>
              <a:off x="2205857" y="1557195"/>
              <a:ext cx="4690243" cy="513317"/>
            </a:xfrm>
            <a:prstGeom prst="ellipse">
              <a:avLst/>
            </a:prstGeom>
            <a:gradFill rotWithShape="1">
              <a:gsLst>
                <a:gs pos="0">
                  <a:srgbClr val="969696"/>
                </a:gs>
                <a:gs pos="100000">
                  <a:srgbClr val="C0C0C0"/>
                </a:gs>
              </a:gsLst>
              <a:lin ang="5400000" scaled="1"/>
            </a:gradFill>
            <a:ln w="12700">
              <a:solidFill>
                <a:srgbClr val="FFFFFF"/>
              </a:solid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nvGrpSpPr>
            <xdr:cNvPr id="550" name="Gruppieren 549">
              <a:extLst>
                <a:ext uri="{FF2B5EF4-FFF2-40B4-BE49-F238E27FC236}">
                  <a16:creationId xmlns:a16="http://schemas.microsoft.com/office/drawing/2014/main" id="{00000000-0008-0000-0300-000026020000}"/>
                </a:ext>
              </a:extLst>
            </xdr:cNvPr>
            <xdr:cNvGrpSpPr/>
          </xdr:nvGrpSpPr>
          <xdr:grpSpPr>
            <a:xfrm>
              <a:off x="2426668" y="1987884"/>
              <a:ext cx="4025396" cy="3345032"/>
              <a:chOff x="2426668" y="1987884"/>
              <a:chExt cx="4025396" cy="3345032"/>
            </a:xfrm>
            <a:effectLst/>
          </xdr:grpSpPr>
          <xdr:sp macro="" textlink="">
            <xdr:nvSpPr>
              <xdr:cNvPr id="551" name="Freeform 10">
                <a:extLst>
                  <a:ext uri="{FF2B5EF4-FFF2-40B4-BE49-F238E27FC236}">
                    <a16:creationId xmlns:a16="http://schemas.microsoft.com/office/drawing/2014/main" id="{00000000-0008-0000-0300-000027020000}"/>
                  </a:ext>
                </a:extLst>
              </xdr:cNvPr>
              <xdr:cNvSpPr>
                <a:spLocks/>
              </xdr:cNvSpPr>
            </xdr:nvSpPr>
            <xdr:spPr bwMode="auto">
              <a:xfrm>
                <a:off x="3555087" y="4108734"/>
                <a:ext cx="2001728" cy="741923"/>
              </a:xfrm>
              <a:custGeom>
                <a:avLst/>
                <a:gdLst>
                  <a:gd name="T0" fmla="*/ 0 w 412"/>
                  <a:gd name="T1" fmla="*/ 0 h 172"/>
                  <a:gd name="T2" fmla="*/ 1689002227 w 412"/>
                  <a:gd name="T3" fmla="*/ 2147483647 h 172"/>
                  <a:gd name="T4" fmla="*/ 1707362198 w 412"/>
                  <a:gd name="T5" fmla="*/ 2147483647 h 172"/>
                  <a:gd name="T6" fmla="*/ 1725722170 w 412"/>
                  <a:gd name="T7" fmla="*/ 2147483647 h 172"/>
                  <a:gd name="T8" fmla="*/ 1744077856 w 412"/>
                  <a:gd name="T9" fmla="*/ 2147483647 h 172"/>
                  <a:gd name="T10" fmla="*/ 1762437828 w 412"/>
                  <a:gd name="T11" fmla="*/ 2147483647 h 172"/>
                  <a:gd name="T12" fmla="*/ 1799153486 w 412"/>
                  <a:gd name="T13" fmla="*/ 2147483647 h 172"/>
                  <a:gd name="T14" fmla="*/ 1835873429 w 412"/>
                  <a:gd name="T15" fmla="*/ 2147483647 h 172"/>
                  <a:gd name="T16" fmla="*/ 1872589088 w 412"/>
                  <a:gd name="T17" fmla="*/ 2147483647 h 172"/>
                  <a:gd name="T18" fmla="*/ 1909309031 w 412"/>
                  <a:gd name="T19" fmla="*/ 2147483647 h 172"/>
                  <a:gd name="T20" fmla="*/ 1964384660 w 412"/>
                  <a:gd name="T21" fmla="*/ 2147483647 h 172"/>
                  <a:gd name="T22" fmla="*/ 2001100319 w 412"/>
                  <a:gd name="T23" fmla="*/ 2147483647 h 172"/>
                  <a:gd name="T24" fmla="*/ 2147483647 w 412"/>
                  <a:gd name="T25" fmla="*/ 2147483647 h 172"/>
                  <a:gd name="T26" fmla="*/ 2147483647 w 412"/>
                  <a:gd name="T27" fmla="*/ 2147483647 h 172"/>
                  <a:gd name="T28" fmla="*/ 2147483647 w 412"/>
                  <a:gd name="T29" fmla="*/ 2147483647 h 172"/>
                  <a:gd name="T30" fmla="*/ 2147483647 w 412"/>
                  <a:gd name="T31" fmla="*/ 2147483647 h 172"/>
                  <a:gd name="T32" fmla="*/ 2147483647 w 412"/>
                  <a:gd name="T33" fmla="*/ 2147483647 h 172"/>
                  <a:gd name="T34" fmla="*/ 2147483647 w 412"/>
                  <a:gd name="T35" fmla="*/ 2147483647 h 172"/>
                  <a:gd name="T36" fmla="*/ 2147483647 w 412"/>
                  <a:gd name="T37" fmla="*/ 2147483647 h 172"/>
                  <a:gd name="T38" fmla="*/ 2147483647 w 412"/>
                  <a:gd name="T39" fmla="*/ 2147483647 h 172"/>
                  <a:gd name="T40" fmla="*/ 2147483647 w 412"/>
                  <a:gd name="T41" fmla="*/ 2147483647 h 172"/>
                  <a:gd name="T42" fmla="*/ 2147483647 w 412"/>
                  <a:gd name="T43" fmla="*/ 2147483647 h 172"/>
                  <a:gd name="T44" fmla="*/ 2147483647 w 412"/>
                  <a:gd name="T45" fmla="*/ 2147483647 h 172"/>
                  <a:gd name="T46" fmla="*/ 2147483647 w 412"/>
                  <a:gd name="T47" fmla="*/ 2147483647 h 172"/>
                  <a:gd name="T48" fmla="*/ 2147483647 w 412"/>
                  <a:gd name="T49" fmla="*/ 2147483647 h 172"/>
                  <a:gd name="T50" fmla="*/ 2147483647 w 412"/>
                  <a:gd name="T51" fmla="*/ 2147483647 h 172"/>
                  <a:gd name="T52" fmla="*/ 2147483647 w 412"/>
                  <a:gd name="T53" fmla="*/ 2147483647 h 172"/>
                  <a:gd name="T54" fmla="*/ 2147483647 w 412"/>
                  <a:gd name="T55" fmla="*/ 2147483647 h 172"/>
                  <a:gd name="T56" fmla="*/ 2147483647 w 412"/>
                  <a:gd name="T57" fmla="*/ 2147483647 h 172"/>
                  <a:gd name="T58" fmla="*/ 2147483647 w 412"/>
                  <a:gd name="T59" fmla="*/ 2147483647 h 172"/>
                  <a:gd name="T60" fmla="*/ 2147483647 w 412"/>
                  <a:gd name="T61" fmla="*/ 2147483647 h 172"/>
                  <a:gd name="T62" fmla="*/ 2147483647 w 412"/>
                  <a:gd name="T63" fmla="*/ 2147483647 h 172"/>
                  <a:gd name="T64" fmla="*/ 2147483647 w 412"/>
                  <a:gd name="T65" fmla="*/ 2147483647 h 172"/>
                  <a:gd name="T66" fmla="*/ 2147483647 w 412"/>
                  <a:gd name="T67" fmla="*/ 2147483647 h 172"/>
                  <a:gd name="T68" fmla="*/ 2147483647 w 412"/>
                  <a:gd name="T69" fmla="*/ 2147483647 h 172"/>
                  <a:gd name="T70" fmla="*/ 2147483647 w 412"/>
                  <a:gd name="T71" fmla="*/ 2147483647 h 172"/>
                  <a:gd name="T72" fmla="*/ 2147483647 w 412"/>
                  <a:gd name="T73" fmla="*/ 2147483647 h 172"/>
                  <a:gd name="T74" fmla="*/ 2147483647 w 412"/>
                  <a:gd name="T75" fmla="*/ 2147483647 h 172"/>
                  <a:gd name="T76" fmla="*/ 2147483647 w 412"/>
                  <a:gd name="T77" fmla="*/ 2147483647 h 172"/>
                  <a:gd name="T78" fmla="*/ 2147483647 w 412"/>
                  <a:gd name="T79" fmla="*/ 2147483647 h 172"/>
                  <a:gd name="T80" fmla="*/ 2147483647 w 412"/>
                  <a:gd name="T81" fmla="*/ 2147483647 h 172"/>
                  <a:gd name="T82" fmla="*/ 2147483647 w 412"/>
                  <a:gd name="T83" fmla="*/ 2147483647 h 172"/>
                  <a:gd name="T84" fmla="*/ 2147483647 w 412"/>
                  <a:gd name="T85" fmla="*/ 2147483647 h 172"/>
                  <a:gd name="T86" fmla="*/ 2147483647 w 412"/>
                  <a:gd name="T87" fmla="*/ 2147483647 h 172"/>
                  <a:gd name="T88" fmla="*/ 2147483647 w 412"/>
                  <a:gd name="T89" fmla="*/ 2147483647 h 172"/>
                  <a:gd name="T90" fmla="*/ 2147483647 w 412"/>
                  <a:gd name="T91" fmla="*/ 2147483647 h 172"/>
                  <a:gd name="T92" fmla="*/ 2147483647 w 412"/>
                  <a:gd name="T93" fmla="*/ 2147483647 h 172"/>
                  <a:gd name="T94" fmla="*/ 2147483647 w 412"/>
                  <a:gd name="T95" fmla="*/ 2147483647 h 172"/>
                  <a:gd name="T96" fmla="*/ 2147483647 w 412"/>
                  <a:gd name="T97" fmla="*/ 2147483647 h 172"/>
                  <a:gd name="T98" fmla="*/ 2147483647 w 412"/>
                  <a:gd name="T99" fmla="*/ 2147483647 h 172"/>
                  <a:gd name="T100" fmla="*/ 2147483647 w 412"/>
                  <a:gd name="T101" fmla="*/ 2147483647 h 172"/>
                  <a:gd name="T102" fmla="*/ 2147483647 w 412"/>
                  <a:gd name="T103" fmla="*/ 2147483647 h 172"/>
                  <a:gd name="T104" fmla="*/ 2147483647 w 412"/>
                  <a:gd name="T105" fmla="*/ 403485488 h 172"/>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412"/>
                  <a:gd name="T160" fmla="*/ 0 h 172"/>
                  <a:gd name="T161" fmla="*/ 412 w 412"/>
                  <a:gd name="T162" fmla="*/ 172 h 172"/>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412" h="172">
                    <a:moveTo>
                      <a:pt x="206" y="22"/>
                    </a:moveTo>
                    <a:cubicBezTo>
                      <a:pt x="101" y="22"/>
                      <a:pt x="14" y="12"/>
                      <a:pt x="0" y="0"/>
                    </a:cubicBezTo>
                    <a:cubicBezTo>
                      <a:pt x="92" y="158"/>
                      <a:pt x="92" y="158"/>
                      <a:pt x="92" y="158"/>
                    </a:cubicBezTo>
                    <a:cubicBezTo>
                      <a:pt x="92" y="158"/>
                      <a:pt x="92" y="158"/>
                      <a:pt x="92" y="158"/>
                    </a:cubicBezTo>
                    <a:cubicBezTo>
                      <a:pt x="93" y="158"/>
                      <a:pt x="93" y="159"/>
                      <a:pt x="93" y="159"/>
                    </a:cubicBezTo>
                    <a:cubicBezTo>
                      <a:pt x="93" y="159"/>
                      <a:pt x="93" y="159"/>
                      <a:pt x="93" y="159"/>
                    </a:cubicBezTo>
                    <a:cubicBezTo>
                      <a:pt x="93" y="159"/>
                      <a:pt x="94" y="159"/>
                      <a:pt x="94" y="160"/>
                    </a:cubicBezTo>
                    <a:cubicBezTo>
                      <a:pt x="94" y="160"/>
                      <a:pt x="94" y="160"/>
                      <a:pt x="94" y="160"/>
                    </a:cubicBezTo>
                    <a:cubicBezTo>
                      <a:pt x="94" y="160"/>
                      <a:pt x="95" y="160"/>
                      <a:pt x="95" y="160"/>
                    </a:cubicBezTo>
                    <a:cubicBezTo>
                      <a:pt x="95" y="160"/>
                      <a:pt x="95" y="160"/>
                      <a:pt x="95" y="160"/>
                    </a:cubicBezTo>
                    <a:cubicBezTo>
                      <a:pt x="95" y="161"/>
                      <a:pt x="96" y="161"/>
                      <a:pt x="96" y="161"/>
                    </a:cubicBezTo>
                    <a:cubicBezTo>
                      <a:pt x="96" y="161"/>
                      <a:pt x="96" y="161"/>
                      <a:pt x="96" y="161"/>
                    </a:cubicBezTo>
                    <a:cubicBezTo>
                      <a:pt x="97" y="161"/>
                      <a:pt x="97" y="161"/>
                      <a:pt x="98" y="162"/>
                    </a:cubicBezTo>
                    <a:cubicBezTo>
                      <a:pt x="98" y="162"/>
                      <a:pt x="98" y="162"/>
                      <a:pt x="98" y="162"/>
                    </a:cubicBezTo>
                    <a:cubicBezTo>
                      <a:pt x="99" y="162"/>
                      <a:pt x="99" y="162"/>
                      <a:pt x="100" y="162"/>
                    </a:cubicBezTo>
                    <a:cubicBezTo>
                      <a:pt x="100" y="162"/>
                      <a:pt x="100" y="162"/>
                      <a:pt x="100" y="162"/>
                    </a:cubicBezTo>
                    <a:cubicBezTo>
                      <a:pt x="101" y="162"/>
                      <a:pt x="101" y="163"/>
                      <a:pt x="102" y="163"/>
                    </a:cubicBezTo>
                    <a:cubicBezTo>
                      <a:pt x="102" y="163"/>
                      <a:pt x="102" y="163"/>
                      <a:pt x="102" y="163"/>
                    </a:cubicBezTo>
                    <a:cubicBezTo>
                      <a:pt x="103" y="163"/>
                      <a:pt x="103" y="163"/>
                      <a:pt x="104" y="163"/>
                    </a:cubicBezTo>
                    <a:cubicBezTo>
                      <a:pt x="104" y="163"/>
                      <a:pt x="104" y="164"/>
                      <a:pt x="104" y="164"/>
                    </a:cubicBezTo>
                    <a:cubicBezTo>
                      <a:pt x="105" y="164"/>
                      <a:pt x="106" y="164"/>
                      <a:pt x="106" y="164"/>
                    </a:cubicBezTo>
                    <a:cubicBezTo>
                      <a:pt x="107" y="164"/>
                      <a:pt x="107" y="164"/>
                      <a:pt x="107" y="164"/>
                    </a:cubicBezTo>
                    <a:cubicBezTo>
                      <a:pt x="107" y="164"/>
                      <a:pt x="108" y="164"/>
                      <a:pt x="109" y="165"/>
                    </a:cubicBezTo>
                    <a:cubicBezTo>
                      <a:pt x="109" y="165"/>
                      <a:pt x="109" y="165"/>
                      <a:pt x="109" y="165"/>
                    </a:cubicBezTo>
                    <a:cubicBezTo>
                      <a:pt x="115" y="166"/>
                      <a:pt x="121" y="167"/>
                      <a:pt x="129" y="168"/>
                    </a:cubicBezTo>
                    <a:cubicBezTo>
                      <a:pt x="129" y="168"/>
                      <a:pt x="129" y="168"/>
                      <a:pt x="129" y="168"/>
                    </a:cubicBezTo>
                    <a:cubicBezTo>
                      <a:pt x="130" y="168"/>
                      <a:pt x="131" y="168"/>
                      <a:pt x="132" y="168"/>
                    </a:cubicBezTo>
                    <a:cubicBezTo>
                      <a:pt x="132" y="168"/>
                      <a:pt x="133" y="168"/>
                      <a:pt x="133" y="168"/>
                    </a:cubicBezTo>
                    <a:cubicBezTo>
                      <a:pt x="134" y="168"/>
                      <a:pt x="135" y="168"/>
                      <a:pt x="136" y="169"/>
                    </a:cubicBezTo>
                    <a:cubicBezTo>
                      <a:pt x="136" y="169"/>
                      <a:pt x="137" y="169"/>
                      <a:pt x="137" y="169"/>
                    </a:cubicBezTo>
                    <a:cubicBezTo>
                      <a:pt x="138" y="169"/>
                      <a:pt x="139" y="169"/>
                      <a:pt x="140" y="169"/>
                    </a:cubicBezTo>
                    <a:cubicBezTo>
                      <a:pt x="140" y="169"/>
                      <a:pt x="141" y="169"/>
                      <a:pt x="142" y="169"/>
                    </a:cubicBezTo>
                    <a:cubicBezTo>
                      <a:pt x="142" y="169"/>
                      <a:pt x="143" y="169"/>
                      <a:pt x="144" y="169"/>
                    </a:cubicBezTo>
                    <a:cubicBezTo>
                      <a:pt x="145" y="169"/>
                      <a:pt x="145" y="169"/>
                      <a:pt x="146" y="169"/>
                    </a:cubicBezTo>
                    <a:cubicBezTo>
                      <a:pt x="147" y="170"/>
                      <a:pt x="148" y="170"/>
                      <a:pt x="149" y="170"/>
                    </a:cubicBezTo>
                    <a:cubicBezTo>
                      <a:pt x="149" y="170"/>
                      <a:pt x="150" y="170"/>
                      <a:pt x="151" y="170"/>
                    </a:cubicBezTo>
                    <a:cubicBezTo>
                      <a:pt x="152" y="170"/>
                      <a:pt x="152" y="170"/>
                      <a:pt x="153" y="170"/>
                    </a:cubicBezTo>
                    <a:cubicBezTo>
                      <a:pt x="154" y="170"/>
                      <a:pt x="155" y="170"/>
                      <a:pt x="156" y="170"/>
                    </a:cubicBezTo>
                    <a:cubicBezTo>
                      <a:pt x="156" y="170"/>
                      <a:pt x="157" y="170"/>
                      <a:pt x="158" y="170"/>
                    </a:cubicBezTo>
                    <a:cubicBezTo>
                      <a:pt x="159" y="170"/>
                      <a:pt x="160" y="170"/>
                      <a:pt x="161" y="170"/>
                    </a:cubicBezTo>
                    <a:cubicBezTo>
                      <a:pt x="161" y="170"/>
                      <a:pt x="162" y="171"/>
                      <a:pt x="163" y="171"/>
                    </a:cubicBezTo>
                    <a:cubicBezTo>
                      <a:pt x="164" y="171"/>
                      <a:pt x="165" y="171"/>
                      <a:pt x="166" y="171"/>
                    </a:cubicBezTo>
                    <a:cubicBezTo>
                      <a:pt x="166" y="171"/>
                      <a:pt x="167" y="171"/>
                      <a:pt x="168" y="171"/>
                    </a:cubicBezTo>
                    <a:cubicBezTo>
                      <a:pt x="169" y="171"/>
                      <a:pt x="170" y="171"/>
                      <a:pt x="171" y="171"/>
                    </a:cubicBezTo>
                    <a:cubicBezTo>
                      <a:pt x="172" y="171"/>
                      <a:pt x="172" y="171"/>
                      <a:pt x="173" y="171"/>
                    </a:cubicBezTo>
                    <a:cubicBezTo>
                      <a:pt x="174" y="171"/>
                      <a:pt x="175" y="171"/>
                      <a:pt x="176" y="171"/>
                    </a:cubicBezTo>
                    <a:cubicBezTo>
                      <a:pt x="177" y="171"/>
                      <a:pt x="178" y="171"/>
                      <a:pt x="179" y="171"/>
                    </a:cubicBezTo>
                    <a:cubicBezTo>
                      <a:pt x="180" y="171"/>
                      <a:pt x="181" y="171"/>
                      <a:pt x="181" y="171"/>
                    </a:cubicBezTo>
                    <a:cubicBezTo>
                      <a:pt x="182" y="171"/>
                      <a:pt x="183" y="171"/>
                      <a:pt x="184" y="171"/>
                    </a:cubicBezTo>
                    <a:cubicBezTo>
                      <a:pt x="185" y="171"/>
                      <a:pt x="186" y="171"/>
                      <a:pt x="187" y="171"/>
                    </a:cubicBezTo>
                    <a:cubicBezTo>
                      <a:pt x="188" y="171"/>
                      <a:pt x="189" y="172"/>
                      <a:pt x="189" y="172"/>
                    </a:cubicBezTo>
                    <a:cubicBezTo>
                      <a:pt x="191" y="172"/>
                      <a:pt x="192" y="172"/>
                      <a:pt x="193" y="172"/>
                    </a:cubicBezTo>
                    <a:cubicBezTo>
                      <a:pt x="194" y="172"/>
                      <a:pt x="194" y="172"/>
                      <a:pt x="195" y="172"/>
                    </a:cubicBezTo>
                    <a:cubicBezTo>
                      <a:pt x="196" y="172"/>
                      <a:pt x="198" y="172"/>
                      <a:pt x="199" y="172"/>
                    </a:cubicBezTo>
                    <a:cubicBezTo>
                      <a:pt x="199" y="172"/>
                      <a:pt x="200" y="172"/>
                      <a:pt x="201" y="172"/>
                    </a:cubicBezTo>
                    <a:cubicBezTo>
                      <a:pt x="203" y="172"/>
                      <a:pt x="205" y="172"/>
                      <a:pt x="206" y="172"/>
                    </a:cubicBezTo>
                    <a:cubicBezTo>
                      <a:pt x="208" y="172"/>
                      <a:pt x="210" y="172"/>
                      <a:pt x="212" y="172"/>
                    </a:cubicBezTo>
                    <a:cubicBezTo>
                      <a:pt x="213" y="172"/>
                      <a:pt x="213" y="172"/>
                      <a:pt x="214" y="172"/>
                    </a:cubicBezTo>
                    <a:cubicBezTo>
                      <a:pt x="215" y="172"/>
                      <a:pt x="216" y="172"/>
                      <a:pt x="218" y="172"/>
                    </a:cubicBezTo>
                    <a:cubicBezTo>
                      <a:pt x="219" y="172"/>
                      <a:pt x="219" y="172"/>
                      <a:pt x="220" y="172"/>
                    </a:cubicBezTo>
                    <a:cubicBezTo>
                      <a:pt x="221" y="172"/>
                      <a:pt x="222" y="172"/>
                      <a:pt x="223" y="172"/>
                    </a:cubicBezTo>
                    <a:cubicBezTo>
                      <a:pt x="224" y="172"/>
                      <a:pt x="225" y="171"/>
                      <a:pt x="226" y="171"/>
                    </a:cubicBezTo>
                    <a:cubicBezTo>
                      <a:pt x="227" y="171"/>
                      <a:pt x="228" y="171"/>
                      <a:pt x="229" y="171"/>
                    </a:cubicBezTo>
                    <a:cubicBezTo>
                      <a:pt x="230" y="171"/>
                      <a:pt x="230" y="171"/>
                      <a:pt x="231" y="171"/>
                    </a:cubicBezTo>
                    <a:cubicBezTo>
                      <a:pt x="232" y="171"/>
                      <a:pt x="233" y="171"/>
                      <a:pt x="234" y="171"/>
                    </a:cubicBezTo>
                    <a:cubicBezTo>
                      <a:pt x="235" y="171"/>
                      <a:pt x="236" y="171"/>
                      <a:pt x="237" y="171"/>
                    </a:cubicBezTo>
                    <a:cubicBezTo>
                      <a:pt x="237" y="171"/>
                      <a:pt x="238" y="171"/>
                      <a:pt x="239" y="171"/>
                    </a:cubicBezTo>
                    <a:cubicBezTo>
                      <a:pt x="240" y="171"/>
                      <a:pt x="241" y="171"/>
                      <a:pt x="242" y="171"/>
                    </a:cubicBezTo>
                    <a:cubicBezTo>
                      <a:pt x="243" y="171"/>
                      <a:pt x="244" y="171"/>
                      <a:pt x="245" y="171"/>
                    </a:cubicBezTo>
                    <a:cubicBezTo>
                      <a:pt x="245" y="171"/>
                      <a:pt x="246" y="171"/>
                      <a:pt x="247" y="171"/>
                    </a:cubicBezTo>
                    <a:cubicBezTo>
                      <a:pt x="248" y="171"/>
                      <a:pt x="249" y="171"/>
                      <a:pt x="250" y="171"/>
                    </a:cubicBezTo>
                    <a:cubicBezTo>
                      <a:pt x="250" y="171"/>
                      <a:pt x="251" y="171"/>
                      <a:pt x="252" y="170"/>
                    </a:cubicBezTo>
                    <a:cubicBezTo>
                      <a:pt x="253" y="170"/>
                      <a:pt x="254" y="170"/>
                      <a:pt x="254" y="170"/>
                    </a:cubicBezTo>
                    <a:cubicBezTo>
                      <a:pt x="255" y="170"/>
                      <a:pt x="256" y="170"/>
                      <a:pt x="257" y="170"/>
                    </a:cubicBezTo>
                    <a:cubicBezTo>
                      <a:pt x="258" y="170"/>
                      <a:pt x="258" y="170"/>
                      <a:pt x="259" y="170"/>
                    </a:cubicBezTo>
                    <a:cubicBezTo>
                      <a:pt x="260" y="170"/>
                      <a:pt x="261" y="170"/>
                      <a:pt x="262" y="170"/>
                    </a:cubicBezTo>
                    <a:cubicBezTo>
                      <a:pt x="262" y="170"/>
                      <a:pt x="263" y="170"/>
                      <a:pt x="264" y="170"/>
                    </a:cubicBezTo>
                    <a:cubicBezTo>
                      <a:pt x="265" y="170"/>
                      <a:pt x="265" y="170"/>
                      <a:pt x="266" y="170"/>
                    </a:cubicBezTo>
                    <a:cubicBezTo>
                      <a:pt x="267" y="169"/>
                      <a:pt x="267" y="169"/>
                      <a:pt x="268" y="169"/>
                    </a:cubicBezTo>
                    <a:cubicBezTo>
                      <a:pt x="269" y="169"/>
                      <a:pt x="270" y="169"/>
                      <a:pt x="271" y="169"/>
                    </a:cubicBezTo>
                    <a:cubicBezTo>
                      <a:pt x="271" y="169"/>
                      <a:pt x="271" y="169"/>
                      <a:pt x="271" y="169"/>
                    </a:cubicBezTo>
                    <a:cubicBezTo>
                      <a:pt x="275" y="169"/>
                      <a:pt x="279" y="168"/>
                      <a:pt x="282" y="168"/>
                    </a:cubicBezTo>
                    <a:cubicBezTo>
                      <a:pt x="283" y="168"/>
                      <a:pt x="283" y="168"/>
                      <a:pt x="283" y="168"/>
                    </a:cubicBezTo>
                    <a:cubicBezTo>
                      <a:pt x="284" y="168"/>
                      <a:pt x="285" y="168"/>
                      <a:pt x="286" y="168"/>
                    </a:cubicBezTo>
                    <a:cubicBezTo>
                      <a:pt x="286" y="167"/>
                      <a:pt x="286" y="167"/>
                      <a:pt x="287" y="167"/>
                    </a:cubicBezTo>
                    <a:cubicBezTo>
                      <a:pt x="288" y="167"/>
                      <a:pt x="289" y="167"/>
                      <a:pt x="290" y="167"/>
                    </a:cubicBezTo>
                    <a:cubicBezTo>
                      <a:pt x="290" y="167"/>
                      <a:pt x="290" y="167"/>
                      <a:pt x="290" y="167"/>
                    </a:cubicBezTo>
                    <a:cubicBezTo>
                      <a:pt x="291" y="167"/>
                      <a:pt x="292" y="167"/>
                      <a:pt x="293" y="167"/>
                    </a:cubicBezTo>
                    <a:cubicBezTo>
                      <a:pt x="293" y="167"/>
                      <a:pt x="294" y="166"/>
                      <a:pt x="294" y="166"/>
                    </a:cubicBezTo>
                    <a:cubicBezTo>
                      <a:pt x="295" y="166"/>
                      <a:pt x="295" y="166"/>
                      <a:pt x="296" y="166"/>
                    </a:cubicBezTo>
                    <a:cubicBezTo>
                      <a:pt x="297" y="166"/>
                      <a:pt x="297" y="166"/>
                      <a:pt x="297" y="166"/>
                    </a:cubicBezTo>
                    <a:cubicBezTo>
                      <a:pt x="298" y="166"/>
                      <a:pt x="299" y="166"/>
                      <a:pt x="299" y="166"/>
                    </a:cubicBezTo>
                    <a:cubicBezTo>
                      <a:pt x="300" y="165"/>
                      <a:pt x="300" y="165"/>
                      <a:pt x="300" y="165"/>
                    </a:cubicBezTo>
                    <a:cubicBezTo>
                      <a:pt x="301" y="165"/>
                      <a:pt x="302" y="165"/>
                      <a:pt x="302" y="165"/>
                    </a:cubicBezTo>
                    <a:cubicBezTo>
                      <a:pt x="303" y="165"/>
                      <a:pt x="303" y="165"/>
                      <a:pt x="303" y="165"/>
                    </a:cubicBezTo>
                    <a:cubicBezTo>
                      <a:pt x="304" y="165"/>
                      <a:pt x="305" y="165"/>
                      <a:pt x="305" y="164"/>
                    </a:cubicBezTo>
                    <a:cubicBezTo>
                      <a:pt x="305" y="164"/>
                      <a:pt x="306" y="164"/>
                      <a:pt x="306" y="164"/>
                    </a:cubicBezTo>
                    <a:cubicBezTo>
                      <a:pt x="306" y="164"/>
                      <a:pt x="307" y="164"/>
                      <a:pt x="308" y="164"/>
                    </a:cubicBezTo>
                    <a:cubicBezTo>
                      <a:pt x="308" y="164"/>
                      <a:pt x="308" y="164"/>
                      <a:pt x="308" y="164"/>
                    </a:cubicBezTo>
                    <a:cubicBezTo>
                      <a:pt x="314" y="162"/>
                      <a:pt x="319" y="160"/>
                      <a:pt x="320" y="159"/>
                    </a:cubicBezTo>
                    <a:cubicBezTo>
                      <a:pt x="320" y="158"/>
                      <a:pt x="320" y="158"/>
                      <a:pt x="320" y="158"/>
                    </a:cubicBezTo>
                    <a:cubicBezTo>
                      <a:pt x="320" y="158"/>
                      <a:pt x="320" y="158"/>
                      <a:pt x="320" y="158"/>
                    </a:cubicBezTo>
                    <a:cubicBezTo>
                      <a:pt x="321" y="157"/>
                      <a:pt x="321" y="157"/>
                      <a:pt x="321" y="157"/>
                    </a:cubicBezTo>
                    <a:cubicBezTo>
                      <a:pt x="321" y="157"/>
                      <a:pt x="321" y="157"/>
                      <a:pt x="321" y="157"/>
                    </a:cubicBezTo>
                    <a:cubicBezTo>
                      <a:pt x="412" y="0"/>
                      <a:pt x="412" y="0"/>
                      <a:pt x="412" y="0"/>
                    </a:cubicBezTo>
                    <a:cubicBezTo>
                      <a:pt x="397" y="12"/>
                      <a:pt x="311" y="22"/>
                      <a:pt x="206" y="22"/>
                    </a:cubicBezTo>
                    <a:close/>
                  </a:path>
                </a:pathLst>
              </a:custGeom>
              <a:solidFill>
                <a:srgbClr val="FFFFFF">
                  <a:lumMod val="75000"/>
                </a:srgbClr>
              </a:solidFill>
              <a:ln w="9525">
                <a:solidFill>
                  <a:srgbClr val="FFFFFF">
                    <a:lumMod val="75000"/>
                  </a:srgbClr>
                </a:solid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52" name="Freeform 12">
                <a:extLst>
                  <a:ext uri="{FF2B5EF4-FFF2-40B4-BE49-F238E27FC236}">
                    <a16:creationId xmlns:a16="http://schemas.microsoft.com/office/drawing/2014/main" id="{00000000-0008-0000-0300-000028020000}"/>
                  </a:ext>
                </a:extLst>
              </xdr:cNvPr>
              <xdr:cNvSpPr>
                <a:spLocks/>
              </xdr:cNvSpPr>
            </xdr:nvSpPr>
            <xdr:spPr bwMode="auto">
              <a:xfrm>
                <a:off x="2665829" y="2629358"/>
                <a:ext cx="3782043" cy="937861"/>
              </a:xfrm>
              <a:custGeom>
                <a:avLst/>
                <a:gdLst>
                  <a:gd name="T0" fmla="*/ 2147483647 w 778"/>
                  <a:gd name="T1" fmla="*/ 789689070 h 193"/>
                  <a:gd name="T2" fmla="*/ 0 w 778"/>
                  <a:gd name="T3" fmla="*/ 0 h 193"/>
                  <a:gd name="T4" fmla="*/ 1617347438 w 778"/>
                  <a:gd name="T5" fmla="*/ 2147483647 h 193"/>
                  <a:gd name="T6" fmla="*/ 1617347438 w 778"/>
                  <a:gd name="T7" fmla="*/ 2147483647 h 193"/>
                  <a:gd name="T8" fmla="*/ 1654104737 w 778"/>
                  <a:gd name="T9" fmla="*/ 2147483647 h 193"/>
                  <a:gd name="T10" fmla="*/ 1672483387 w 778"/>
                  <a:gd name="T11" fmla="*/ 2147483647 h 193"/>
                  <a:gd name="T12" fmla="*/ 1690862037 w 778"/>
                  <a:gd name="T13" fmla="*/ 2147483647 h 193"/>
                  <a:gd name="T14" fmla="*/ 2147483647 w 778"/>
                  <a:gd name="T15" fmla="*/ 2147483647 h 193"/>
                  <a:gd name="T16" fmla="*/ 2147483647 w 778"/>
                  <a:gd name="T17" fmla="*/ 2147483647 h 193"/>
                  <a:gd name="T18" fmla="*/ 2147483647 w 778"/>
                  <a:gd name="T19" fmla="*/ 2147483647 h 193"/>
                  <a:gd name="T20" fmla="*/ 2147483647 w 778"/>
                  <a:gd name="T21" fmla="*/ 2147483647 h 193"/>
                  <a:gd name="T22" fmla="*/ 2147483647 w 778"/>
                  <a:gd name="T23" fmla="*/ 2147483647 h 193"/>
                  <a:gd name="T24" fmla="*/ 2147483647 w 778"/>
                  <a:gd name="T25" fmla="*/ 2147483647 h 193"/>
                  <a:gd name="T26" fmla="*/ 2147483647 w 778"/>
                  <a:gd name="T27" fmla="*/ 0 h 193"/>
                  <a:gd name="T28" fmla="*/ 2147483647 w 778"/>
                  <a:gd name="T29" fmla="*/ 789689070 h 19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778"/>
                  <a:gd name="T46" fmla="*/ 0 h 193"/>
                  <a:gd name="T47" fmla="*/ 778 w 778"/>
                  <a:gd name="T48" fmla="*/ 193 h 19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778" h="193">
                    <a:moveTo>
                      <a:pt x="389" y="43"/>
                    </a:moveTo>
                    <a:cubicBezTo>
                      <a:pt x="191" y="43"/>
                      <a:pt x="28" y="25"/>
                      <a:pt x="0" y="0"/>
                    </a:cubicBezTo>
                    <a:cubicBezTo>
                      <a:pt x="88" y="154"/>
                      <a:pt x="88" y="154"/>
                      <a:pt x="88" y="154"/>
                    </a:cubicBezTo>
                    <a:cubicBezTo>
                      <a:pt x="88" y="154"/>
                      <a:pt x="88" y="154"/>
                      <a:pt x="88" y="154"/>
                    </a:cubicBezTo>
                    <a:cubicBezTo>
                      <a:pt x="90" y="157"/>
                      <a:pt x="90" y="157"/>
                      <a:pt x="90" y="157"/>
                    </a:cubicBezTo>
                    <a:cubicBezTo>
                      <a:pt x="91" y="160"/>
                      <a:pt x="91" y="160"/>
                      <a:pt x="91" y="160"/>
                    </a:cubicBezTo>
                    <a:cubicBezTo>
                      <a:pt x="92" y="160"/>
                      <a:pt x="92" y="160"/>
                      <a:pt x="92" y="160"/>
                    </a:cubicBezTo>
                    <a:cubicBezTo>
                      <a:pt x="113" y="178"/>
                      <a:pt x="238" y="193"/>
                      <a:pt x="389" y="193"/>
                    </a:cubicBezTo>
                    <a:cubicBezTo>
                      <a:pt x="540" y="193"/>
                      <a:pt x="665" y="178"/>
                      <a:pt x="686" y="160"/>
                    </a:cubicBezTo>
                    <a:cubicBezTo>
                      <a:pt x="686" y="160"/>
                      <a:pt x="686" y="160"/>
                      <a:pt x="686" y="160"/>
                    </a:cubicBezTo>
                    <a:cubicBezTo>
                      <a:pt x="688" y="157"/>
                      <a:pt x="688" y="157"/>
                      <a:pt x="688" y="157"/>
                    </a:cubicBezTo>
                    <a:cubicBezTo>
                      <a:pt x="689" y="154"/>
                      <a:pt x="689" y="154"/>
                      <a:pt x="689" y="154"/>
                    </a:cubicBezTo>
                    <a:cubicBezTo>
                      <a:pt x="689" y="154"/>
                      <a:pt x="689" y="154"/>
                      <a:pt x="689" y="154"/>
                    </a:cubicBezTo>
                    <a:cubicBezTo>
                      <a:pt x="778" y="0"/>
                      <a:pt x="778" y="0"/>
                      <a:pt x="778" y="0"/>
                    </a:cubicBezTo>
                    <a:cubicBezTo>
                      <a:pt x="750" y="25"/>
                      <a:pt x="586" y="43"/>
                      <a:pt x="389" y="43"/>
                    </a:cubicBezTo>
                    <a:close/>
                  </a:path>
                </a:pathLst>
              </a:custGeom>
              <a:gradFill rotWithShape="1">
                <a:gsLst>
                  <a:gs pos="0">
                    <a:srgbClr val="C0C0C0"/>
                  </a:gs>
                  <a:gs pos="50000">
                    <a:srgbClr val="EEEEEE"/>
                  </a:gs>
                  <a:gs pos="100000">
                    <a:srgbClr val="C0C0C0"/>
                  </a:gs>
                </a:gsLst>
                <a:lin ang="0" scaled="1"/>
              </a:gradFill>
              <a:ln w="9525">
                <a:solidFill>
                  <a:srgbClr val="FFFFFF"/>
                </a:solid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53" name="Freeform 13">
                <a:extLst>
                  <a:ext uri="{FF2B5EF4-FFF2-40B4-BE49-F238E27FC236}">
                    <a16:creationId xmlns:a16="http://schemas.microsoft.com/office/drawing/2014/main" id="{00000000-0008-0000-0300-000029020000}"/>
                  </a:ext>
                </a:extLst>
              </xdr:cNvPr>
              <xdr:cNvSpPr>
                <a:spLocks/>
              </xdr:cNvSpPr>
            </xdr:nvSpPr>
            <xdr:spPr bwMode="auto">
              <a:xfrm>
                <a:off x="3112258" y="3407009"/>
                <a:ext cx="2889186" cy="802347"/>
              </a:xfrm>
              <a:custGeom>
                <a:avLst/>
                <a:gdLst>
                  <a:gd name="T0" fmla="*/ 2147483647 w 594"/>
                  <a:gd name="T1" fmla="*/ 607018679 h 181"/>
                  <a:gd name="T2" fmla="*/ 0 w 594"/>
                  <a:gd name="T3" fmla="*/ 0 h 181"/>
                  <a:gd name="T4" fmla="*/ 1637551895 w 594"/>
                  <a:gd name="T5" fmla="*/ 2147483647 h 181"/>
                  <a:gd name="T6" fmla="*/ 1674351139 w 594"/>
                  <a:gd name="T7" fmla="*/ 2147483647 h 181"/>
                  <a:gd name="T8" fmla="*/ 2147483647 w 594"/>
                  <a:gd name="T9" fmla="*/ 2147483647 h 181"/>
                  <a:gd name="T10" fmla="*/ 2147483647 w 594"/>
                  <a:gd name="T11" fmla="*/ 2147483647 h 181"/>
                  <a:gd name="T12" fmla="*/ 2147483647 w 594"/>
                  <a:gd name="T13" fmla="*/ 2147483647 h 181"/>
                  <a:gd name="T14" fmla="*/ 2147483647 w 594"/>
                  <a:gd name="T15" fmla="*/ 0 h 181"/>
                  <a:gd name="T16" fmla="*/ 2147483647 w 594"/>
                  <a:gd name="T17" fmla="*/ 607018679 h 18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594"/>
                  <a:gd name="T28" fmla="*/ 0 h 181"/>
                  <a:gd name="T29" fmla="*/ 594 w 594"/>
                  <a:gd name="T30" fmla="*/ 181 h 18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594" h="181">
                    <a:moveTo>
                      <a:pt x="297" y="33"/>
                    </a:moveTo>
                    <a:cubicBezTo>
                      <a:pt x="146" y="33"/>
                      <a:pt x="21" y="18"/>
                      <a:pt x="0" y="0"/>
                    </a:cubicBezTo>
                    <a:cubicBezTo>
                      <a:pt x="89" y="155"/>
                      <a:pt x="89" y="155"/>
                      <a:pt x="89" y="155"/>
                    </a:cubicBezTo>
                    <a:cubicBezTo>
                      <a:pt x="91" y="159"/>
                      <a:pt x="91" y="159"/>
                      <a:pt x="91" y="159"/>
                    </a:cubicBezTo>
                    <a:cubicBezTo>
                      <a:pt x="105" y="171"/>
                      <a:pt x="192" y="181"/>
                      <a:pt x="297" y="181"/>
                    </a:cubicBezTo>
                    <a:cubicBezTo>
                      <a:pt x="402" y="181"/>
                      <a:pt x="488" y="171"/>
                      <a:pt x="503" y="159"/>
                    </a:cubicBezTo>
                    <a:cubicBezTo>
                      <a:pt x="505" y="155"/>
                      <a:pt x="505" y="155"/>
                      <a:pt x="505" y="155"/>
                    </a:cubicBezTo>
                    <a:cubicBezTo>
                      <a:pt x="594" y="0"/>
                      <a:pt x="594" y="0"/>
                      <a:pt x="594" y="0"/>
                    </a:cubicBezTo>
                    <a:cubicBezTo>
                      <a:pt x="573" y="18"/>
                      <a:pt x="448" y="33"/>
                      <a:pt x="297" y="33"/>
                    </a:cubicBezTo>
                    <a:close/>
                  </a:path>
                </a:pathLst>
              </a:custGeom>
              <a:gradFill rotWithShape="1">
                <a:gsLst>
                  <a:gs pos="0">
                    <a:srgbClr val="D7D7D7"/>
                  </a:gs>
                  <a:gs pos="100000">
                    <a:srgbClr val="969696"/>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54" name="Oval 16">
                <a:extLst>
                  <a:ext uri="{FF2B5EF4-FFF2-40B4-BE49-F238E27FC236}">
                    <a16:creationId xmlns:a16="http://schemas.microsoft.com/office/drawing/2014/main" id="{00000000-0008-0000-0300-00002A020000}"/>
                  </a:ext>
                </a:extLst>
              </xdr:cNvPr>
              <xdr:cNvSpPr>
                <a:spLocks noChangeArrowheads="1"/>
              </xdr:cNvSpPr>
            </xdr:nvSpPr>
            <xdr:spPr bwMode="auto">
              <a:xfrm>
                <a:off x="3150188" y="3214097"/>
                <a:ext cx="2830389" cy="379825"/>
              </a:xfrm>
              <a:prstGeom prst="ellipse">
                <a:avLst/>
              </a:prstGeom>
              <a:solidFill>
                <a:srgbClr val="AAD4C8">
                  <a:lumMod val="75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55" name="Oval 18">
                <a:extLst>
                  <a:ext uri="{FF2B5EF4-FFF2-40B4-BE49-F238E27FC236}">
                    <a16:creationId xmlns:a16="http://schemas.microsoft.com/office/drawing/2014/main" id="{00000000-0008-0000-0300-00002B020000}"/>
                  </a:ext>
                </a:extLst>
              </xdr:cNvPr>
              <xdr:cNvSpPr>
                <a:spLocks noChangeArrowheads="1"/>
              </xdr:cNvSpPr>
            </xdr:nvSpPr>
            <xdr:spPr bwMode="auto">
              <a:xfrm>
                <a:off x="2670021" y="2340347"/>
                <a:ext cx="3782043" cy="486031"/>
              </a:xfrm>
              <a:prstGeom prst="ellipse">
                <a:avLst/>
              </a:prstGeom>
              <a:solidFill>
                <a:srgbClr val="AAD4C8">
                  <a:lumMod val="5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pic>
            <xdr:nvPicPr>
              <xdr:cNvPr id="556" name="Picture 19">
                <a:extLst>
                  <a:ext uri="{FF2B5EF4-FFF2-40B4-BE49-F238E27FC236}">
                    <a16:creationId xmlns:a16="http://schemas.microsoft.com/office/drawing/2014/main" id="{00000000-0008-0000-0300-00002C02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6668" y="1987884"/>
                <a:ext cx="2000583" cy="33450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sp macro="" textlink="">
        <xdr:nvSpPr>
          <xdr:cNvPr id="450" name="Line 17">
            <a:extLst>
              <a:ext uri="{FF2B5EF4-FFF2-40B4-BE49-F238E27FC236}">
                <a16:creationId xmlns:a16="http://schemas.microsoft.com/office/drawing/2014/main" id="{00000000-0008-0000-0300-0000C2010000}"/>
              </a:ext>
            </a:extLst>
          </xdr:cNvPr>
          <xdr:cNvSpPr>
            <a:spLocks noChangeShapeType="1"/>
          </xdr:cNvSpPr>
        </xdr:nvSpPr>
        <xdr:spPr bwMode="gray">
          <a:xfrm>
            <a:off x="5658148" y="4703879"/>
            <a:ext cx="2955070" cy="23213"/>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sp macro="" textlink="">
        <xdr:nvSpPr>
          <xdr:cNvPr id="451" name="Line 17">
            <a:extLst>
              <a:ext uri="{FF2B5EF4-FFF2-40B4-BE49-F238E27FC236}">
                <a16:creationId xmlns:a16="http://schemas.microsoft.com/office/drawing/2014/main" id="{00000000-0008-0000-0300-0000C3010000}"/>
              </a:ext>
            </a:extLst>
          </xdr:cNvPr>
          <xdr:cNvSpPr>
            <a:spLocks noChangeShapeType="1"/>
          </xdr:cNvSpPr>
        </xdr:nvSpPr>
        <xdr:spPr bwMode="gray">
          <a:xfrm>
            <a:off x="6463527" y="3325925"/>
            <a:ext cx="2451374" cy="23213"/>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sp macro="" textlink="">
        <xdr:nvSpPr>
          <xdr:cNvPr id="452" name="Line 17">
            <a:extLst>
              <a:ext uri="{FF2B5EF4-FFF2-40B4-BE49-F238E27FC236}">
                <a16:creationId xmlns:a16="http://schemas.microsoft.com/office/drawing/2014/main" id="{00000000-0008-0000-0300-0000C4010000}"/>
              </a:ext>
            </a:extLst>
          </xdr:cNvPr>
          <xdr:cNvSpPr>
            <a:spLocks noChangeShapeType="1"/>
          </xdr:cNvSpPr>
        </xdr:nvSpPr>
        <xdr:spPr bwMode="gray">
          <a:xfrm flipV="1">
            <a:off x="6925564" y="2376892"/>
            <a:ext cx="2260509" cy="0"/>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grpSp>
        <xdr:nvGrpSpPr>
          <xdr:cNvPr id="453" name="Gruppieren 452">
            <a:extLst>
              <a:ext uri="{FF2B5EF4-FFF2-40B4-BE49-F238E27FC236}">
                <a16:creationId xmlns:a16="http://schemas.microsoft.com/office/drawing/2014/main" id="{00000000-0008-0000-0300-0000C5010000}"/>
              </a:ext>
            </a:extLst>
          </xdr:cNvPr>
          <xdr:cNvGrpSpPr/>
        </xdr:nvGrpSpPr>
        <xdr:grpSpPr>
          <a:xfrm>
            <a:off x="7019393" y="5183907"/>
            <a:ext cx="1425501" cy="680410"/>
            <a:chOff x="6660231" y="2528607"/>
            <a:chExt cx="1221857" cy="583208"/>
          </a:xfrm>
        </xdr:grpSpPr>
        <xdr:sp macro="" textlink="">
          <xdr:nvSpPr>
            <xdr:cNvPr id="542" name="Rechteck 541">
              <a:extLst>
                <a:ext uri="{FF2B5EF4-FFF2-40B4-BE49-F238E27FC236}">
                  <a16:creationId xmlns:a16="http://schemas.microsoft.com/office/drawing/2014/main" id="{00000000-0008-0000-0300-00001E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Declined</a:t>
              </a:r>
            </a:p>
          </xdr:txBody>
        </xdr:sp>
        <xdr:cxnSp macro="">
          <xdr:nvCxnSpPr>
            <xdr:cNvPr id="543" name="Gerade Verbindung 126">
              <a:extLst>
                <a:ext uri="{FF2B5EF4-FFF2-40B4-BE49-F238E27FC236}">
                  <a16:creationId xmlns:a16="http://schemas.microsoft.com/office/drawing/2014/main" id="{00000000-0008-0000-0300-00001F02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544" name="Rectangle 28">
              <a:extLst>
                <a:ext uri="{FF2B5EF4-FFF2-40B4-BE49-F238E27FC236}">
                  <a16:creationId xmlns:a16="http://schemas.microsoft.com/office/drawing/2014/main" id="{00000000-0008-0000-0300-000020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S1064">
          <xdr:nvSpPr>
            <xdr:cNvPr id="545" name="Rectangle 27">
              <a:extLst>
                <a:ext uri="{FF2B5EF4-FFF2-40B4-BE49-F238E27FC236}">
                  <a16:creationId xmlns:a16="http://schemas.microsoft.com/office/drawing/2014/main" id="{00000000-0008-0000-0300-00002102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C5AC9BC6-345F-46BB-AD25-129907A46E72}"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24,5</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46" name="Rectangle 28">
              <a:extLst>
                <a:ext uri="{FF2B5EF4-FFF2-40B4-BE49-F238E27FC236}">
                  <a16:creationId xmlns:a16="http://schemas.microsoft.com/office/drawing/2014/main" id="{00000000-0008-0000-0300-000022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T1064">
          <xdr:nvSpPr>
            <xdr:cNvPr id="547" name="Rectangle 27">
              <a:extLst>
                <a:ext uri="{FF2B5EF4-FFF2-40B4-BE49-F238E27FC236}">
                  <a16:creationId xmlns:a16="http://schemas.microsoft.com/office/drawing/2014/main" id="{00000000-0008-0000-0300-000023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86BBB2A3-FEDE-4024-9D2B-28111CB8A419}"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3.855.800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sp macro="" textlink="">
        <xdr:nvSpPr>
          <xdr:cNvPr id="454" name="Textfeld 75">
            <a:extLst>
              <a:ext uri="{FF2B5EF4-FFF2-40B4-BE49-F238E27FC236}">
                <a16:creationId xmlns:a16="http://schemas.microsoft.com/office/drawing/2014/main" id="{00000000-0008-0000-0300-0000C6010000}"/>
              </a:ext>
            </a:extLst>
          </xdr:cNvPr>
          <xdr:cNvSpPr txBox="1"/>
        </xdr:nvSpPr>
        <xdr:spPr>
          <a:xfrm>
            <a:off x="8082069" y="1219849"/>
            <a:ext cx="638175" cy="322750"/>
          </a:xfrm>
          <a:prstGeom prst="rect">
            <a:avLst/>
          </a:prstGeom>
          <a:noFill/>
        </xdr:spPr>
        <xdr:txBody>
          <a:bodyPr wrap="square" lIns="88363" tIns="44181" rIns="88363" bIns="44181" rtlCol="0">
            <a:spAutoFit/>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r" defTabSz="883695">
              <a:spcAft>
                <a:spcPct val="0"/>
              </a:spcAft>
              <a:buFontTx/>
              <a:buNone/>
            </a:pPr>
            <a:r>
              <a:rPr lang="en-GB" sz="1517" b="1">
                <a:solidFill>
                  <a:srgbClr val="000000"/>
                </a:solidFill>
                <a:latin typeface="Frutiger LT Com 45 Light" panose="020B0303030504020204" pitchFamily="34" charset="0"/>
              </a:rPr>
              <a:t>IPK</a:t>
            </a:r>
          </a:p>
        </xdr:txBody>
      </xdr:sp>
      <xdr:sp macro="" textlink="">
        <xdr:nvSpPr>
          <xdr:cNvPr id="455" name="Rechteck 454">
            <a:extLst>
              <a:ext uri="{FF2B5EF4-FFF2-40B4-BE49-F238E27FC236}">
                <a16:creationId xmlns:a16="http://schemas.microsoft.com/office/drawing/2014/main" id="{00000000-0008-0000-0300-0000C7010000}"/>
              </a:ext>
            </a:extLst>
          </xdr:cNvPr>
          <xdr:cNvSpPr/>
        </xdr:nvSpPr>
        <xdr:spPr bwMode="auto">
          <a:xfrm>
            <a:off x="3198536" y="1895076"/>
            <a:ext cx="3495855" cy="468000"/>
          </a:xfrm>
          <a:prstGeom prst="rect">
            <a:avLst/>
          </a:prstGeom>
          <a:solidFill>
            <a:srgbClr val="FFFFFF">
              <a:alpha val="69000"/>
            </a:srgbClr>
          </a:solidFill>
          <a:ln w="9525" cap="flat" cmpd="sng" algn="ctr">
            <a:noFill/>
            <a:prstDash val="solid"/>
            <a:round/>
            <a:headEnd type="none" w="med" len="med"/>
            <a:tailEnd type="none" w="med" len="med"/>
          </a:ln>
          <a:effectLst/>
        </xdr:spPr>
        <xdr:txBody>
          <a:bodyPr vert="horz" wrap="square" lIns="106680" tIns="53340" rIns="106680" bIns="5334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auto" latinLnBrk="0" hangingPunct="1">
              <a:lnSpc>
                <a:spcPct val="100000"/>
              </a:lnSpc>
              <a:spcBef>
                <a:spcPts val="0"/>
              </a:spcBef>
              <a:spcAft>
                <a:spcPct val="0"/>
              </a:spcAft>
              <a:buClrTx/>
              <a:buSzTx/>
              <a:buFontTx/>
              <a:buNone/>
              <a:tabLst/>
              <a:defRPr/>
            </a:pPr>
            <a:r>
              <a:rPr kumimoji="0" lang="en-US" sz="1400" b="1" i="0" u="none" strike="noStrike" kern="0" cap="none" spc="0" normalizeH="0" baseline="0">
                <a:ln>
                  <a:noFill/>
                </a:ln>
                <a:solidFill>
                  <a:srgbClr val="000000"/>
                </a:solidFill>
                <a:effectLst/>
                <a:uLnTx/>
                <a:uFillTx/>
                <a:latin typeface="Frutiger LT Com 45 Light" panose="020B0303030504020204" pitchFamily="34" charset="0"/>
              </a:rPr>
              <a:t>Project Proposal Preparation</a:t>
            </a:r>
          </a:p>
        </xdr:txBody>
      </xdr:sp>
      <xdr:sp macro="" textlink="">
        <xdr:nvSpPr>
          <xdr:cNvPr id="456" name="Textfeld 77">
            <a:extLst>
              <a:ext uri="{FF2B5EF4-FFF2-40B4-BE49-F238E27FC236}">
                <a16:creationId xmlns:a16="http://schemas.microsoft.com/office/drawing/2014/main" id="{00000000-0008-0000-0300-0000C8010000}"/>
              </a:ext>
            </a:extLst>
          </xdr:cNvPr>
          <xdr:cNvSpPr txBox="1"/>
        </xdr:nvSpPr>
        <xdr:spPr>
          <a:xfrm>
            <a:off x="3278950" y="1093212"/>
            <a:ext cx="1369586" cy="432000"/>
          </a:xfrm>
          <a:prstGeom prst="rect">
            <a:avLst/>
          </a:prstGeom>
          <a:solidFill>
            <a:srgbClr val="FFFFFF">
              <a:alpha val="69000"/>
            </a:srgbClr>
          </a:solidFill>
          <a:ln w="9525" cap="flat" cmpd="sng" algn="ctr">
            <a:noFill/>
            <a:prstDash val="solid"/>
            <a:round/>
            <a:headEnd type="none" w="med" len="med"/>
            <a:tailEnd type="none" w="med" len="med"/>
          </a:ln>
          <a:effectLst/>
        </xdr:spPr>
        <xdr:txBody>
          <a:bodyPr rot="0" spcFirstLastPara="0" vert="horz" wrap="square" lIns="106680" tIns="53340" rIns="106680" bIns="53340" numCol="1" spcCol="0" rtlCol="0" fromWordArt="0" anchor="t" anchorCtr="0" forceAA="0" compatLnSpc="1">
            <a:prstTxWarp prst="textNoShape">
              <a:avLst/>
            </a:prstTxWarp>
            <a:noAutofit/>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base" latinLnBrk="0" hangingPunct="1">
              <a:lnSpc>
                <a:spcPct val="100000"/>
              </a:lnSpc>
              <a:spcBef>
                <a:spcPct val="0"/>
              </a:spcBef>
              <a:spcAft>
                <a:spcPct val="0"/>
              </a:spcAft>
              <a:buClrTx/>
              <a:buSzTx/>
              <a:buFontTx/>
              <a:buNone/>
              <a:tabLst/>
              <a:defRPr/>
            </a:pPr>
            <a:r>
              <a:rPr kumimoji="0" lang="en-GB" i="0" u="none" strike="noStrike" kern="0" cap="none" spc="0" normalizeH="0" baseline="0">
                <a:ln>
                  <a:noFill/>
                </a:ln>
                <a:solidFill>
                  <a:srgbClr val="000000"/>
                </a:solidFill>
                <a:effectLst/>
                <a:uLnTx/>
                <a:uFillTx/>
                <a:latin typeface="Frutiger LT Com 45 Light" panose="020B0303030504020204" pitchFamily="34" charset="0"/>
              </a:rPr>
              <a:t>FPC@ITA</a:t>
            </a:r>
            <a:br>
              <a:rPr kumimoji="0" lang="en-GB" i="0" u="none" strike="noStrike" kern="0" cap="none" spc="0" normalizeH="0" baseline="0">
                <a:ln>
                  <a:noFill/>
                </a:ln>
                <a:solidFill>
                  <a:srgbClr val="000000"/>
                </a:solidFill>
                <a:effectLst/>
                <a:uLnTx/>
                <a:uFillTx/>
                <a:latin typeface="Frutiger LT Com 45 Light" panose="020B0303030504020204" pitchFamily="34" charset="0"/>
              </a:rPr>
            </a:br>
            <a:r>
              <a:rPr kumimoji="0" lang="en-GB" i="0" u="none" strike="noStrike" kern="0" cap="none" spc="0" normalizeH="0" baseline="0">
                <a:ln>
                  <a:noFill/>
                </a:ln>
                <a:solidFill>
                  <a:srgbClr val="000000"/>
                </a:solidFill>
                <a:effectLst/>
                <a:uLnTx/>
                <a:uFillTx/>
                <a:latin typeface="Frutiger LT Com 45 Light" panose="020B0303030504020204" pitchFamily="34" charset="0"/>
              </a:rPr>
              <a:t> R&amp;D Portfolio</a:t>
            </a:r>
          </a:p>
        </xdr:txBody>
      </xdr:sp>
      <xdr:sp macro="" textlink="">
        <xdr:nvSpPr>
          <xdr:cNvPr id="457" name="Textfeld 78">
            <a:extLst>
              <a:ext uri="{FF2B5EF4-FFF2-40B4-BE49-F238E27FC236}">
                <a16:creationId xmlns:a16="http://schemas.microsoft.com/office/drawing/2014/main" id="{00000000-0008-0000-0300-0000C9010000}"/>
              </a:ext>
            </a:extLst>
          </xdr:cNvPr>
          <xdr:cNvSpPr txBox="1"/>
        </xdr:nvSpPr>
        <xdr:spPr>
          <a:xfrm>
            <a:off x="5406600" y="1093212"/>
            <a:ext cx="1421048" cy="432000"/>
          </a:xfrm>
          <a:prstGeom prst="rect">
            <a:avLst/>
          </a:prstGeom>
          <a:solidFill>
            <a:srgbClr val="FFFFFF">
              <a:alpha val="69000"/>
            </a:srgbClr>
          </a:solidFill>
          <a:ln w="9525" cap="flat" cmpd="sng" algn="ctr">
            <a:noFill/>
            <a:prstDash val="solid"/>
            <a:round/>
            <a:headEnd type="none" w="med" len="med"/>
            <a:tailEnd type="none" w="med" len="med"/>
          </a:ln>
          <a:effectLst/>
        </xdr:spPr>
        <xdr:txBody>
          <a:bodyPr rot="0" spcFirstLastPara="0" vert="horz" wrap="square" lIns="106680" tIns="53340" rIns="106680" bIns="53340" numCol="1" spcCol="0" rtlCol="0" fromWordArt="0" anchor="t" anchorCtr="0" forceAA="0" compatLnSpc="1">
            <a:prstTxWarp prst="textNoShape">
              <a:avLst/>
            </a:prstTxWarp>
            <a:noAutofit/>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base" latinLnBrk="0" hangingPunct="1">
              <a:lnSpc>
                <a:spcPct val="100000"/>
              </a:lnSpc>
              <a:spcBef>
                <a:spcPct val="0"/>
              </a:spcBef>
              <a:spcAft>
                <a:spcPct val="0"/>
              </a:spcAft>
              <a:buClrTx/>
              <a:buSzTx/>
              <a:buFontTx/>
              <a:buNone/>
              <a:tabLst/>
              <a:defRPr/>
            </a:pPr>
            <a:r>
              <a:rPr kumimoji="0" lang="en-GB" i="0" u="none" strike="noStrike" kern="0" cap="none" spc="0" normalizeH="0" baseline="0">
                <a:ln>
                  <a:noFill/>
                </a:ln>
                <a:solidFill>
                  <a:srgbClr val="000000"/>
                </a:solidFill>
                <a:effectLst/>
                <a:uLnTx/>
                <a:uFillTx/>
                <a:latin typeface="Frutiger LT Com 45 Light" panose="020B0303030504020204" pitchFamily="34" charset="0"/>
              </a:rPr>
              <a:t>Prioritized</a:t>
            </a:r>
            <a:br>
              <a:rPr kumimoji="0" lang="en-GB" i="0" u="none" strike="noStrike" kern="0" cap="none" spc="0" normalizeH="0" baseline="0">
                <a:ln>
                  <a:noFill/>
                </a:ln>
                <a:solidFill>
                  <a:srgbClr val="000000"/>
                </a:solidFill>
                <a:effectLst/>
                <a:uLnTx/>
                <a:uFillTx/>
                <a:latin typeface="Frutiger LT Com 45 Light" panose="020B0303030504020204" pitchFamily="34" charset="0"/>
              </a:rPr>
            </a:br>
            <a:r>
              <a:rPr kumimoji="0" lang="en-GB" i="0" u="none" strike="noStrike" kern="0" cap="none" spc="0" normalizeH="0" baseline="0">
                <a:ln>
                  <a:noFill/>
                </a:ln>
                <a:solidFill>
                  <a:srgbClr val="000000"/>
                </a:solidFill>
                <a:effectLst/>
                <a:uLnTx/>
                <a:uFillTx/>
                <a:latin typeface="Frutiger LT Com 45 Light" panose="020B0303030504020204" pitchFamily="34" charset="0"/>
              </a:rPr>
              <a:t> Market Segments</a:t>
            </a:r>
          </a:p>
        </xdr:txBody>
      </xdr:sp>
      <xdr:cxnSp macro="">
        <xdr:nvCxnSpPr>
          <xdr:cNvPr id="458" name="Gerade Verbindung mit Pfeil 457">
            <a:extLst>
              <a:ext uri="{FF2B5EF4-FFF2-40B4-BE49-F238E27FC236}">
                <a16:creationId xmlns:a16="http://schemas.microsoft.com/office/drawing/2014/main" id="{00000000-0008-0000-0300-0000CA010000}"/>
              </a:ext>
            </a:extLst>
          </xdr:cNvPr>
          <xdr:cNvCxnSpPr>
            <a:cxnSpLocks/>
            <a:stCxn id="456" idx="2"/>
          </xdr:cNvCxnSpPr>
        </xdr:nvCxnSpPr>
        <xdr:spPr bwMode="auto">
          <a:xfrm>
            <a:off x="3963743" y="1525212"/>
            <a:ext cx="780236" cy="178822"/>
          </a:xfrm>
          <a:prstGeom prst="straightConnector1">
            <a:avLst/>
          </a:prstGeom>
          <a:solidFill>
            <a:srgbClr val="00AF93"/>
          </a:solidFill>
          <a:ln w="9525" cap="flat" cmpd="sng" algn="ctr">
            <a:solidFill>
              <a:srgbClr val="0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xnSp macro="">
        <xdr:nvCxnSpPr>
          <xdr:cNvPr id="459" name="Gerade Verbindung mit Pfeil 458">
            <a:extLst>
              <a:ext uri="{FF2B5EF4-FFF2-40B4-BE49-F238E27FC236}">
                <a16:creationId xmlns:a16="http://schemas.microsoft.com/office/drawing/2014/main" id="{00000000-0008-0000-0300-0000CB010000}"/>
              </a:ext>
            </a:extLst>
          </xdr:cNvPr>
          <xdr:cNvCxnSpPr>
            <a:cxnSpLocks/>
            <a:stCxn id="457" idx="2"/>
          </xdr:cNvCxnSpPr>
        </xdr:nvCxnSpPr>
        <xdr:spPr bwMode="auto">
          <a:xfrm flipH="1">
            <a:off x="5162024" y="1525212"/>
            <a:ext cx="955100" cy="155750"/>
          </a:xfrm>
          <a:prstGeom prst="straightConnector1">
            <a:avLst/>
          </a:prstGeom>
          <a:solidFill>
            <a:srgbClr val="00AF93"/>
          </a:solidFill>
          <a:ln w="9525" cap="flat" cmpd="sng" algn="ctr">
            <a:solidFill>
              <a:srgbClr val="0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460" name="Rechteck 459">
            <a:extLst>
              <a:ext uri="{FF2B5EF4-FFF2-40B4-BE49-F238E27FC236}">
                <a16:creationId xmlns:a16="http://schemas.microsoft.com/office/drawing/2014/main" id="{00000000-0008-0000-0300-0000CC010000}"/>
              </a:ext>
            </a:extLst>
          </xdr:cNvPr>
          <xdr:cNvSpPr/>
        </xdr:nvSpPr>
        <xdr:spPr bwMode="auto">
          <a:xfrm>
            <a:off x="3661627" y="2780987"/>
            <a:ext cx="2604043" cy="468000"/>
          </a:xfrm>
          <a:prstGeom prst="rect">
            <a:avLst/>
          </a:prstGeom>
          <a:solidFill>
            <a:srgbClr val="FFFFFF">
              <a:alpha val="69000"/>
            </a:srgbClr>
          </a:solidFill>
          <a:ln w="9525" cap="flat" cmpd="sng" algn="ctr">
            <a:noFill/>
            <a:prstDash val="solid"/>
            <a:round/>
            <a:headEnd type="none" w="med" len="med"/>
            <a:tailEnd type="none" w="med" len="med"/>
          </a:ln>
          <a:effectLst/>
        </xdr:spPr>
        <xdr:txBody>
          <a:bodyPr vert="horz" wrap="square" lIns="106680" tIns="53340" rIns="106680" bIns="5334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auto" latinLnBrk="0" hangingPunct="1">
              <a:lnSpc>
                <a:spcPct val="100000"/>
              </a:lnSpc>
              <a:spcBef>
                <a:spcPts val="0"/>
              </a:spcBef>
              <a:spcAft>
                <a:spcPct val="0"/>
              </a:spcAft>
              <a:buClrTx/>
              <a:buSzTx/>
              <a:buFontTx/>
              <a:buNone/>
              <a:tabLst/>
              <a:defRPr/>
            </a:pPr>
            <a:r>
              <a:rPr kumimoji="0" lang="en-US" sz="1400" b="1" i="0" u="none" strike="noStrike" kern="0" cap="none" spc="0" normalizeH="0" baseline="0">
                <a:ln>
                  <a:noFill/>
                </a:ln>
                <a:solidFill>
                  <a:srgbClr val="000000"/>
                </a:solidFill>
                <a:effectLst/>
                <a:uLnTx/>
                <a:uFillTx/>
                <a:latin typeface="Frutiger LT Com 45 Light" panose="020B0303030504020204" pitchFamily="34" charset="0"/>
              </a:rPr>
              <a:t>Proposals Submitted </a:t>
            </a:r>
          </a:p>
        </xdr:txBody>
      </xdr:sp>
      <xdr:sp macro="" textlink="">
        <xdr:nvSpPr>
          <xdr:cNvPr id="461" name="Rechteck 460">
            <a:extLst>
              <a:ext uri="{FF2B5EF4-FFF2-40B4-BE49-F238E27FC236}">
                <a16:creationId xmlns:a16="http://schemas.microsoft.com/office/drawing/2014/main" id="{00000000-0008-0000-0300-0000CD010000}"/>
              </a:ext>
            </a:extLst>
          </xdr:cNvPr>
          <xdr:cNvSpPr/>
        </xdr:nvSpPr>
        <xdr:spPr bwMode="auto">
          <a:xfrm>
            <a:off x="4261830" y="3666298"/>
            <a:ext cx="1368121" cy="746106"/>
          </a:xfrm>
          <a:prstGeom prst="rect">
            <a:avLst/>
          </a:prstGeom>
          <a:solidFill>
            <a:srgbClr val="FFFFFF">
              <a:alpha val="69000"/>
            </a:srgbClr>
          </a:solidFill>
          <a:ln w="9525" cap="flat" cmpd="sng" algn="ctr">
            <a:noFill/>
            <a:prstDash val="solid"/>
            <a:round/>
            <a:headEnd type="none" w="med" len="med"/>
            <a:tailEnd type="none" w="med" len="med"/>
          </a:ln>
          <a:effectLst/>
        </xdr:spPr>
        <xdr:txBody>
          <a:bodyPr vert="horz" wrap="square" lIns="106680" tIns="53340" rIns="106680" bIns="53340" numCol="1" rtlCol="0" anchor="t"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auto" latinLnBrk="0" hangingPunct="1">
              <a:lnSpc>
                <a:spcPct val="100000"/>
              </a:lnSpc>
              <a:spcBef>
                <a:spcPts val="0"/>
              </a:spcBef>
              <a:spcAft>
                <a:spcPct val="0"/>
              </a:spcAft>
              <a:buClrTx/>
              <a:buSzTx/>
              <a:buFontTx/>
              <a:buNone/>
              <a:tabLst/>
              <a:defRPr/>
            </a:pPr>
            <a:r>
              <a:rPr kumimoji="0" lang="en-US" sz="1400" b="1" i="0" u="none" strike="noStrike" kern="0" cap="none" spc="0" normalizeH="0" baseline="0">
                <a:ln>
                  <a:noFill/>
                </a:ln>
                <a:solidFill>
                  <a:srgbClr val="000000"/>
                </a:solidFill>
                <a:effectLst/>
                <a:uLnTx/>
                <a:uFillTx/>
                <a:latin typeface="Frutiger LT Com 45 Light" panose="020B0303030504020204" pitchFamily="34" charset="0"/>
              </a:rPr>
              <a:t>Approved and Running / Finished</a:t>
            </a:r>
          </a:p>
        </xdr:txBody>
      </xdr:sp>
      <xdr:grpSp>
        <xdr:nvGrpSpPr>
          <xdr:cNvPr id="462" name="Gruppieren 461">
            <a:extLst>
              <a:ext uri="{FF2B5EF4-FFF2-40B4-BE49-F238E27FC236}">
                <a16:creationId xmlns:a16="http://schemas.microsoft.com/office/drawing/2014/main" id="{00000000-0008-0000-0300-0000CE010000}"/>
              </a:ext>
            </a:extLst>
          </xdr:cNvPr>
          <xdr:cNvGrpSpPr/>
        </xdr:nvGrpSpPr>
        <xdr:grpSpPr>
          <a:xfrm>
            <a:off x="7184434" y="3910254"/>
            <a:ext cx="1425501" cy="680410"/>
            <a:chOff x="6660231" y="2528607"/>
            <a:chExt cx="1221857" cy="583208"/>
          </a:xfrm>
        </xdr:grpSpPr>
        <xdr:sp macro="" textlink="">
          <xdr:nvSpPr>
            <xdr:cNvPr id="536" name="Rechteck 535">
              <a:extLst>
                <a:ext uri="{FF2B5EF4-FFF2-40B4-BE49-F238E27FC236}">
                  <a16:creationId xmlns:a16="http://schemas.microsoft.com/office/drawing/2014/main" id="{00000000-0008-0000-0300-000018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Running and Finished</a:t>
              </a:r>
            </a:p>
          </xdr:txBody>
        </xdr:sp>
        <xdr:cxnSp macro="">
          <xdr:nvCxnSpPr>
            <xdr:cNvPr id="537" name="Gerade Verbindung 126">
              <a:extLst>
                <a:ext uri="{FF2B5EF4-FFF2-40B4-BE49-F238E27FC236}">
                  <a16:creationId xmlns:a16="http://schemas.microsoft.com/office/drawing/2014/main" id="{00000000-0008-0000-0300-00001902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538" name="Rectangle 28">
              <a:extLst>
                <a:ext uri="{FF2B5EF4-FFF2-40B4-BE49-F238E27FC236}">
                  <a16:creationId xmlns:a16="http://schemas.microsoft.com/office/drawing/2014/main" id="{00000000-0008-0000-0300-00001A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Projects</a:t>
              </a:r>
            </a:p>
          </xdr:txBody>
        </xdr:sp>
        <xdr:sp macro="" textlink="'Prospection Summary'!S1061">
          <xdr:nvSpPr>
            <xdr:cNvPr id="539" name="Rectangle 27">
              <a:extLst>
                <a:ext uri="{FF2B5EF4-FFF2-40B4-BE49-F238E27FC236}">
                  <a16:creationId xmlns:a16="http://schemas.microsoft.com/office/drawing/2014/main" id="{00000000-0008-0000-0300-00001B02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B3A74FAE-5F25-438E-88CD-C873068C5F6E}"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8,5</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40" name="Rectangle 28">
              <a:extLst>
                <a:ext uri="{FF2B5EF4-FFF2-40B4-BE49-F238E27FC236}">
                  <a16:creationId xmlns:a16="http://schemas.microsoft.com/office/drawing/2014/main" id="{00000000-0008-0000-0300-00001C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T1061">
          <xdr:nvSpPr>
            <xdr:cNvPr id="541" name="Rectangle 27">
              <a:extLst>
                <a:ext uri="{FF2B5EF4-FFF2-40B4-BE49-F238E27FC236}">
                  <a16:creationId xmlns:a16="http://schemas.microsoft.com/office/drawing/2014/main" id="{00000000-0008-0000-0300-00001D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A1CA91DB-7C0A-4799-96F4-135AB2D72F0D}"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3.625.475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463" name="Gruppieren 462">
            <a:extLst>
              <a:ext uri="{FF2B5EF4-FFF2-40B4-BE49-F238E27FC236}">
                <a16:creationId xmlns:a16="http://schemas.microsoft.com/office/drawing/2014/main" id="{00000000-0008-0000-0300-0000CF010000}"/>
              </a:ext>
            </a:extLst>
          </xdr:cNvPr>
          <xdr:cNvGrpSpPr/>
        </xdr:nvGrpSpPr>
        <xdr:grpSpPr>
          <a:xfrm>
            <a:off x="7473541" y="2580837"/>
            <a:ext cx="1425505" cy="680411"/>
            <a:chOff x="6660228" y="2528607"/>
            <a:chExt cx="1221860" cy="583209"/>
          </a:xfrm>
        </xdr:grpSpPr>
        <xdr:sp macro="" textlink="">
          <xdr:nvSpPr>
            <xdr:cNvPr id="530" name="Rechteck 529">
              <a:extLst>
                <a:ext uri="{FF2B5EF4-FFF2-40B4-BE49-F238E27FC236}">
                  <a16:creationId xmlns:a16="http://schemas.microsoft.com/office/drawing/2014/main" id="{00000000-0008-0000-0300-000012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Proposals Submitted</a:t>
              </a:r>
            </a:p>
          </xdr:txBody>
        </xdr:sp>
        <xdr:cxnSp macro="">
          <xdr:nvCxnSpPr>
            <xdr:cNvPr id="531" name="Gerade Verbindung 126">
              <a:extLst>
                <a:ext uri="{FF2B5EF4-FFF2-40B4-BE49-F238E27FC236}">
                  <a16:creationId xmlns:a16="http://schemas.microsoft.com/office/drawing/2014/main" id="{00000000-0008-0000-0300-00001302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532" name="Rectangle 28">
              <a:extLst>
                <a:ext uri="{FF2B5EF4-FFF2-40B4-BE49-F238E27FC236}">
                  <a16:creationId xmlns:a16="http://schemas.microsoft.com/office/drawing/2014/main" id="{00000000-0008-0000-0300-000014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S1058">
          <xdr:nvSpPr>
            <xdr:cNvPr id="533" name="Rectangle 27">
              <a:extLst>
                <a:ext uri="{FF2B5EF4-FFF2-40B4-BE49-F238E27FC236}">
                  <a16:creationId xmlns:a16="http://schemas.microsoft.com/office/drawing/2014/main" id="{00000000-0008-0000-0300-000015020000}"/>
                </a:ext>
              </a:extLst>
            </xdr:cNvPr>
            <xdr:cNvSpPr>
              <a:spLocks noChangeArrowheads="1"/>
            </xdr:cNvSpPr>
          </xdr:nvSpPr>
          <xdr:spPr bwMode="auto">
            <a:xfrm>
              <a:off x="6660228" y="2986669"/>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CB65F402-49B5-4278-904A-8731CAAD103A}"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37</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34" name="Rectangle 28">
              <a:extLst>
                <a:ext uri="{FF2B5EF4-FFF2-40B4-BE49-F238E27FC236}">
                  <a16:creationId xmlns:a16="http://schemas.microsoft.com/office/drawing/2014/main" id="{00000000-0008-0000-0300-000016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T1058">
          <xdr:nvSpPr>
            <xdr:cNvPr id="535" name="Rectangle 27">
              <a:extLst>
                <a:ext uri="{FF2B5EF4-FFF2-40B4-BE49-F238E27FC236}">
                  <a16:creationId xmlns:a16="http://schemas.microsoft.com/office/drawing/2014/main" id="{00000000-0008-0000-0300-000017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66B6974C-F815-4576-A13C-47C1BC915103}"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8.521.275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464" name="Gruppieren 463">
            <a:extLst>
              <a:ext uri="{FF2B5EF4-FFF2-40B4-BE49-F238E27FC236}">
                <a16:creationId xmlns:a16="http://schemas.microsoft.com/office/drawing/2014/main" id="{00000000-0008-0000-0300-0000D0010000}"/>
              </a:ext>
            </a:extLst>
          </xdr:cNvPr>
          <xdr:cNvGrpSpPr/>
        </xdr:nvGrpSpPr>
        <xdr:grpSpPr>
          <a:xfrm>
            <a:off x="7758292" y="1611968"/>
            <a:ext cx="1425501" cy="680410"/>
            <a:chOff x="6660231" y="2528607"/>
            <a:chExt cx="1221857" cy="583208"/>
          </a:xfrm>
        </xdr:grpSpPr>
        <xdr:sp macro="" textlink="">
          <xdr:nvSpPr>
            <xdr:cNvPr id="524" name="Rechteck 523">
              <a:extLst>
                <a:ext uri="{FF2B5EF4-FFF2-40B4-BE49-F238E27FC236}">
                  <a16:creationId xmlns:a16="http://schemas.microsoft.com/office/drawing/2014/main" id="{00000000-0008-0000-0300-00000C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Proposal Preparation</a:t>
              </a:r>
            </a:p>
          </xdr:txBody>
        </xdr:sp>
        <xdr:cxnSp macro="">
          <xdr:nvCxnSpPr>
            <xdr:cNvPr id="525" name="Gerade Verbindung 126">
              <a:extLst>
                <a:ext uri="{FF2B5EF4-FFF2-40B4-BE49-F238E27FC236}">
                  <a16:creationId xmlns:a16="http://schemas.microsoft.com/office/drawing/2014/main" id="{00000000-0008-0000-0300-00000D02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526" name="Rectangle 28">
              <a:extLst>
                <a:ext uri="{FF2B5EF4-FFF2-40B4-BE49-F238E27FC236}">
                  <a16:creationId xmlns:a16="http://schemas.microsoft.com/office/drawing/2014/main" id="{00000000-0008-0000-0300-00000E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S1055">
          <xdr:nvSpPr>
            <xdr:cNvPr id="527" name="Rectangle 27">
              <a:extLst>
                <a:ext uri="{FF2B5EF4-FFF2-40B4-BE49-F238E27FC236}">
                  <a16:creationId xmlns:a16="http://schemas.microsoft.com/office/drawing/2014/main" id="{00000000-0008-0000-0300-00000F02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BA4CAA83-B215-41F3-A6A3-D06810E4FE3D}" type="TxLink">
                <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40,5</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28" name="Rectangle 28">
              <a:extLst>
                <a:ext uri="{FF2B5EF4-FFF2-40B4-BE49-F238E27FC236}">
                  <a16:creationId xmlns:a16="http://schemas.microsoft.com/office/drawing/2014/main" id="{00000000-0008-0000-0300-000010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T1055">
          <xdr:nvSpPr>
            <xdr:cNvPr id="529" name="Rectangle 27">
              <a:extLst>
                <a:ext uri="{FF2B5EF4-FFF2-40B4-BE49-F238E27FC236}">
                  <a16:creationId xmlns:a16="http://schemas.microsoft.com/office/drawing/2014/main" id="{00000000-0008-0000-0300-000011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A8AF86C3-8075-45A1-B998-D6989578DF66}"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8.737.635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465" name="Gruppieren 464">
            <a:extLst>
              <a:ext uri="{FF2B5EF4-FFF2-40B4-BE49-F238E27FC236}">
                <a16:creationId xmlns:a16="http://schemas.microsoft.com/office/drawing/2014/main" id="{00000000-0008-0000-0300-0000D1010000}"/>
              </a:ext>
            </a:extLst>
          </xdr:cNvPr>
          <xdr:cNvGrpSpPr/>
        </xdr:nvGrpSpPr>
        <xdr:grpSpPr>
          <a:xfrm>
            <a:off x="3687220" y="5319114"/>
            <a:ext cx="2578450" cy="545198"/>
            <a:chOff x="6660232" y="2646359"/>
            <a:chExt cx="1221856" cy="467313"/>
          </a:xfrm>
        </xdr:grpSpPr>
        <xdr:sp macro="" textlink="">
          <xdr:nvSpPr>
            <xdr:cNvPr id="516" name="Rechteck 515">
              <a:extLst>
                <a:ext uri="{FF2B5EF4-FFF2-40B4-BE49-F238E27FC236}">
                  <a16:creationId xmlns:a16="http://schemas.microsoft.com/office/drawing/2014/main" id="{00000000-0008-0000-0300-000004020000}"/>
                </a:ext>
              </a:extLst>
            </xdr:cNvPr>
            <xdr:cNvSpPr/>
          </xdr:nvSpPr>
          <xdr:spPr bwMode="auto">
            <a:xfrm>
              <a:off x="6660232" y="2646359"/>
              <a:ext cx="1221856" cy="186330"/>
            </a:xfrm>
            <a:prstGeom prst="rect">
              <a:avLst/>
            </a:prstGeom>
            <a:solidFill>
              <a:schemeClr val="bg1">
                <a:lumMod val="85000"/>
              </a:schemeClr>
            </a:solidFill>
            <a:ln w="9525" cap="flat" cmpd="sng" algn="ctr">
              <a:solidFill>
                <a:schemeClr val="bg1">
                  <a:lumMod val="85000"/>
                </a:scheme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defTabSz="1065687" fontAlgn="auto">
                <a:lnSpc>
                  <a:spcPct val="90000"/>
                </a:lnSpc>
                <a:spcBef>
                  <a:spcPts val="0"/>
                </a:spcBef>
                <a:spcAft>
                  <a:spcPts val="0"/>
                </a:spcAft>
                <a:buClr>
                  <a:srgbClr val="3E8F7D"/>
                </a:buClr>
              </a:pPr>
              <a:r>
                <a:rPr lang="en-US" sz="1167" b="1">
                  <a:solidFill>
                    <a:srgbClr val="000000"/>
                  </a:solidFill>
                  <a:latin typeface="Frutiger LT Com 45 Light" panose="020B0303030504020204" pitchFamily="34" charset="0"/>
                </a:rPr>
                <a:t>€ Revenue generated</a:t>
              </a:r>
            </a:p>
          </xdr:txBody>
        </xdr:sp>
        <xdr:cxnSp macro="">
          <xdr:nvCxnSpPr>
            <xdr:cNvPr id="517" name="Gerade Verbindung 137">
              <a:extLst>
                <a:ext uri="{FF2B5EF4-FFF2-40B4-BE49-F238E27FC236}">
                  <a16:creationId xmlns:a16="http://schemas.microsoft.com/office/drawing/2014/main" id="{00000000-0008-0000-0300-000005020000}"/>
                </a:ext>
              </a:extLst>
            </xdr:cNvPr>
            <xdr:cNvCxnSpPr/>
          </xdr:nvCxnSpPr>
          <xdr:spPr bwMode="auto">
            <a:xfrm>
              <a:off x="6660232" y="3072697"/>
              <a:ext cx="814545" cy="0"/>
            </a:xfrm>
            <a:prstGeom prst="line">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518" name="Rectangle 28">
              <a:extLst>
                <a:ext uri="{FF2B5EF4-FFF2-40B4-BE49-F238E27FC236}">
                  <a16:creationId xmlns:a16="http://schemas.microsoft.com/office/drawing/2014/main" id="{00000000-0008-0000-0300-000006020000}"/>
                </a:ext>
              </a:extLst>
            </xdr:cNvPr>
            <xdr:cNvSpPr>
              <a:spLocks noChangeArrowheads="1"/>
            </xdr:cNvSpPr>
          </xdr:nvSpPr>
          <xdr:spPr bwMode="auto">
            <a:xfrm>
              <a:off x="7067542" y="2835410"/>
              <a:ext cx="407273" cy="161557"/>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r>
                <a:rPr lang="en-US" altLang="de-DE" sz="933" b="1">
                  <a:solidFill>
                    <a:srgbClr val="000000"/>
                  </a:solidFill>
                  <a:latin typeface="Frutiger LT Com 45 Light" panose="020B0303030504020204" pitchFamily="34" charset="0"/>
                </a:rPr>
                <a:t>Target</a:t>
              </a:r>
            </a:p>
          </xdr:txBody>
        </xdr:sp>
        <xdr:sp macro="" textlink="'Prospection Summary'!Q1068">
          <xdr:nvSpPr>
            <xdr:cNvPr id="519" name="Rectangle 27">
              <a:extLst>
                <a:ext uri="{FF2B5EF4-FFF2-40B4-BE49-F238E27FC236}">
                  <a16:creationId xmlns:a16="http://schemas.microsoft.com/office/drawing/2014/main" id="{00000000-0008-0000-0300-000007020000}"/>
                </a:ext>
              </a:extLst>
            </xdr:cNvPr>
            <xdr:cNvSpPr>
              <a:spLocks noChangeArrowheads="1"/>
            </xdr:cNvSpPr>
          </xdr:nvSpPr>
          <xdr:spPr bwMode="auto">
            <a:xfrm>
              <a:off x="7067542" y="2997308"/>
              <a:ext cx="407273" cy="116364"/>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fld id="{F2AE0A68-FB10-47DB-9A86-B8CCC7F3D534}" type="TxLink">
                <a:rPr lang="en-US" altLang="de-DE" sz="1000" b="1" i="0" u="none" strike="noStrike">
                  <a:solidFill>
                    <a:srgbClr val="000000"/>
                  </a:solidFill>
                  <a:latin typeface="Frutiger LT Com 45 Light" panose="020B0303030504020204" pitchFamily="34" charset="0"/>
                </a:rPr>
                <a:pPr algn="ctr" eaLnBrk="1" fontAlgn="auto" hangingPunct="1">
                  <a:spcBef>
                    <a:spcPct val="0"/>
                  </a:spcBef>
                  <a:spcAft>
                    <a:spcPts val="0"/>
                  </a:spcAft>
                </a:pPr>
                <a:t>1.100.000 </a:t>
              </a:fld>
              <a:endParaRPr lang="en-US" altLang="de-DE" sz="1000" b="1">
                <a:solidFill>
                  <a:srgbClr val="000000"/>
                </a:solidFill>
                <a:latin typeface="Frutiger LT Com 45 Light" panose="020B0303030504020204" pitchFamily="34" charset="0"/>
              </a:endParaRPr>
            </a:p>
          </xdr:txBody>
        </xdr:sp>
        <xdr:sp macro="" textlink="">
          <xdr:nvSpPr>
            <xdr:cNvPr id="520" name="Rectangle 28">
              <a:extLst>
                <a:ext uri="{FF2B5EF4-FFF2-40B4-BE49-F238E27FC236}">
                  <a16:creationId xmlns:a16="http://schemas.microsoft.com/office/drawing/2014/main" id="{00000000-0008-0000-0300-000008020000}"/>
                </a:ext>
              </a:extLst>
            </xdr:cNvPr>
            <xdr:cNvSpPr>
              <a:spLocks noChangeArrowheads="1"/>
            </xdr:cNvSpPr>
          </xdr:nvSpPr>
          <xdr:spPr bwMode="auto">
            <a:xfrm>
              <a:off x="6661142" y="2835410"/>
              <a:ext cx="407273" cy="161557"/>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r>
                <a:rPr lang="en-US" altLang="de-DE" sz="933" b="1">
                  <a:solidFill>
                    <a:srgbClr val="000000"/>
                  </a:solidFill>
                  <a:latin typeface="Frutiger LT Com 45 Light" panose="020B0303030504020204" pitchFamily="34" charset="0"/>
                </a:rPr>
                <a:t>Current</a:t>
              </a:r>
            </a:p>
          </xdr:txBody>
        </xdr:sp>
        <xdr:sp macro="" textlink="'Prospection Summary'!P1068">
          <xdr:nvSpPr>
            <xdr:cNvPr id="521" name="Rectangle 27">
              <a:extLst>
                <a:ext uri="{FF2B5EF4-FFF2-40B4-BE49-F238E27FC236}">
                  <a16:creationId xmlns:a16="http://schemas.microsoft.com/office/drawing/2014/main" id="{00000000-0008-0000-0300-000009020000}"/>
                </a:ext>
              </a:extLst>
            </xdr:cNvPr>
            <xdr:cNvSpPr>
              <a:spLocks noChangeArrowheads="1"/>
            </xdr:cNvSpPr>
          </xdr:nvSpPr>
          <xdr:spPr bwMode="auto">
            <a:xfrm>
              <a:off x="6661142" y="2997308"/>
              <a:ext cx="407273" cy="116364"/>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fld id="{6DD4918D-507C-4758-9137-C85D2FCD6A02}" type="TxLink">
                <a:rPr lang="en-US" altLang="de-DE" sz="1000" b="1" i="0" u="none" strike="noStrike">
                  <a:solidFill>
                    <a:srgbClr val="000000"/>
                  </a:solidFill>
                  <a:latin typeface="Frutiger LT Com 45 Light" panose="020B0303030504020204" pitchFamily="34" charset="0"/>
                </a:rPr>
                <a:pPr algn="ctr" eaLnBrk="1" fontAlgn="auto" hangingPunct="1">
                  <a:spcBef>
                    <a:spcPct val="0"/>
                  </a:spcBef>
                  <a:spcAft>
                    <a:spcPts val="0"/>
                  </a:spcAft>
                </a:pPr>
                <a:t>5.886.993 </a:t>
              </a:fld>
              <a:endParaRPr lang="en-US" altLang="de-DE" sz="1000" b="1">
                <a:solidFill>
                  <a:srgbClr val="000000"/>
                </a:solidFill>
                <a:latin typeface="Frutiger LT Com 45 Light" panose="020B0303030504020204" pitchFamily="34" charset="0"/>
              </a:endParaRPr>
            </a:p>
          </xdr:txBody>
        </xdr:sp>
        <xdr:sp macro="" textlink="">
          <xdr:nvSpPr>
            <xdr:cNvPr id="522" name="Rectangle 28">
              <a:extLst>
                <a:ext uri="{FF2B5EF4-FFF2-40B4-BE49-F238E27FC236}">
                  <a16:creationId xmlns:a16="http://schemas.microsoft.com/office/drawing/2014/main" id="{00000000-0008-0000-0300-00000A020000}"/>
                </a:ext>
              </a:extLst>
            </xdr:cNvPr>
            <xdr:cNvSpPr>
              <a:spLocks noChangeArrowheads="1"/>
            </xdr:cNvSpPr>
          </xdr:nvSpPr>
          <xdr:spPr bwMode="auto">
            <a:xfrm>
              <a:off x="7474815" y="2835410"/>
              <a:ext cx="407273" cy="161557"/>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r>
                <a:rPr lang="en-US" altLang="de-DE" sz="933" b="1">
                  <a:solidFill>
                    <a:srgbClr val="000000"/>
                  </a:solidFill>
                  <a:latin typeface="Frutiger LT Com 45 Light" panose="020B0303030504020204" pitchFamily="34" charset="0"/>
                </a:rPr>
                <a:t>Result</a:t>
              </a:r>
            </a:p>
          </xdr:txBody>
        </xdr:sp>
        <xdr:sp macro="" textlink="'Prospection Summary'!R1068">
          <xdr:nvSpPr>
            <xdr:cNvPr id="523" name="Rectangle 27">
              <a:extLst>
                <a:ext uri="{FF2B5EF4-FFF2-40B4-BE49-F238E27FC236}">
                  <a16:creationId xmlns:a16="http://schemas.microsoft.com/office/drawing/2014/main" id="{00000000-0008-0000-0300-00000B020000}"/>
                </a:ext>
              </a:extLst>
            </xdr:cNvPr>
            <xdr:cNvSpPr>
              <a:spLocks noChangeArrowheads="1"/>
            </xdr:cNvSpPr>
          </xdr:nvSpPr>
          <xdr:spPr bwMode="auto">
            <a:xfrm>
              <a:off x="7474815" y="2997308"/>
              <a:ext cx="407273" cy="116364"/>
            </a:xfrm>
            <a:prstGeom prst="rect">
              <a:avLst/>
            </a:prstGeom>
            <a:solidFill>
              <a:schemeClr val="bg2">
                <a:lumMod val="20000"/>
                <a:lumOff val="80000"/>
              </a:schemeClr>
            </a:solidFill>
            <a:ln w="9525">
              <a:solidFill>
                <a:schemeClr val="bg1">
                  <a:lumMod val="85000"/>
                </a:scheme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fld id="{028F3B45-016D-45CC-97DB-05B4734CD960}" type="TxLink">
                <a:rPr lang="en-US" altLang="de-DE" sz="1000" b="1" i="0" u="none" strike="noStrike">
                  <a:solidFill>
                    <a:srgbClr val="000000"/>
                  </a:solidFill>
                  <a:latin typeface="Frutiger LT Com 45 Light" panose="020B0303030504020204" pitchFamily="34" charset="0"/>
                </a:rPr>
                <a:pPr algn="ctr" eaLnBrk="1" fontAlgn="auto" hangingPunct="1">
                  <a:spcBef>
                    <a:spcPct val="0"/>
                  </a:spcBef>
                  <a:spcAft>
                    <a:spcPts val="0"/>
                  </a:spcAft>
                </a:pPr>
                <a:t>535%</a:t>
              </a:fld>
              <a:endParaRPr lang="en-US" altLang="de-DE" sz="1000" b="1">
                <a:solidFill>
                  <a:srgbClr val="000000"/>
                </a:solidFill>
                <a:latin typeface="Frutiger LT Com 45 Light" panose="020B0303030504020204" pitchFamily="34" charset="0"/>
              </a:endParaRPr>
            </a:p>
          </xdr:txBody>
        </xdr:sp>
      </xdr:grpSp>
      <xdr:sp macro="" textlink="">
        <xdr:nvSpPr>
          <xdr:cNvPr id="466" name="Freeform 33">
            <a:extLst>
              <a:ext uri="{FF2B5EF4-FFF2-40B4-BE49-F238E27FC236}">
                <a16:creationId xmlns:a16="http://schemas.microsoft.com/office/drawing/2014/main" id="{00000000-0008-0000-0300-0000D2010000}"/>
              </a:ext>
            </a:extLst>
          </xdr:cNvPr>
          <xdr:cNvSpPr>
            <a:spLocks/>
          </xdr:cNvSpPr>
        </xdr:nvSpPr>
        <xdr:spPr bwMode="gray">
          <a:xfrm>
            <a:off x="4430099" y="4704082"/>
            <a:ext cx="1061917" cy="472956"/>
          </a:xfrm>
          <a:custGeom>
            <a:avLst/>
            <a:gdLst/>
            <a:ahLst/>
            <a:cxnLst>
              <a:cxn ang="0">
                <a:pos x="115" y="14"/>
              </a:cxn>
              <a:cxn ang="0">
                <a:pos x="1" y="0"/>
              </a:cxn>
              <a:cxn ang="0">
                <a:pos x="0" y="0"/>
              </a:cxn>
              <a:cxn ang="0">
                <a:pos x="0" y="0"/>
              </a:cxn>
              <a:cxn ang="0">
                <a:pos x="0" y="0"/>
              </a:cxn>
              <a:cxn ang="0">
                <a:pos x="0" y="163"/>
              </a:cxn>
              <a:cxn ang="0">
                <a:pos x="229" y="163"/>
              </a:cxn>
              <a:cxn ang="0">
                <a:pos x="229" y="1"/>
              </a:cxn>
              <a:cxn ang="0">
                <a:pos x="115" y="14"/>
              </a:cxn>
            </a:cxnLst>
            <a:rect l="0" t="0" r="r" b="b"/>
            <a:pathLst>
              <a:path w="229" h="163">
                <a:moveTo>
                  <a:pt x="115" y="14"/>
                </a:moveTo>
                <a:cubicBezTo>
                  <a:pt x="55" y="14"/>
                  <a:pt x="6" y="8"/>
                  <a:pt x="1" y="0"/>
                </a:cubicBezTo>
                <a:cubicBezTo>
                  <a:pt x="0" y="0"/>
                  <a:pt x="0" y="0"/>
                  <a:pt x="0" y="0"/>
                </a:cubicBezTo>
                <a:cubicBezTo>
                  <a:pt x="0" y="0"/>
                  <a:pt x="0" y="0"/>
                  <a:pt x="0" y="0"/>
                </a:cubicBezTo>
                <a:cubicBezTo>
                  <a:pt x="0" y="0"/>
                  <a:pt x="0" y="0"/>
                  <a:pt x="0" y="0"/>
                </a:cubicBezTo>
                <a:cubicBezTo>
                  <a:pt x="0" y="163"/>
                  <a:pt x="0" y="163"/>
                  <a:pt x="0" y="163"/>
                </a:cubicBezTo>
                <a:cubicBezTo>
                  <a:pt x="229" y="163"/>
                  <a:pt x="229" y="163"/>
                  <a:pt x="229" y="163"/>
                </a:cubicBezTo>
                <a:cubicBezTo>
                  <a:pt x="229" y="1"/>
                  <a:pt x="229" y="1"/>
                  <a:pt x="229" y="1"/>
                </a:cubicBezTo>
                <a:cubicBezTo>
                  <a:pt x="222" y="8"/>
                  <a:pt x="174" y="14"/>
                  <a:pt x="115" y="14"/>
                </a:cubicBezTo>
                <a:close/>
              </a:path>
            </a:pathLst>
          </a:custGeom>
          <a:gradFill rotWithShape="1">
            <a:gsLst>
              <a:gs pos="0">
                <a:srgbClr val="969696"/>
              </a:gs>
              <a:gs pos="50000">
                <a:srgbClr val="D7D7D7"/>
              </a:gs>
              <a:gs pos="100000">
                <a:srgbClr val="969696"/>
              </a:gs>
            </a:gsLst>
            <a:lin ang="0" scaled="1"/>
          </a:gradFill>
          <a:ln w="9525">
            <a:no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endParaRPr lang="en-GB" sz="2100">
              <a:solidFill>
                <a:srgbClr val="000000"/>
              </a:solidFill>
              <a:latin typeface="Frutiger LT Com 45 Light" panose="020B0303030504020204" pitchFamily="34" charset="0"/>
            </a:endParaRPr>
          </a:p>
        </xdr:txBody>
      </xdr:sp>
      <xdr:sp macro="" textlink="">
        <xdr:nvSpPr>
          <xdr:cNvPr id="467" name="Oval 36">
            <a:extLst>
              <a:ext uri="{FF2B5EF4-FFF2-40B4-BE49-F238E27FC236}">
                <a16:creationId xmlns:a16="http://schemas.microsoft.com/office/drawing/2014/main" id="{00000000-0008-0000-0300-0000D3010000}"/>
              </a:ext>
            </a:extLst>
          </xdr:cNvPr>
          <xdr:cNvSpPr>
            <a:spLocks noChangeArrowheads="1"/>
          </xdr:cNvSpPr>
        </xdr:nvSpPr>
        <xdr:spPr bwMode="gray">
          <a:xfrm>
            <a:off x="4429655" y="5085076"/>
            <a:ext cx="1061917" cy="154016"/>
          </a:xfrm>
          <a:prstGeom prst="ellipse">
            <a:avLst/>
          </a:prstGeom>
          <a:gradFill rotWithShape="1">
            <a:gsLst>
              <a:gs pos="0">
                <a:srgbClr val="AFAFAF"/>
              </a:gs>
              <a:gs pos="50000">
                <a:srgbClr val="E6E6E6"/>
              </a:gs>
              <a:gs pos="100000">
                <a:srgbClr val="AFAFAF"/>
              </a:gs>
            </a:gsLst>
            <a:lin ang="0" scaled="1"/>
          </a:gradFill>
          <a:ln w="9525">
            <a:no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endParaRPr lang="en-GB" sz="2100">
              <a:solidFill>
                <a:srgbClr val="000000"/>
              </a:solidFill>
              <a:latin typeface="Frutiger LT Com 45 Light" panose="020B0303030504020204" pitchFamily="34" charset="0"/>
            </a:endParaRPr>
          </a:p>
        </xdr:txBody>
      </xdr:sp>
      <xdr:sp macro="" textlink="">
        <xdr:nvSpPr>
          <xdr:cNvPr id="468" name="Textfeld 122">
            <a:extLst>
              <a:ext uri="{FF2B5EF4-FFF2-40B4-BE49-F238E27FC236}">
                <a16:creationId xmlns:a16="http://schemas.microsoft.com/office/drawing/2014/main" id="{00000000-0008-0000-0300-0000D4010000}"/>
              </a:ext>
            </a:extLst>
          </xdr:cNvPr>
          <xdr:cNvSpPr txBox="1"/>
        </xdr:nvSpPr>
        <xdr:spPr>
          <a:xfrm>
            <a:off x="1230250" y="1210324"/>
            <a:ext cx="708195" cy="326726"/>
          </a:xfrm>
          <a:prstGeom prst="rect">
            <a:avLst/>
          </a:prstGeom>
          <a:noFill/>
        </xdr:spPr>
        <xdr:txBody>
          <a:bodyPr wrap="square" lIns="88363" tIns="44181" rIns="88363" bIns="44181" rtlCol="0">
            <a:spAutoFit/>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r>
              <a:rPr lang="en-GB" sz="1517" b="1">
                <a:solidFill>
                  <a:srgbClr val="000000"/>
                </a:solidFill>
                <a:latin typeface="Frutiger LT Com 45 Light" panose="020B0303030504020204" pitchFamily="34" charset="0"/>
              </a:rPr>
              <a:t>ITA</a:t>
            </a:r>
          </a:p>
        </xdr:txBody>
      </xdr:sp>
      <xdr:cxnSp macro="">
        <xdr:nvCxnSpPr>
          <xdr:cNvPr id="469" name="Gewinkelter Verbinder 468">
            <a:extLst>
              <a:ext uri="{FF2B5EF4-FFF2-40B4-BE49-F238E27FC236}">
                <a16:creationId xmlns:a16="http://schemas.microsoft.com/office/drawing/2014/main" id="{00000000-0008-0000-0300-0000D5010000}"/>
              </a:ext>
            </a:extLst>
          </xdr:cNvPr>
          <xdr:cNvCxnSpPr/>
        </xdr:nvCxnSpPr>
        <xdr:spPr bwMode="auto">
          <a:xfrm rot="16200000" flipH="1">
            <a:off x="5483243" y="4244608"/>
            <a:ext cx="2340000" cy="504000"/>
          </a:xfrm>
          <a:prstGeom prst="bentConnector3">
            <a:avLst>
              <a:gd name="adj1" fmla="val 50000"/>
            </a:avLst>
          </a:prstGeom>
          <a:noFill/>
          <a:ln w="19050" cap="sq">
            <a:solidFill>
              <a:srgbClr val="FF0000"/>
            </a:solidFill>
            <a:prstDash val="sysDot"/>
            <a:round/>
            <a:headEnd/>
            <a:tailEnd type="triangle"/>
          </a:ln>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470" name="Line 17">
            <a:extLst>
              <a:ext uri="{FF2B5EF4-FFF2-40B4-BE49-F238E27FC236}">
                <a16:creationId xmlns:a16="http://schemas.microsoft.com/office/drawing/2014/main" id="{00000000-0008-0000-0300-0000D6010000}"/>
              </a:ext>
            </a:extLst>
          </xdr:cNvPr>
          <xdr:cNvSpPr>
            <a:spLocks noChangeShapeType="1"/>
          </xdr:cNvSpPr>
        </xdr:nvSpPr>
        <xdr:spPr bwMode="gray">
          <a:xfrm>
            <a:off x="1340708" y="4691048"/>
            <a:ext cx="2955070" cy="23213"/>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sp macro="" textlink="">
        <xdr:nvSpPr>
          <xdr:cNvPr id="471" name="Line 17">
            <a:extLst>
              <a:ext uri="{FF2B5EF4-FFF2-40B4-BE49-F238E27FC236}">
                <a16:creationId xmlns:a16="http://schemas.microsoft.com/office/drawing/2014/main" id="{00000000-0008-0000-0300-0000D7010000}"/>
              </a:ext>
            </a:extLst>
          </xdr:cNvPr>
          <xdr:cNvSpPr>
            <a:spLocks noChangeShapeType="1"/>
          </xdr:cNvSpPr>
        </xdr:nvSpPr>
        <xdr:spPr bwMode="gray">
          <a:xfrm>
            <a:off x="1058630" y="3301278"/>
            <a:ext cx="2503162" cy="561"/>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sp macro="" textlink="">
        <xdr:nvSpPr>
          <xdr:cNvPr id="472" name="Line 17">
            <a:extLst>
              <a:ext uri="{FF2B5EF4-FFF2-40B4-BE49-F238E27FC236}">
                <a16:creationId xmlns:a16="http://schemas.microsoft.com/office/drawing/2014/main" id="{00000000-0008-0000-0300-0000D8010000}"/>
              </a:ext>
            </a:extLst>
          </xdr:cNvPr>
          <xdr:cNvSpPr>
            <a:spLocks noChangeShapeType="1"/>
          </xdr:cNvSpPr>
        </xdr:nvSpPr>
        <xdr:spPr bwMode="gray">
          <a:xfrm flipV="1">
            <a:off x="791329" y="2373820"/>
            <a:ext cx="2260509" cy="0"/>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grpSp>
        <xdr:nvGrpSpPr>
          <xdr:cNvPr id="473" name="Gruppieren 472">
            <a:extLst>
              <a:ext uri="{FF2B5EF4-FFF2-40B4-BE49-F238E27FC236}">
                <a16:creationId xmlns:a16="http://schemas.microsoft.com/office/drawing/2014/main" id="{00000000-0008-0000-0300-0000D9010000}"/>
              </a:ext>
            </a:extLst>
          </xdr:cNvPr>
          <xdr:cNvGrpSpPr/>
        </xdr:nvGrpSpPr>
        <xdr:grpSpPr>
          <a:xfrm>
            <a:off x="808070" y="1605594"/>
            <a:ext cx="1425501" cy="680410"/>
            <a:chOff x="6660231" y="2528607"/>
            <a:chExt cx="1221857" cy="583208"/>
          </a:xfrm>
        </xdr:grpSpPr>
        <xdr:sp macro="" textlink="">
          <xdr:nvSpPr>
            <xdr:cNvPr id="510" name="Rechteck 509">
              <a:extLst>
                <a:ext uri="{FF2B5EF4-FFF2-40B4-BE49-F238E27FC236}">
                  <a16:creationId xmlns:a16="http://schemas.microsoft.com/office/drawing/2014/main" id="{00000000-0008-0000-0300-0000FE01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Proposal Preparation</a:t>
              </a:r>
            </a:p>
          </xdr:txBody>
        </xdr:sp>
        <xdr:cxnSp macro="">
          <xdr:nvCxnSpPr>
            <xdr:cNvPr id="511" name="Gerade Verbindung 126">
              <a:extLst>
                <a:ext uri="{FF2B5EF4-FFF2-40B4-BE49-F238E27FC236}">
                  <a16:creationId xmlns:a16="http://schemas.microsoft.com/office/drawing/2014/main" id="{00000000-0008-0000-0300-0000FF01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512" name="Rectangle 28">
              <a:extLst>
                <a:ext uri="{FF2B5EF4-FFF2-40B4-BE49-F238E27FC236}">
                  <a16:creationId xmlns:a16="http://schemas.microsoft.com/office/drawing/2014/main" id="{00000000-0008-0000-0300-000000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P1055">
          <xdr:nvSpPr>
            <xdr:cNvPr id="513" name="Rectangle 27">
              <a:extLst>
                <a:ext uri="{FF2B5EF4-FFF2-40B4-BE49-F238E27FC236}">
                  <a16:creationId xmlns:a16="http://schemas.microsoft.com/office/drawing/2014/main" id="{00000000-0008-0000-0300-00000102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33BB63BE-3CF5-45C5-918C-FFA39EFE2EA5}" type="TxLink">
                <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80,5</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14" name="Rectangle 28">
              <a:extLst>
                <a:ext uri="{FF2B5EF4-FFF2-40B4-BE49-F238E27FC236}">
                  <a16:creationId xmlns:a16="http://schemas.microsoft.com/office/drawing/2014/main" id="{00000000-0008-0000-0300-000002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lang="en-US" altLang="de-DE" sz="933" kern="0">
                  <a:solidFill>
                    <a:srgbClr val="000000"/>
                  </a:solidFill>
                  <a:latin typeface="Frutiger LT Com 45 Light" panose="020B0303030504020204" pitchFamily="34" charset="0"/>
                </a:rPr>
                <a:t>Amount [€]</a:t>
              </a:r>
              <a:endPar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Prospection Summary'!Q1055">
          <xdr:nvSpPr>
            <xdr:cNvPr id="515" name="Rectangle 27">
              <a:extLst>
                <a:ext uri="{FF2B5EF4-FFF2-40B4-BE49-F238E27FC236}">
                  <a16:creationId xmlns:a16="http://schemas.microsoft.com/office/drawing/2014/main" id="{00000000-0008-0000-0300-000003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49ED4596-A60A-479B-BD84-EB14FC4A13CE}"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6.472.663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474" name="Gruppieren 473">
            <a:extLst>
              <a:ext uri="{FF2B5EF4-FFF2-40B4-BE49-F238E27FC236}">
                <a16:creationId xmlns:a16="http://schemas.microsoft.com/office/drawing/2014/main" id="{00000000-0008-0000-0300-0000DA010000}"/>
              </a:ext>
            </a:extLst>
          </xdr:cNvPr>
          <xdr:cNvGrpSpPr/>
        </xdr:nvGrpSpPr>
        <xdr:grpSpPr>
          <a:xfrm>
            <a:off x="1345564" y="3910254"/>
            <a:ext cx="1425501" cy="680410"/>
            <a:chOff x="6660231" y="2528607"/>
            <a:chExt cx="1221857" cy="583208"/>
          </a:xfrm>
        </xdr:grpSpPr>
        <xdr:sp macro="" textlink="">
          <xdr:nvSpPr>
            <xdr:cNvPr id="504" name="Rechteck 503">
              <a:extLst>
                <a:ext uri="{FF2B5EF4-FFF2-40B4-BE49-F238E27FC236}">
                  <a16:creationId xmlns:a16="http://schemas.microsoft.com/office/drawing/2014/main" id="{00000000-0008-0000-0300-0000F801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Running and Finished</a:t>
              </a:r>
            </a:p>
          </xdr:txBody>
        </xdr:sp>
        <xdr:cxnSp macro="">
          <xdr:nvCxnSpPr>
            <xdr:cNvPr id="505" name="Gerade Verbindung 126">
              <a:extLst>
                <a:ext uri="{FF2B5EF4-FFF2-40B4-BE49-F238E27FC236}">
                  <a16:creationId xmlns:a16="http://schemas.microsoft.com/office/drawing/2014/main" id="{00000000-0008-0000-0300-0000F901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506" name="Rectangle 28">
              <a:extLst>
                <a:ext uri="{FF2B5EF4-FFF2-40B4-BE49-F238E27FC236}">
                  <a16:creationId xmlns:a16="http://schemas.microsoft.com/office/drawing/2014/main" id="{00000000-0008-0000-0300-0000FA01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Projects</a:t>
              </a:r>
            </a:p>
          </xdr:txBody>
        </xdr:sp>
        <xdr:sp macro="" textlink="'Prospection Summary'!P1061">
          <xdr:nvSpPr>
            <xdr:cNvPr id="507" name="Rectangle 27">
              <a:extLst>
                <a:ext uri="{FF2B5EF4-FFF2-40B4-BE49-F238E27FC236}">
                  <a16:creationId xmlns:a16="http://schemas.microsoft.com/office/drawing/2014/main" id="{00000000-0008-0000-0300-0000FB01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48BB5A3B-5C60-498E-847B-7D3A8D7C4A73}" type="TxLink">
                <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20,5</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08" name="Rectangle 28">
              <a:extLst>
                <a:ext uri="{FF2B5EF4-FFF2-40B4-BE49-F238E27FC236}">
                  <a16:creationId xmlns:a16="http://schemas.microsoft.com/office/drawing/2014/main" id="{00000000-0008-0000-0300-0000FC01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Q1061">
          <xdr:nvSpPr>
            <xdr:cNvPr id="509" name="Rectangle 27">
              <a:extLst>
                <a:ext uri="{FF2B5EF4-FFF2-40B4-BE49-F238E27FC236}">
                  <a16:creationId xmlns:a16="http://schemas.microsoft.com/office/drawing/2014/main" id="{00000000-0008-0000-0300-0000FD01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BF842906-0B19-4813-A2A1-79DFD7250ACB}"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2.261.518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cxnSp macro="">
        <xdr:nvCxnSpPr>
          <xdr:cNvPr id="475" name="Gewinkelter Verbinder 474">
            <a:extLst>
              <a:ext uri="{FF2B5EF4-FFF2-40B4-BE49-F238E27FC236}">
                <a16:creationId xmlns:a16="http://schemas.microsoft.com/office/drawing/2014/main" id="{00000000-0008-0000-0300-0000DB010000}"/>
              </a:ext>
            </a:extLst>
          </xdr:cNvPr>
          <xdr:cNvCxnSpPr/>
        </xdr:nvCxnSpPr>
        <xdr:spPr bwMode="auto">
          <a:xfrm rot="5400000">
            <a:off x="2152912" y="4255531"/>
            <a:ext cx="2340000" cy="504000"/>
          </a:xfrm>
          <a:prstGeom prst="bentConnector3">
            <a:avLst>
              <a:gd name="adj1" fmla="val 50000"/>
            </a:avLst>
          </a:prstGeom>
          <a:noFill/>
          <a:ln w="19050" cap="sq">
            <a:solidFill>
              <a:srgbClr val="FF0000"/>
            </a:solidFill>
            <a:prstDash val="sysDot"/>
            <a:round/>
            <a:headEnd/>
            <a:tailEnd type="triangle"/>
          </a:ln>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grpSp>
        <xdr:nvGrpSpPr>
          <xdr:cNvPr id="476" name="Gruppieren 475">
            <a:extLst>
              <a:ext uri="{FF2B5EF4-FFF2-40B4-BE49-F238E27FC236}">
                <a16:creationId xmlns:a16="http://schemas.microsoft.com/office/drawing/2014/main" id="{00000000-0008-0000-0300-0000DC010000}"/>
              </a:ext>
            </a:extLst>
          </xdr:cNvPr>
          <xdr:cNvGrpSpPr/>
        </xdr:nvGrpSpPr>
        <xdr:grpSpPr>
          <a:xfrm>
            <a:off x="1533104" y="5136103"/>
            <a:ext cx="1425501" cy="680410"/>
            <a:chOff x="6660231" y="2528607"/>
            <a:chExt cx="1221857" cy="583208"/>
          </a:xfrm>
        </xdr:grpSpPr>
        <xdr:sp macro="" textlink="">
          <xdr:nvSpPr>
            <xdr:cNvPr id="498" name="Rechteck 497">
              <a:extLst>
                <a:ext uri="{FF2B5EF4-FFF2-40B4-BE49-F238E27FC236}">
                  <a16:creationId xmlns:a16="http://schemas.microsoft.com/office/drawing/2014/main" id="{00000000-0008-0000-0300-0000F201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Declined</a:t>
              </a:r>
            </a:p>
          </xdr:txBody>
        </xdr:sp>
        <xdr:cxnSp macro="">
          <xdr:nvCxnSpPr>
            <xdr:cNvPr id="499" name="Gerade Verbindung 126">
              <a:extLst>
                <a:ext uri="{FF2B5EF4-FFF2-40B4-BE49-F238E27FC236}">
                  <a16:creationId xmlns:a16="http://schemas.microsoft.com/office/drawing/2014/main" id="{00000000-0008-0000-0300-0000F301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500" name="Rectangle 28">
              <a:extLst>
                <a:ext uri="{FF2B5EF4-FFF2-40B4-BE49-F238E27FC236}">
                  <a16:creationId xmlns:a16="http://schemas.microsoft.com/office/drawing/2014/main" id="{00000000-0008-0000-0300-0000F401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P1064">
          <xdr:nvSpPr>
            <xdr:cNvPr id="501" name="Rectangle 27">
              <a:extLst>
                <a:ext uri="{FF2B5EF4-FFF2-40B4-BE49-F238E27FC236}">
                  <a16:creationId xmlns:a16="http://schemas.microsoft.com/office/drawing/2014/main" id="{00000000-0008-0000-0300-0000F501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FB59E4F8-1A83-4BF0-90AA-08ECFE955AC0}"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53,5</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02" name="Rectangle 28">
              <a:extLst>
                <a:ext uri="{FF2B5EF4-FFF2-40B4-BE49-F238E27FC236}">
                  <a16:creationId xmlns:a16="http://schemas.microsoft.com/office/drawing/2014/main" id="{00000000-0008-0000-0300-0000F601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Q1064">
          <xdr:nvSpPr>
            <xdr:cNvPr id="503" name="Rectangle 27">
              <a:extLst>
                <a:ext uri="{FF2B5EF4-FFF2-40B4-BE49-F238E27FC236}">
                  <a16:creationId xmlns:a16="http://schemas.microsoft.com/office/drawing/2014/main" id="{00000000-0008-0000-0300-0000F701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E7F19854-A38A-4A71-8F15-38FF9C24F102}"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3.297.022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477" name="Gruppieren 476">
            <a:extLst>
              <a:ext uri="{FF2B5EF4-FFF2-40B4-BE49-F238E27FC236}">
                <a16:creationId xmlns:a16="http://schemas.microsoft.com/office/drawing/2014/main" id="{00000000-0008-0000-0300-0000DD010000}"/>
              </a:ext>
            </a:extLst>
          </xdr:cNvPr>
          <xdr:cNvGrpSpPr/>
        </xdr:nvGrpSpPr>
        <xdr:grpSpPr>
          <a:xfrm>
            <a:off x="1042375" y="2583646"/>
            <a:ext cx="1425505" cy="680411"/>
            <a:chOff x="6660228" y="2528607"/>
            <a:chExt cx="1221860" cy="583209"/>
          </a:xfrm>
        </xdr:grpSpPr>
        <xdr:sp macro="" textlink="">
          <xdr:nvSpPr>
            <xdr:cNvPr id="492" name="Rechteck 491">
              <a:extLst>
                <a:ext uri="{FF2B5EF4-FFF2-40B4-BE49-F238E27FC236}">
                  <a16:creationId xmlns:a16="http://schemas.microsoft.com/office/drawing/2014/main" id="{00000000-0008-0000-0300-0000EC01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Proposals Submitted</a:t>
              </a:r>
            </a:p>
          </xdr:txBody>
        </xdr:sp>
        <xdr:cxnSp macro="">
          <xdr:nvCxnSpPr>
            <xdr:cNvPr id="493" name="Gerade Verbindung 126">
              <a:extLst>
                <a:ext uri="{FF2B5EF4-FFF2-40B4-BE49-F238E27FC236}">
                  <a16:creationId xmlns:a16="http://schemas.microsoft.com/office/drawing/2014/main" id="{00000000-0008-0000-0300-0000ED01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494" name="Rectangle 28">
              <a:extLst>
                <a:ext uri="{FF2B5EF4-FFF2-40B4-BE49-F238E27FC236}">
                  <a16:creationId xmlns:a16="http://schemas.microsoft.com/office/drawing/2014/main" id="{00000000-0008-0000-0300-0000EE01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P1058">
          <xdr:nvSpPr>
            <xdr:cNvPr id="495" name="Rectangle 27">
              <a:extLst>
                <a:ext uri="{FF2B5EF4-FFF2-40B4-BE49-F238E27FC236}">
                  <a16:creationId xmlns:a16="http://schemas.microsoft.com/office/drawing/2014/main" id="{00000000-0008-0000-0300-0000EF010000}"/>
                </a:ext>
              </a:extLst>
            </xdr:cNvPr>
            <xdr:cNvSpPr>
              <a:spLocks noChangeArrowheads="1"/>
            </xdr:cNvSpPr>
          </xdr:nvSpPr>
          <xdr:spPr bwMode="auto">
            <a:xfrm>
              <a:off x="6660228" y="2986669"/>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9EB8EC76-70AB-4F51-9E44-B13CEE648F4C}" type="TxLink">
                <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76</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496" name="Rectangle 28">
              <a:extLst>
                <a:ext uri="{FF2B5EF4-FFF2-40B4-BE49-F238E27FC236}">
                  <a16:creationId xmlns:a16="http://schemas.microsoft.com/office/drawing/2014/main" id="{00000000-0008-0000-0300-0000F001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Q1058">
          <xdr:nvSpPr>
            <xdr:cNvPr id="497" name="Rectangle 27">
              <a:extLst>
                <a:ext uri="{FF2B5EF4-FFF2-40B4-BE49-F238E27FC236}">
                  <a16:creationId xmlns:a16="http://schemas.microsoft.com/office/drawing/2014/main" id="{00000000-0008-0000-0300-0000F101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EDCC9D5C-25E8-49BB-A1CC-56B41D8A7BEF}" type="TxLink">
                <a:rPr lang="en-US" altLang="de-DE" sz="1000" b="0"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5.960.898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478" name="Gruppieren 477">
            <a:extLst>
              <a:ext uri="{FF2B5EF4-FFF2-40B4-BE49-F238E27FC236}">
                <a16:creationId xmlns:a16="http://schemas.microsoft.com/office/drawing/2014/main" id="{00000000-0008-0000-0300-0000DE010000}"/>
              </a:ext>
            </a:extLst>
          </xdr:cNvPr>
          <xdr:cNvGrpSpPr/>
        </xdr:nvGrpSpPr>
        <xdr:grpSpPr>
          <a:xfrm>
            <a:off x="355795" y="4558687"/>
            <a:ext cx="821702" cy="680410"/>
            <a:chOff x="6660231" y="2528607"/>
            <a:chExt cx="1221857" cy="583208"/>
          </a:xfrm>
        </xdr:grpSpPr>
        <xdr:sp macro="" textlink="">
          <xdr:nvSpPr>
            <xdr:cNvPr id="486" name="Rechteck 485">
              <a:extLst>
                <a:ext uri="{FF2B5EF4-FFF2-40B4-BE49-F238E27FC236}">
                  <a16:creationId xmlns:a16="http://schemas.microsoft.com/office/drawing/2014/main" id="{00000000-0008-0000-0300-0000E601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1" i="0" u="none" strike="noStrike" kern="0" cap="none" spc="0" normalizeH="0" baseline="0">
                  <a:ln>
                    <a:noFill/>
                  </a:ln>
                  <a:solidFill>
                    <a:srgbClr val="000000"/>
                  </a:solidFill>
                  <a:effectLst/>
                  <a:uLnTx/>
                  <a:uFillTx/>
                  <a:latin typeface="Frutiger LT Com 45 Light" panose="020B0303030504020204" pitchFamily="34" charset="0"/>
                </a:rPr>
                <a:t>Success rate</a:t>
              </a:r>
            </a:p>
          </xdr:txBody>
        </xdr:sp>
        <xdr:cxnSp macro="">
          <xdr:nvCxnSpPr>
            <xdr:cNvPr id="487" name="Gerade Verbindung 126">
              <a:extLst>
                <a:ext uri="{FF2B5EF4-FFF2-40B4-BE49-F238E27FC236}">
                  <a16:creationId xmlns:a16="http://schemas.microsoft.com/office/drawing/2014/main" id="{00000000-0008-0000-0300-0000E7010000}"/>
                </a:ext>
              </a:extLst>
            </xdr:cNvPr>
            <xdr:cNvCxnSpPr/>
          </xdr:nvCxnSpPr>
          <xdr:spPr bwMode="auto">
            <a:xfrm>
              <a:off x="6660232" y="3072697"/>
              <a:ext cx="814546"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488" name="Rectangle 28">
              <a:extLst>
                <a:ext uri="{FF2B5EF4-FFF2-40B4-BE49-F238E27FC236}">
                  <a16:creationId xmlns:a16="http://schemas.microsoft.com/office/drawing/2014/main" id="{00000000-0008-0000-0300-0000E801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lang="en-US" altLang="de-DE" sz="933" b="1" kern="0">
                  <a:solidFill>
                    <a:srgbClr val="000000"/>
                  </a:solidFill>
                  <a:latin typeface="Frutiger LT Com 45 Light" panose="020B0303030504020204" pitchFamily="34" charset="0"/>
                </a:rPr>
                <a:t>#</a:t>
              </a:r>
              <a:endParaRPr kumimoji="0" lang="en-US" altLang="de-DE" sz="933"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Prospection Summary'!N1061">
          <xdr:nvSpPr>
            <xdr:cNvPr id="489" name="Rectangle 27">
              <a:extLst>
                <a:ext uri="{FF2B5EF4-FFF2-40B4-BE49-F238E27FC236}">
                  <a16:creationId xmlns:a16="http://schemas.microsoft.com/office/drawing/2014/main" id="{00000000-0008-0000-0300-0000E901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D1B23E63-AC82-421A-9218-A5A40B2BF256}" type="TxLink">
                <a:rPr lang="en-US" altLang="de-DE" sz="1000" b="1"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28%</a:t>
              </a:fld>
              <a:endPar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490" name="Rectangle 28">
              <a:extLst>
                <a:ext uri="{FF2B5EF4-FFF2-40B4-BE49-F238E27FC236}">
                  <a16:creationId xmlns:a16="http://schemas.microsoft.com/office/drawing/2014/main" id="{00000000-0008-0000-0300-0000EA01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b="1" kern="0">
                  <a:solidFill>
                    <a:srgbClr val="000000"/>
                  </a:solidFill>
                  <a:latin typeface="Frutiger LT Com 45 Light" panose="020B0303030504020204" pitchFamily="34" charset="0"/>
                </a:rPr>
                <a:t>€</a:t>
              </a:r>
            </a:p>
          </xdr:txBody>
        </xdr:sp>
        <xdr:sp macro="" textlink="'Prospection Summary'!O1061">
          <xdr:nvSpPr>
            <xdr:cNvPr id="491" name="Rectangle 27">
              <a:extLst>
                <a:ext uri="{FF2B5EF4-FFF2-40B4-BE49-F238E27FC236}">
                  <a16:creationId xmlns:a16="http://schemas.microsoft.com/office/drawing/2014/main" id="{00000000-0008-0000-0300-0000EB01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2EB1DC73-E8AC-4929-9801-82738888B68C}" type="TxLink">
                <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41%</a:t>
              </a:fld>
              <a:endPar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479" name="Gruppieren 478">
            <a:extLst>
              <a:ext uri="{FF2B5EF4-FFF2-40B4-BE49-F238E27FC236}">
                <a16:creationId xmlns:a16="http://schemas.microsoft.com/office/drawing/2014/main" id="{00000000-0008-0000-0300-0000DF010000}"/>
              </a:ext>
            </a:extLst>
          </xdr:cNvPr>
          <xdr:cNvGrpSpPr/>
        </xdr:nvGrpSpPr>
        <xdr:grpSpPr>
          <a:xfrm>
            <a:off x="8708377" y="4558687"/>
            <a:ext cx="821702" cy="680410"/>
            <a:chOff x="6660231" y="2528607"/>
            <a:chExt cx="1221857" cy="583208"/>
          </a:xfrm>
        </xdr:grpSpPr>
        <xdr:sp macro="" textlink="">
          <xdr:nvSpPr>
            <xdr:cNvPr id="480" name="Rechteck 479">
              <a:extLst>
                <a:ext uri="{FF2B5EF4-FFF2-40B4-BE49-F238E27FC236}">
                  <a16:creationId xmlns:a16="http://schemas.microsoft.com/office/drawing/2014/main" id="{00000000-0008-0000-0300-0000E001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1" i="0" u="none" strike="noStrike" kern="0" cap="none" spc="0" normalizeH="0" baseline="0">
                  <a:ln>
                    <a:noFill/>
                  </a:ln>
                  <a:solidFill>
                    <a:srgbClr val="000000"/>
                  </a:solidFill>
                  <a:effectLst/>
                  <a:uLnTx/>
                  <a:uFillTx/>
                  <a:latin typeface="Frutiger LT Com 45 Light" panose="020B0303030504020204" pitchFamily="34" charset="0"/>
                </a:rPr>
                <a:t>Success rate</a:t>
              </a:r>
            </a:p>
          </xdr:txBody>
        </xdr:sp>
        <xdr:cxnSp macro="">
          <xdr:nvCxnSpPr>
            <xdr:cNvPr id="481" name="Gerade Verbindung 126">
              <a:extLst>
                <a:ext uri="{FF2B5EF4-FFF2-40B4-BE49-F238E27FC236}">
                  <a16:creationId xmlns:a16="http://schemas.microsoft.com/office/drawing/2014/main" id="{00000000-0008-0000-0300-0000E1010000}"/>
                </a:ext>
              </a:extLst>
            </xdr:cNvPr>
            <xdr:cNvCxnSpPr/>
          </xdr:nvCxnSpPr>
          <xdr:spPr bwMode="auto">
            <a:xfrm>
              <a:off x="6660232" y="3072697"/>
              <a:ext cx="814546"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482" name="Rectangle 28">
              <a:extLst>
                <a:ext uri="{FF2B5EF4-FFF2-40B4-BE49-F238E27FC236}">
                  <a16:creationId xmlns:a16="http://schemas.microsoft.com/office/drawing/2014/main" id="{00000000-0008-0000-0300-0000E201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lang="en-US" altLang="de-DE" sz="933" b="1" kern="0">
                  <a:solidFill>
                    <a:srgbClr val="000000"/>
                  </a:solidFill>
                  <a:latin typeface="Frutiger LT Com 45 Light" panose="020B0303030504020204" pitchFamily="34" charset="0"/>
                </a:rPr>
                <a:t>#</a:t>
              </a:r>
              <a:endParaRPr kumimoji="0" lang="en-US" altLang="de-DE" sz="933"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Prospection Summary'!U1061">
          <xdr:nvSpPr>
            <xdr:cNvPr id="483" name="Rectangle 27">
              <a:extLst>
                <a:ext uri="{FF2B5EF4-FFF2-40B4-BE49-F238E27FC236}">
                  <a16:creationId xmlns:a16="http://schemas.microsoft.com/office/drawing/2014/main" id="{00000000-0008-0000-0300-0000E301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2AC5834F-629E-4CE5-9326-5CE291FCB026}" type="TxLink">
                <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26%</a:t>
              </a:fld>
              <a:endPar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484" name="Rectangle 28">
              <a:extLst>
                <a:ext uri="{FF2B5EF4-FFF2-40B4-BE49-F238E27FC236}">
                  <a16:creationId xmlns:a16="http://schemas.microsoft.com/office/drawing/2014/main" id="{00000000-0008-0000-0300-0000E401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b="1" kern="0">
                  <a:solidFill>
                    <a:srgbClr val="000000"/>
                  </a:solidFill>
                  <a:latin typeface="Frutiger LT Com 45 Light" panose="020B0303030504020204" pitchFamily="34" charset="0"/>
                </a:rPr>
                <a:t>€</a:t>
              </a:r>
            </a:p>
          </xdr:txBody>
        </xdr:sp>
        <xdr:sp macro="" textlink="'Prospection Summary'!V1061">
          <xdr:nvSpPr>
            <xdr:cNvPr id="485" name="Rectangle 27">
              <a:extLst>
                <a:ext uri="{FF2B5EF4-FFF2-40B4-BE49-F238E27FC236}">
                  <a16:creationId xmlns:a16="http://schemas.microsoft.com/office/drawing/2014/main" id="{00000000-0008-0000-0300-0000E501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E1FE2178-18E4-4E76-9125-97CF4BDFC4BF}" type="TxLink">
                <a:rPr lang="en-US" altLang="de-DE" sz="1000" b="1" i="0" u="none" strike="noStrike" kern="0">
                  <a:solidFill>
                    <a:srgbClr val="000000"/>
                  </a:solidFill>
                  <a:latin typeface="Frutiger LT Com 45 Light" panose="020B0303030504020204" pitchFamily="34" charset="0"/>
                </a:rPr>
                <a:pPr marL="0" marR="0" lvl="0" indent="0" algn="ctr" defTabSz="793750" eaLnBrk="1" fontAlgn="auto" latinLnBrk="0" hangingPunct="1">
                  <a:lnSpc>
                    <a:spcPct val="100000"/>
                  </a:lnSpc>
                  <a:spcBef>
                    <a:spcPct val="0"/>
                  </a:spcBef>
                  <a:spcAft>
                    <a:spcPts val="0"/>
                  </a:spcAft>
                  <a:buClrTx/>
                  <a:buSzTx/>
                  <a:buFontTx/>
                  <a:buNone/>
                  <a:tabLst/>
                  <a:defRPr/>
                </a:pPr>
                <a:t>48%</a:t>
              </a:fld>
              <a:endPar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clientData/>
  </xdr:twoCellAnchor>
  <xdr:twoCellAnchor>
    <xdr:from>
      <xdr:col>1</xdr:col>
      <xdr:colOff>0</xdr:colOff>
      <xdr:row>30</xdr:row>
      <xdr:rowOff>0</xdr:rowOff>
    </xdr:from>
    <xdr:to>
      <xdr:col>3</xdr:col>
      <xdr:colOff>208138</xdr:colOff>
      <xdr:row>31</xdr:row>
      <xdr:rowOff>21791</xdr:rowOff>
    </xdr:to>
    <xdr:sp macro="" textlink="">
      <xdr:nvSpPr>
        <xdr:cNvPr id="557" name="Textfeld 4">
          <a:extLst>
            <a:ext uri="{FF2B5EF4-FFF2-40B4-BE49-F238E27FC236}">
              <a16:creationId xmlns:a16="http://schemas.microsoft.com/office/drawing/2014/main" id="{00000000-0008-0000-0300-00002D020000}"/>
            </a:ext>
          </a:extLst>
        </xdr:cNvPr>
        <xdr:cNvSpPr txBox="1"/>
      </xdr:nvSpPr>
      <xdr:spPr>
        <a:xfrm>
          <a:off x="762000" y="5715000"/>
          <a:ext cx="1732138" cy="212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INDUSTRY</a:t>
          </a:r>
        </a:p>
      </xdr:txBody>
    </xdr:sp>
    <xdr:clientData/>
  </xdr:twoCellAnchor>
  <xdr:twoCellAnchor>
    <xdr:from>
      <xdr:col>1</xdr:col>
      <xdr:colOff>0</xdr:colOff>
      <xdr:row>62</xdr:row>
      <xdr:rowOff>47625</xdr:rowOff>
    </xdr:from>
    <xdr:to>
      <xdr:col>13</xdr:col>
      <xdr:colOff>173036</xdr:colOff>
      <xdr:row>87</xdr:row>
      <xdr:rowOff>162373</xdr:rowOff>
    </xdr:to>
    <xdr:grpSp>
      <xdr:nvGrpSpPr>
        <xdr:cNvPr id="558" name="Gruppieren 557">
          <a:extLst>
            <a:ext uri="{FF2B5EF4-FFF2-40B4-BE49-F238E27FC236}">
              <a16:creationId xmlns:a16="http://schemas.microsoft.com/office/drawing/2014/main" id="{00000000-0008-0000-0300-00002E020000}"/>
            </a:ext>
          </a:extLst>
        </xdr:cNvPr>
        <xdr:cNvGrpSpPr/>
      </xdr:nvGrpSpPr>
      <xdr:grpSpPr>
        <a:xfrm>
          <a:off x="802980" y="11377945"/>
          <a:ext cx="9808792" cy="4683426"/>
          <a:chOff x="281095" y="1020983"/>
          <a:chExt cx="9317036" cy="4877248"/>
        </a:xfrm>
      </xdr:grpSpPr>
      <xdr:sp macro="" textlink="">
        <xdr:nvSpPr>
          <xdr:cNvPr id="559" name="Rechteck 558">
            <a:extLst>
              <a:ext uri="{FF2B5EF4-FFF2-40B4-BE49-F238E27FC236}">
                <a16:creationId xmlns:a16="http://schemas.microsoft.com/office/drawing/2014/main" id="{00000000-0008-0000-0300-00002F020000}"/>
              </a:ext>
            </a:extLst>
          </xdr:cNvPr>
          <xdr:cNvSpPr/>
        </xdr:nvSpPr>
        <xdr:spPr bwMode="auto">
          <a:xfrm>
            <a:off x="281095" y="1020983"/>
            <a:ext cx="9317036" cy="4877248"/>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horz" wrap="square" lIns="88363" tIns="44181" rIns="88363" bIns="44181" numCol="1" rtlCol="0" anchor="t"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61"/>
            <a:endParaRPr lang="en-GB" sz="1517">
              <a:solidFill>
                <a:srgbClr val="000000"/>
              </a:solidFill>
              <a:latin typeface="Frutiger LT Com 45 Light" panose="020B0303030504020204" pitchFamily="34" charset="0"/>
            </a:endParaRPr>
          </a:p>
        </xdr:txBody>
      </xdr:sp>
      <xdr:grpSp>
        <xdr:nvGrpSpPr>
          <xdr:cNvPr id="560" name="Gruppieren 559">
            <a:extLst>
              <a:ext uri="{FF2B5EF4-FFF2-40B4-BE49-F238E27FC236}">
                <a16:creationId xmlns:a16="http://schemas.microsoft.com/office/drawing/2014/main" id="{00000000-0008-0000-0300-000030020000}"/>
              </a:ext>
            </a:extLst>
          </xdr:cNvPr>
          <xdr:cNvGrpSpPr/>
        </xdr:nvGrpSpPr>
        <xdr:grpSpPr>
          <a:xfrm>
            <a:off x="2708768" y="1270831"/>
            <a:ext cx="4485289" cy="3995491"/>
            <a:chOff x="2205857" y="1557195"/>
            <a:chExt cx="4690243" cy="3775721"/>
          </a:xfrm>
          <a:effectLst>
            <a:outerShdw blurRad="660400" dir="18900000" sy="23000" kx="-1200000" algn="bl" rotWithShape="0">
              <a:prstClr val="black">
                <a:alpha val="20000"/>
              </a:prstClr>
            </a:outerShdw>
          </a:effectLst>
        </xdr:grpSpPr>
        <xdr:sp macro="" textlink="">
          <xdr:nvSpPr>
            <xdr:cNvPr id="659" name="Freeform 11">
              <a:extLst>
                <a:ext uri="{FF2B5EF4-FFF2-40B4-BE49-F238E27FC236}">
                  <a16:creationId xmlns:a16="http://schemas.microsoft.com/office/drawing/2014/main" id="{00000000-0008-0000-0300-000093020000}"/>
                </a:ext>
              </a:extLst>
            </xdr:cNvPr>
            <xdr:cNvSpPr>
              <a:spLocks/>
            </xdr:cNvSpPr>
          </xdr:nvSpPr>
          <xdr:spPr bwMode="auto">
            <a:xfrm>
              <a:off x="2214001" y="1849909"/>
              <a:ext cx="4682099" cy="988263"/>
            </a:xfrm>
            <a:custGeom>
              <a:avLst/>
              <a:gdLst>
                <a:gd name="T0" fmla="*/ 2147483647 w 963"/>
                <a:gd name="T1" fmla="*/ 829454232 h 203"/>
                <a:gd name="T2" fmla="*/ 0 w 963"/>
                <a:gd name="T3" fmla="*/ 0 h 203"/>
                <a:gd name="T4" fmla="*/ 1617851877 w 963"/>
                <a:gd name="T5" fmla="*/ 2147483647 h 203"/>
                <a:gd name="T6" fmla="*/ 1709772276 w 963"/>
                <a:gd name="T7" fmla="*/ 2147483647 h 203"/>
                <a:gd name="T8" fmla="*/ 2147483647 w 963"/>
                <a:gd name="T9" fmla="*/ 2147483647 h 203"/>
                <a:gd name="T10" fmla="*/ 2147483647 w 963"/>
                <a:gd name="T11" fmla="*/ 2147483647 h 203"/>
                <a:gd name="T12" fmla="*/ 2147483647 w 963"/>
                <a:gd name="T13" fmla="*/ 2147483647 h 203"/>
                <a:gd name="T14" fmla="*/ 2147483647 w 963"/>
                <a:gd name="T15" fmla="*/ 0 h 203"/>
                <a:gd name="T16" fmla="*/ 2147483647 w 963"/>
                <a:gd name="T17" fmla="*/ 829454232 h 20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963"/>
                <a:gd name="T28" fmla="*/ 0 h 203"/>
                <a:gd name="T29" fmla="*/ 963 w 963"/>
                <a:gd name="T30" fmla="*/ 203 h 203"/>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963" h="203">
                  <a:moveTo>
                    <a:pt x="481" y="45"/>
                  </a:moveTo>
                  <a:cubicBezTo>
                    <a:pt x="237" y="45"/>
                    <a:pt x="35" y="25"/>
                    <a:pt x="0" y="0"/>
                  </a:cubicBezTo>
                  <a:cubicBezTo>
                    <a:pt x="88" y="153"/>
                    <a:pt x="88" y="153"/>
                    <a:pt x="88" y="153"/>
                  </a:cubicBezTo>
                  <a:cubicBezTo>
                    <a:pt x="93" y="160"/>
                    <a:pt x="93" y="160"/>
                    <a:pt x="93" y="160"/>
                  </a:cubicBezTo>
                  <a:cubicBezTo>
                    <a:pt x="121" y="185"/>
                    <a:pt x="284" y="203"/>
                    <a:pt x="482" y="203"/>
                  </a:cubicBezTo>
                  <a:cubicBezTo>
                    <a:pt x="679" y="203"/>
                    <a:pt x="843" y="185"/>
                    <a:pt x="871" y="160"/>
                  </a:cubicBezTo>
                  <a:cubicBezTo>
                    <a:pt x="875" y="153"/>
                    <a:pt x="875" y="153"/>
                    <a:pt x="875" y="153"/>
                  </a:cubicBezTo>
                  <a:cubicBezTo>
                    <a:pt x="963" y="0"/>
                    <a:pt x="963" y="0"/>
                    <a:pt x="963" y="0"/>
                  </a:cubicBezTo>
                  <a:cubicBezTo>
                    <a:pt x="928" y="25"/>
                    <a:pt x="726" y="45"/>
                    <a:pt x="481" y="45"/>
                  </a:cubicBezTo>
                  <a:close/>
                </a:path>
              </a:pathLst>
            </a:custGeom>
            <a:gradFill rotWithShape="1">
              <a:gsLst>
                <a:gs pos="0">
                  <a:srgbClr val="969696"/>
                </a:gs>
                <a:gs pos="50000">
                  <a:srgbClr val="E3E3E3"/>
                </a:gs>
                <a:gs pos="100000">
                  <a:srgbClr val="969696"/>
                </a:gs>
              </a:gsLst>
              <a:lin ang="0" scaled="1"/>
            </a:gradFill>
            <a:ln w="9525">
              <a:solidFill>
                <a:srgbClr val="FFFFFF"/>
              </a:solid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60" name="Oval 47">
              <a:extLst>
                <a:ext uri="{FF2B5EF4-FFF2-40B4-BE49-F238E27FC236}">
                  <a16:creationId xmlns:a16="http://schemas.microsoft.com/office/drawing/2014/main" id="{00000000-0008-0000-0300-000094020000}"/>
                </a:ext>
              </a:extLst>
            </xdr:cNvPr>
            <xdr:cNvSpPr>
              <a:spLocks noChangeArrowheads="1"/>
            </xdr:cNvSpPr>
          </xdr:nvSpPr>
          <xdr:spPr bwMode="gray">
            <a:xfrm>
              <a:off x="2205857" y="1557195"/>
              <a:ext cx="4690243" cy="513317"/>
            </a:xfrm>
            <a:prstGeom prst="ellipse">
              <a:avLst/>
            </a:prstGeom>
            <a:gradFill rotWithShape="1">
              <a:gsLst>
                <a:gs pos="0">
                  <a:srgbClr val="969696"/>
                </a:gs>
                <a:gs pos="100000">
                  <a:srgbClr val="C0C0C0"/>
                </a:gs>
              </a:gsLst>
              <a:lin ang="5400000" scaled="1"/>
            </a:gradFill>
            <a:ln w="12700">
              <a:solidFill>
                <a:srgbClr val="FFFFFF"/>
              </a:solid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nvGrpSpPr>
            <xdr:cNvPr id="661" name="Gruppieren 660">
              <a:extLst>
                <a:ext uri="{FF2B5EF4-FFF2-40B4-BE49-F238E27FC236}">
                  <a16:creationId xmlns:a16="http://schemas.microsoft.com/office/drawing/2014/main" id="{00000000-0008-0000-0300-000095020000}"/>
                </a:ext>
              </a:extLst>
            </xdr:cNvPr>
            <xdr:cNvGrpSpPr/>
          </xdr:nvGrpSpPr>
          <xdr:grpSpPr>
            <a:xfrm>
              <a:off x="2426668" y="1987884"/>
              <a:ext cx="4025396" cy="3345032"/>
              <a:chOff x="2426668" y="1987884"/>
              <a:chExt cx="4025396" cy="3345032"/>
            </a:xfrm>
            <a:effectLst/>
          </xdr:grpSpPr>
          <xdr:sp macro="" textlink="">
            <xdr:nvSpPr>
              <xdr:cNvPr id="662" name="Freeform 10">
                <a:extLst>
                  <a:ext uri="{FF2B5EF4-FFF2-40B4-BE49-F238E27FC236}">
                    <a16:creationId xmlns:a16="http://schemas.microsoft.com/office/drawing/2014/main" id="{00000000-0008-0000-0300-000096020000}"/>
                  </a:ext>
                </a:extLst>
              </xdr:cNvPr>
              <xdr:cNvSpPr>
                <a:spLocks/>
              </xdr:cNvSpPr>
            </xdr:nvSpPr>
            <xdr:spPr bwMode="auto">
              <a:xfrm>
                <a:off x="3555087" y="4108734"/>
                <a:ext cx="2001728" cy="741923"/>
              </a:xfrm>
              <a:custGeom>
                <a:avLst/>
                <a:gdLst>
                  <a:gd name="T0" fmla="*/ 0 w 412"/>
                  <a:gd name="T1" fmla="*/ 0 h 172"/>
                  <a:gd name="T2" fmla="*/ 1689002227 w 412"/>
                  <a:gd name="T3" fmla="*/ 2147483647 h 172"/>
                  <a:gd name="T4" fmla="*/ 1707362198 w 412"/>
                  <a:gd name="T5" fmla="*/ 2147483647 h 172"/>
                  <a:gd name="T6" fmla="*/ 1725722170 w 412"/>
                  <a:gd name="T7" fmla="*/ 2147483647 h 172"/>
                  <a:gd name="T8" fmla="*/ 1744077856 w 412"/>
                  <a:gd name="T9" fmla="*/ 2147483647 h 172"/>
                  <a:gd name="T10" fmla="*/ 1762437828 w 412"/>
                  <a:gd name="T11" fmla="*/ 2147483647 h 172"/>
                  <a:gd name="T12" fmla="*/ 1799153486 w 412"/>
                  <a:gd name="T13" fmla="*/ 2147483647 h 172"/>
                  <a:gd name="T14" fmla="*/ 1835873429 w 412"/>
                  <a:gd name="T15" fmla="*/ 2147483647 h 172"/>
                  <a:gd name="T16" fmla="*/ 1872589088 w 412"/>
                  <a:gd name="T17" fmla="*/ 2147483647 h 172"/>
                  <a:gd name="T18" fmla="*/ 1909309031 w 412"/>
                  <a:gd name="T19" fmla="*/ 2147483647 h 172"/>
                  <a:gd name="T20" fmla="*/ 1964384660 w 412"/>
                  <a:gd name="T21" fmla="*/ 2147483647 h 172"/>
                  <a:gd name="T22" fmla="*/ 2001100319 w 412"/>
                  <a:gd name="T23" fmla="*/ 2147483647 h 172"/>
                  <a:gd name="T24" fmla="*/ 2147483647 w 412"/>
                  <a:gd name="T25" fmla="*/ 2147483647 h 172"/>
                  <a:gd name="T26" fmla="*/ 2147483647 w 412"/>
                  <a:gd name="T27" fmla="*/ 2147483647 h 172"/>
                  <a:gd name="T28" fmla="*/ 2147483647 w 412"/>
                  <a:gd name="T29" fmla="*/ 2147483647 h 172"/>
                  <a:gd name="T30" fmla="*/ 2147483647 w 412"/>
                  <a:gd name="T31" fmla="*/ 2147483647 h 172"/>
                  <a:gd name="T32" fmla="*/ 2147483647 w 412"/>
                  <a:gd name="T33" fmla="*/ 2147483647 h 172"/>
                  <a:gd name="T34" fmla="*/ 2147483647 w 412"/>
                  <a:gd name="T35" fmla="*/ 2147483647 h 172"/>
                  <a:gd name="T36" fmla="*/ 2147483647 w 412"/>
                  <a:gd name="T37" fmla="*/ 2147483647 h 172"/>
                  <a:gd name="T38" fmla="*/ 2147483647 w 412"/>
                  <a:gd name="T39" fmla="*/ 2147483647 h 172"/>
                  <a:gd name="T40" fmla="*/ 2147483647 w 412"/>
                  <a:gd name="T41" fmla="*/ 2147483647 h 172"/>
                  <a:gd name="T42" fmla="*/ 2147483647 w 412"/>
                  <a:gd name="T43" fmla="*/ 2147483647 h 172"/>
                  <a:gd name="T44" fmla="*/ 2147483647 w 412"/>
                  <a:gd name="T45" fmla="*/ 2147483647 h 172"/>
                  <a:gd name="T46" fmla="*/ 2147483647 w 412"/>
                  <a:gd name="T47" fmla="*/ 2147483647 h 172"/>
                  <a:gd name="T48" fmla="*/ 2147483647 w 412"/>
                  <a:gd name="T49" fmla="*/ 2147483647 h 172"/>
                  <a:gd name="T50" fmla="*/ 2147483647 w 412"/>
                  <a:gd name="T51" fmla="*/ 2147483647 h 172"/>
                  <a:gd name="T52" fmla="*/ 2147483647 w 412"/>
                  <a:gd name="T53" fmla="*/ 2147483647 h 172"/>
                  <a:gd name="T54" fmla="*/ 2147483647 w 412"/>
                  <a:gd name="T55" fmla="*/ 2147483647 h 172"/>
                  <a:gd name="T56" fmla="*/ 2147483647 w 412"/>
                  <a:gd name="T57" fmla="*/ 2147483647 h 172"/>
                  <a:gd name="T58" fmla="*/ 2147483647 w 412"/>
                  <a:gd name="T59" fmla="*/ 2147483647 h 172"/>
                  <a:gd name="T60" fmla="*/ 2147483647 w 412"/>
                  <a:gd name="T61" fmla="*/ 2147483647 h 172"/>
                  <a:gd name="T62" fmla="*/ 2147483647 w 412"/>
                  <a:gd name="T63" fmla="*/ 2147483647 h 172"/>
                  <a:gd name="T64" fmla="*/ 2147483647 w 412"/>
                  <a:gd name="T65" fmla="*/ 2147483647 h 172"/>
                  <a:gd name="T66" fmla="*/ 2147483647 w 412"/>
                  <a:gd name="T67" fmla="*/ 2147483647 h 172"/>
                  <a:gd name="T68" fmla="*/ 2147483647 w 412"/>
                  <a:gd name="T69" fmla="*/ 2147483647 h 172"/>
                  <a:gd name="T70" fmla="*/ 2147483647 w 412"/>
                  <a:gd name="T71" fmla="*/ 2147483647 h 172"/>
                  <a:gd name="T72" fmla="*/ 2147483647 w 412"/>
                  <a:gd name="T73" fmla="*/ 2147483647 h 172"/>
                  <a:gd name="T74" fmla="*/ 2147483647 w 412"/>
                  <a:gd name="T75" fmla="*/ 2147483647 h 172"/>
                  <a:gd name="T76" fmla="*/ 2147483647 w 412"/>
                  <a:gd name="T77" fmla="*/ 2147483647 h 172"/>
                  <a:gd name="T78" fmla="*/ 2147483647 w 412"/>
                  <a:gd name="T79" fmla="*/ 2147483647 h 172"/>
                  <a:gd name="T80" fmla="*/ 2147483647 w 412"/>
                  <a:gd name="T81" fmla="*/ 2147483647 h 172"/>
                  <a:gd name="T82" fmla="*/ 2147483647 w 412"/>
                  <a:gd name="T83" fmla="*/ 2147483647 h 172"/>
                  <a:gd name="T84" fmla="*/ 2147483647 w 412"/>
                  <a:gd name="T85" fmla="*/ 2147483647 h 172"/>
                  <a:gd name="T86" fmla="*/ 2147483647 w 412"/>
                  <a:gd name="T87" fmla="*/ 2147483647 h 172"/>
                  <a:gd name="T88" fmla="*/ 2147483647 w 412"/>
                  <a:gd name="T89" fmla="*/ 2147483647 h 172"/>
                  <a:gd name="T90" fmla="*/ 2147483647 w 412"/>
                  <a:gd name="T91" fmla="*/ 2147483647 h 172"/>
                  <a:gd name="T92" fmla="*/ 2147483647 w 412"/>
                  <a:gd name="T93" fmla="*/ 2147483647 h 172"/>
                  <a:gd name="T94" fmla="*/ 2147483647 w 412"/>
                  <a:gd name="T95" fmla="*/ 2147483647 h 172"/>
                  <a:gd name="T96" fmla="*/ 2147483647 w 412"/>
                  <a:gd name="T97" fmla="*/ 2147483647 h 172"/>
                  <a:gd name="T98" fmla="*/ 2147483647 w 412"/>
                  <a:gd name="T99" fmla="*/ 2147483647 h 172"/>
                  <a:gd name="T100" fmla="*/ 2147483647 w 412"/>
                  <a:gd name="T101" fmla="*/ 2147483647 h 172"/>
                  <a:gd name="T102" fmla="*/ 2147483647 w 412"/>
                  <a:gd name="T103" fmla="*/ 2147483647 h 172"/>
                  <a:gd name="T104" fmla="*/ 2147483647 w 412"/>
                  <a:gd name="T105" fmla="*/ 403485488 h 172"/>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412"/>
                  <a:gd name="T160" fmla="*/ 0 h 172"/>
                  <a:gd name="T161" fmla="*/ 412 w 412"/>
                  <a:gd name="T162" fmla="*/ 172 h 172"/>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412" h="172">
                    <a:moveTo>
                      <a:pt x="206" y="22"/>
                    </a:moveTo>
                    <a:cubicBezTo>
                      <a:pt x="101" y="22"/>
                      <a:pt x="14" y="12"/>
                      <a:pt x="0" y="0"/>
                    </a:cubicBezTo>
                    <a:cubicBezTo>
                      <a:pt x="92" y="158"/>
                      <a:pt x="92" y="158"/>
                      <a:pt x="92" y="158"/>
                    </a:cubicBezTo>
                    <a:cubicBezTo>
                      <a:pt x="92" y="158"/>
                      <a:pt x="92" y="158"/>
                      <a:pt x="92" y="158"/>
                    </a:cubicBezTo>
                    <a:cubicBezTo>
                      <a:pt x="93" y="158"/>
                      <a:pt x="93" y="159"/>
                      <a:pt x="93" y="159"/>
                    </a:cubicBezTo>
                    <a:cubicBezTo>
                      <a:pt x="93" y="159"/>
                      <a:pt x="93" y="159"/>
                      <a:pt x="93" y="159"/>
                    </a:cubicBezTo>
                    <a:cubicBezTo>
                      <a:pt x="93" y="159"/>
                      <a:pt x="94" y="159"/>
                      <a:pt x="94" y="160"/>
                    </a:cubicBezTo>
                    <a:cubicBezTo>
                      <a:pt x="94" y="160"/>
                      <a:pt x="94" y="160"/>
                      <a:pt x="94" y="160"/>
                    </a:cubicBezTo>
                    <a:cubicBezTo>
                      <a:pt x="94" y="160"/>
                      <a:pt x="95" y="160"/>
                      <a:pt x="95" y="160"/>
                    </a:cubicBezTo>
                    <a:cubicBezTo>
                      <a:pt x="95" y="160"/>
                      <a:pt x="95" y="160"/>
                      <a:pt x="95" y="160"/>
                    </a:cubicBezTo>
                    <a:cubicBezTo>
                      <a:pt x="95" y="161"/>
                      <a:pt x="96" y="161"/>
                      <a:pt x="96" y="161"/>
                    </a:cubicBezTo>
                    <a:cubicBezTo>
                      <a:pt x="96" y="161"/>
                      <a:pt x="96" y="161"/>
                      <a:pt x="96" y="161"/>
                    </a:cubicBezTo>
                    <a:cubicBezTo>
                      <a:pt x="97" y="161"/>
                      <a:pt x="97" y="161"/>
                      <a:pt x="98" y="162"/>
                    </a:cubicBezTo>
                    <a:cubicBezTo>
                      <a:pt x="98" y="162"/>
                      <a:pt x="98" y="162"/>
                      <a:pt x="98" y="162"/>
                    </a:cubicBezTo>
                    <a:cubicBezTo>
                      <a:pt x="99" y="162"/>
                      <a:pt x="99" y="162"/>
                      <a:pt x="100" y="162"/>
                    </a:cubicBezTo>
                    <a:cubicBezTo>
                      <a:pt x="100" y="162"/>
                      <a:pt x="100" y="162"/>
                      <a:pt x="100" y="162"/>
                    </a:cubicBezTo>
                    <a:cubicBezTo>
                      <a:pt x="101" y="162"/>
                      <a:pt x="101" y="163"/>
                      <a:pt x="102" y="163"/>
                    </a:cubicBezTo>
                    <a:cubicBezTo>
                      <a:pt x="102" y="163"/>
                      <a:pt x="102" y="163"/>
                      <a:pt x="102" y="163"/>
                    </a:cubicBezTo>
                    <a:cubicBezTo>
                      <a:pt x="103" y="163"/>
                      <a:pt x="103" y="163"/>
                      <a:pt x="104" y="163"/>
                    </a:cubicBezTo>
                    <a:cubicBezTo>
                      <a:pt x="104" y="163"/>
                      <a:pt x="104" y="164"/>
                      <a:pt x="104" y="164"/>
                    </a:cubicBezTo>
                    <a:cubicBezTo>
                      <a:pt x="105" y="164"/>
                      <a:pt x="106" y="164"/>
                      <a:pt x="106" y="164"/>
                    </a:cubicBezTo>
                    <a:cubicBezTo>
                      <a:pt x="107" y="164"/>
                      <a:pt x="107" y="164"/>
                      <a:pt x="107" y="164"/>
                    </a:cubicBezTo>
                    <a:cubicBezTo>
                      <a:pt x="107" y="164"/>
                      <a:pt x="108" y="164"/>
                      <a:pt x="109" y="165"/>
                    </a:cubicBezTo>
                    <a:cubicBezTo>
                      <a:pt x="109" y="165"/>
                      <a:pt x="109" y="165"/>
                      <a:pt x="109" y="165"/>
                    </a:cubicBezTo>
                    <a:cubicBezTo>
                      <a:pt x="115" y="166"/>
                      <a:pt x="121" y="167"/>
                      <a:pt x="129" y="168"/>
                    </a:cubicBezTo>
                    <a:cubicBezTo>
                      <a:pt x="129" y="168"/>
                      <a:pt x="129" y="168"/>
                      <a:pt x="129" y="168"/>
                    </a:cubicBezTo>
                    <a:cubicBezTo>
                      <a:pt x="130" y="168"/>
                      <a:pt x="131" y="168"/>
                      <a:pt x="132" y="168"/>
                    </a:cubicBezTo>
                    <a:cubicBezTo>
                      <a:pt x="132" y="168"/>
                      <a:pt x="133" y="168"/>
                      <a:pt x="133" y="168"/>
                    </a:cubicBezTo>
                    <a:cubicBezTo>
                      <a:pt x="134" y="168"/>
                      <a:pt x="135" y="168"/>
                      <a:pt x="136" y="169"/>
                    </a:cubicBezTo>
                    <a:cubicBezTo>
                      <a:pt x="136" y="169"/>
                      <a:pt x="137" y="169"/>
                      <a:pt x="137" y="169"/>
                    </a:cubicBezTo>
                    <a:cubicBezTo>
                      <a:pt x="138" y="169"/>
                      <a:pt x="139" y="169"/>
                      <a:pt x="140" y="169"/>
                    </a:cubicBezTo>
                    <a:cubicBezTo>
                      <a:pt x="140" y="169"/>
                      <a:pt x="141" y="169"/>
                      <a:pt x="142" y="169"/>
                    </a:cubicBezTo>
                    <a:cubicBezTo>
                      <a:pt x="142" y="169"/>
                      <a:pt x="143" y="169"/>
                      <a:pt x="144" y="169"/>
                    </a:cubicBezTo>
                    <a:cubicBezTo>
                      <a:pt x="145" y="169"/>
                      <a:pt x="145" y="169"/>
                      <a:pt x="146" y="169"/>
                    </a:cubicBezTo>
                    <a:cubicBezTo>
                      <a:pt x="147" y="170"/>
                      <a:pt x="148" y="170"/>
                      <a:pt x="149" y="170"/>
                    </a:cubicBezTo>
                    <a:cubicBezTo>
                      <a:pt x="149" y="170"/>
                      <a:pt x="150" y="170"/>
                      <a:pt x="151" y="170"/>
                    </a:cubicBezTo>
                    <a:cubicBezTo>
                      <a:pt x="152" y="170"/>
                      <a:pt x="152" y="170"/>
                      <a:pt x="153" y="170"/>
                    </a:cubicBezTo>
                    <a:cubicBezTo>
                      <a:pt x="154" y="170"/>
                      <a:pt x="155" y="170"/>
                      <a:pt x="156" y="170"/>
                    </a:cubicBezTo>
                    <a:cubicBezTo>
                      <a:pt x="156" y="170"/>
                      <a:pt x="157" y="170"/>
                      <a:pt x="158" y="170"/>
                    </a:cubicBezTo>
                    <a:cubicBezTo>
                      <a:pt x="159" y="170"/>
                      <a:pt x="160" y="170"/>
                      <a:pt x="161" y="170"/>
                    </a:cubicBezTo>
                    <a:cubicBezTo>
                      <a:pt x="161" y="170"/>
                      <a:pt x="162" y="171"/>
                      <a:pt x="163" y="171"/>
                    </a:cubicBezTo>
                    <a:cubicBezTo>
                      <a:pt x="164" y="171"/>
                      <a:pt x="165" y="171"/>
                      <a:pt x="166" y="171"/>
                    </a:cubicBezTo>
                    <a:cubicBezTo>
                      <a:pt x="166" y="171"/>
                      <a:pt x="167" y="171"/>
                      <a:pt x="168" y="171"/>
                    </a:cubicBezTo>
                    <a:cubicBezTo>
                      <a:pt x="169" y="171"/>
                      <a:pt x="170" y="171"/>
                      <a:pt x="171" y="171"/>
                    </a:cubicBezTo>
                    <a:cubicBezTo>
                      <a:pt x="172" y="171"/>
                      <a:pt x="172" y="171"/>
                      <a:pt x="173" y="171"/>
                    </a:cubicBezTo>
                    <a:cubicBezTo>
                      <a:pt x="174" y="171"/>
                      <a:pt x="175" y="171"/>
                      <a:pt x="176" y="171"/>
                    </a:cubicBezTo>
                    <a:cubicBezTo>
                      <a:pt x="177" y="171"/>
                      <a:pt x="178" y="171"/>
                      <a:pt x="179" y="171"/>
                    </a:cubicBezTo>
                    <a:cubicBezTo>
                      <a:pt x="180" y="171"/>
                      <a:pt x="181" y="171"/>
                      <a:pt x="181" y="171"/>
                    </a:cubicBezTo>
                    <a:cubicBezTo>
                      <a:pt x="182" y="171"/>
                      <a:pt x="183" y="171"/>
                      <a:pt x="184" y="171"/>
                    </a:cubicBezTo>
                    <a:cubicBezTo>
                      <a:pt x="185" y="171"/>
                      <a:pt x="186" y="171"/>
                      <a:pt x="187" y="171"/>
                    </a:cubicBezTo>
                    <a:cubicBezTo>
                      <a:pt x="188" y="171"/>
                      <a:pt x="189" y="172"/>
                      <a:pt x="189" y="172"/>
                    </a:cubicBezTo>
                    <a:cubicBezTo>
                      <a:pt x="191" y="172"/>
                      <a:pt x="192" y="172"/>
                      <a:pt x="193" y="172"/>
                    </a:cubicBezTo>
                    <a:cubicBezTo>
                      <a:pt x="194" y="172"/>
                      <a:pt x="194" y="172"/>
                      <a:pt x="195" y="172"/>
                    </a:cubicBezTo>
                    <a:cubicBezTo>
                      <a:pt x="196" y="172"/>
                      <a:pt x="198" y="172"/>
                      <a:pt x="199" y="172"/>
                    </a:cubicBezTo>
                    <a:cubicBezTo>
                      <a:pt x="199" y="172"/>
                      <a:pt x="200" y="172"/>
                      <a:pt x="201" y="172"/>
                    </a:cubicBezTo>
                    <a:cubicBezTo>
                      <a:pt x="203" y="172"/>
                      <a:pt x="205" y="172"/>
                      <a:pt x="206" y="172"/>
                    </a:cubicBezTo>
                    <a:cubicBezTo>
                      <a:pt x="208" y="172"/>
                      <a:pt x="210" y="172"/>
                      <a:pt x="212" y="172"/>
                    </a:cubicBezTo>
                    <a:cubicBezTo>
                      <a:pt x="213" y="172"/>
                      <a:pt x="213" y="172"/>
                      <a:pt x="214" y="172"/>
                    </a:cubicBezTo>
                    <a:cubicBezTo>
                      <a:pt x="215" y="172"/>
                      <a:pt x="216" y="172"/>
                      <a:pt x="218" y="172"/>
                    </a:cubicBezTo>
                    <a:cubicBezTo>
                      <a:pt x="219" y="172"/>
                      <a:pt x="219" y="172"/>
                      <a:pt x="220" y="172"/>
                    </a:cubicBezTo>
                    <a:cubicBezTo>
                      <a:pt x="221" y="172"/>
                      <a:pt x="222" y="172"/>
                      <a:pt x="223" y="172"/>
                    </a:cubicBezTo>
                    <a:cubicBezTo>
                      <a:pt x="224" y="172"/>
                      <a:pt x="225" y="171"/>
                      <a:pt x="226" y="171"/>
                    </a:cubicBezTo>
                    <a:cubicBezTo>
                      <a:pt x="227" y="171"/>
                      <a:pt x="228" y="171"/>
                      <a:pt x="229" y="171"/>
                    </a:cubicBezTo>
                    <a:cubicBezTo>
                      <a:pt x="230" y="171"/>
                      <a:pt x="230" y="171"/>
                      <a:pt x="231" y="171"/>
                    </a:cubicBezTo>
                    <a:cubicBezTo>
                      <a:pt x="232" y="171"/>
                      <a:pt x="233" y="171"/>
                      <a:pt x="234" y="171"/>
                    </a:cubicBezTo>
                    <a:cubicBezTo>
                      <a:pt x="235" y="171"/>
                      <a:pt x="236" y="171"/>
                      <a:pt x="237" y="171"/>
                    </a:cubicBezTo>
                    <a:cubicBezTo>
                      <a:pt x="237" y="171"/>
                      <a:pt x="238" y="171"/>
                      <a:pt x="239" y="171"/>
                    </a:cubicBezTo>
                    <a:cubicBezTo>
                      <a:pt x="240" y="171"/>
                      <a:pt x="241" y="171"/>
                      <a:pt x="242" y="171"/>
                    </a:cubicBezTo>
                    <a:cubicBezTo>
                      <a:pt x="243" y="171"/>
                      <a:pt x="244" y="171"/>
                      <a:pt x="245" y="171"/>
                    </a:cubicBezTo>
                    <a:cubicBezTo>
                      <a:pt x="245" y="171"/>
                      <a:pt x="246" y="171"/>
                      <a:pt x="247" y="171"/>
                    </a:cubicBezTo>
                    <a:cubicBezTo>
                      <a:pt x="248" y="171"/>
                      <a:pt x="249" y="171"/>
                      <a:pt x="250" y="171"/>
                    </a:cubicBezTo>
                    <a:cubicBezTo>
                      <a:pt x="250" y="171"/>
                      <a:pt x="251" y="171"/>
                      <a:pt x="252" y="170"/>
                    </a:cubicBezTo>
                    <a:cubicBezTo>
                      <a:pt x="253" y="170"/>
                      <a:pt x="254" y="170"/>
                      <a:pt x="254" y="170"/>
                    </a:cubicBezTo>
                    <a:cubicBezTo>
                      <a:pt x="255" y="170"/>
                      <a:pt x="256" y="170"/>
                      <a:pt x="257" y="170"/>
                    </a:cubicBezTo>
                    <a:cubicBezTo>
                      <a:pt x="258" y="170"/>
                      <a:pt x="258" y="170"/>
                      <a:pt x="259" y="170"/>
                    </a:cubicBezTo>
                    <a:cubicBezTo>
                      <a:pt x="260" y="170"/>
                      <a:pt x="261" y="170"/>
                      <a:pt x="262" y="170"/>
                    </a:cubicBezTo>
                    <a:cubicBezTo>
                      <a:pt x="262" y="170"/>
                      <a:pt x="263" y="170"/>
                      <a:pt x="264" y="170"/>
                    </a:cubicBezTo>
                    <a:cubicBezTo>
                      <a:pt x="265" y="170"/>
                      <a:pt x="265" y="170"/>
                      <a:pt x="266" y="170"/>
                    </a:cubicBezTo>
                    <a:cubicBezTo>
                      <a:pt x="267" y="169"/>
                      <a:pt x="267" y="169"/>
                      <a:pt x="268" y="169"/>
                    </a:cubicBezTo>
                    <a:cubicBezTo>
                      <a:pt x="269" y="169"/>
                      <a:pt x="270" y="169"/>
                      <a:pt x="271" y="169"/>
                    </a:cubicBezTo>
                    <a:cubicBezTo>
                      <a:pt x="271" y="169"/>
                      <a:pt x="271" y="169"/>
                      <a:pt x="271" y="169"/>
                    </a:cubicBezTo>
                    <a:cubicBezTo>
                      <a:pt x="275" y="169"/>
                      <a:pt x="279" y="168"/>
                      <a:pt x="282" y="168"/>
                    </a:cubicBezTo>
                    <a:cubicBezTo>
                      <a:pt x="283" y="168"/>
                      <a:pt x="283" y="168"/>
                      <a:pt x="283" y="168"/>
                    </a:cubicBezTo>
                    <a:cubicBezTo>
                      <a:pt x="284" y="168"/>
                      <a:pt x="285" y="168"/>
                      <a:pt x="286" y="168"/>
                    </a:cubicBezTo>
                    <a:cubicBezTo>
                      <a:pt x="286" y="167"/>
                      <a:pt x="286" y="167"/>
                      <a:pt x="287" y="167"/>
                    </a:cubicBezTo>
                    <a:cubicBezTo>
                      <a:pt x="288" y="167"/>
                      <a:pt x="289" y="167"/>
                      <a:pt x="290" y="167"/>
                    </a:cubicBezTo>
                    <a:cubicBezTo>
                      <a:pt x="290" y="167"/>
                      <a:pt x="290" y="167"/>
                      <a:pt x="290" y="167"/>
                    </a:cubicBezTo>
                    <a:cubicBezTo>
                      <a:pt x="291" y="167"/>
                      <a:pt x="292" y="167"/>
                      <a:pt x="293" y="167"/>
                    </a:cubicBezTo>
                    <a:cubicBezTo>
                      <a:pt x="293" y="167"/>
                      <a:pt x="294" y="166"/>
                      <a:pt x="294" y="166"/>
                    </a:cubicBezTo>
                    <a:cubicBezTo>
                      <a:pt x="295" y="166"/>
                      <a:pt x="295" y="166"/>
                      <a:pt x="296" y="166"/>
                    </a:cubicBezTo>
                    <a:cubicBezTo>
                      <a:pt x="297" y="166"/>
                      <a:pt x="297" y="166"/>
                      <a:pt x="297" y="166"/>
                    </a:cubicBezTo>
                    <a:cubicBezTo>
                      <a:pt x="298" y="166"/>
                      <a:pt x="299" y="166"/>
                      <a:pt x="299" y="166"/>
                    </a:cubicBezTo>
                    <a:cubicBezTo>
                      <a:pt x="300" y="165"/>
                      <a:pt x="300" y="165"/>
                      <a:pt x="300" y="165"/>
                    </a:cubicBezTo>
                    <a:cubicBezTo>
                      <a:pt x="301" y="165"/>
                      <a:pt x="302" y="165"/>
                      <a:pt x="302" y="165"/>
                    </a:cubicBezTo>
                    <a:cubicBezTo>
                      <a:pt x="303" y="165"/>
                      <a:pt x="303" y="165"/>
                      <a:pt x="303" y="165"/>
                    </a:cubicBezTo>
                    <a:cubicBezTo>
                      <a:pt x="304" y="165"/>
                      <a:pt x="305" y="165"/>
                      <a:pt x="305" y="164"/>
                    </a:cubicBezTo>
                    <a:cubicBezTo>
                      <a:pt x="305" y="164"/>
                      <a:pt x="306" y="164"/>
                      <a:pt x="306" y="164"/>
                    </a:cubicBezTo>
                    <a:cubicBezTo>
                      <a:pt x="306" y="164"/>
                      <a:pt x="307" y="164"/>
                      <a:pt x="308" y="164"/>
                    </a:cubicBezTo>
                    <a:cubicBezTo>
                      <a:pt x="308" y="164"/>
                      <a:pt x="308" y="164"/>
                      <a:pt x="308" y="164"/>
                    </a:cubicBezTo>
                    <a:cubicBezTo>
                      <a:pt x="314" y="162"/>
                      <a:pt x="319" y="160"/>
                      <a:pt x="320" y="159"/>
                    </a:cubicBezTo>
                    <a:cubicBezTo>
                      <a:pt x="320" y="158"/>
                      <a:pt x="320" y="158"/>
                      <a:pt x="320" y="158"/>
                    </a:cubicBezTo>
                    <a:cubicBezTo>
                      <a:pt x="320" y="158"/>
                      <a:pt x="320" y="158"/>
                      <a:pt x="320" y="158"/>
                    </a:cubicBezTo>
                    <a:cubicBezTo>
                      <a:pt x="321" y="157"/>
                      <a:pt x="321" y="157"/>
                      <a:pt x="321" y="157"/>
                    </a:cubicBezTo>
                    <a:cubicBezTo>
                      <a:pt x="321" y="157"/>
                      <a:pt x="321" y="157"/>
                      <a:pt x="321" y="157"/>
                    </a:cubicBezTo>
                    <a:cubicBezTo>
                      <a:pt x="412" y="0"/>
                      <a:pt x="412" y="0"/>
                      <a:pt x="412" y="0"/>
                    </a:cubicBezTo>
                    <a:cubicBezTo>
                      <a:pt x="397" y="12"/>
                      <a:pt x="311" y="22"/>
                      <a:pt x="206" y="22"/>
                    </a:cubicBezTo>
                    <a:close/>
                  </a:path>
                </a:pathLst>
              </a:custGeom>
              <a:solidFill>
                <a:srgbClr val="FFFFFF">
                  <a:lumMod val="75000"/>
                </a:srgbClr>
              </a:solidFill>
              <a:ln w="9525">
                <a:solidFill>
                  <a:srgbClr val="FFFFFF">
                    <a:lumMod val="75000"/>
                  </a:srgbClr>
                </a:solid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63" name="Freeform 12">
                <a:extLst>
                  <a:ext uri="{FF2B5EF4-FFF2-40B4-BE49-F238E27FC236}">
                    <a16:creationId xmlns:a16="http://schemas.microsoft.com/office/drawing/2014/main" id="{00000000-0008-0000-0300-000097020000}"/>
                  </a:ext>
                </a:extLst>
              </xdr:cNvPr>
              <xdr:cNvSpPr>
                <a:spLocks/>
              </xdr:cNvSpPr>
            </xdr:nvSpPr>
            <xdr:spPr bwMode="auto">
              <a:xfrm>
                <a:off x="2665829" y="2629358"/>
                <a:ext cx="3782043" cy="937861"/>
              </a:xfrm>
              <a:custGeom>
                <a:avLst/>
                <a:gdLst>
                  <a:gd name="T0" fmla="*/ 2147483647 w 778"/>
                  <a:gd name="T1" fmla="*/ 789689070 h 193"/>
                  <a:gd name="T2" fmla="*/ 0 w 778"/>
                  <a:gd name="T3" fmla="*/ 0 h 193"/>
                  <a:gd name="T4" fmla="*/ 1617347438 w 778"/>
                  <a:gd name="T5" fmla="*/ 2147483647 h 193"/>
                  <a:gd name="T6" fmla="*/ 1617347438 w 778"/>
                  <a:gd name="T7" fmla="*/ 2147483647 h 193"/>
                  <a:gd name="T8" fmla="*/ 1654104737 w 778"/>
                  <a:gd name="T9" fmla="*/ 2147483647 h 193"/>
                  <a:gd name="T10" fmla="*/ 1672483387 w 778"/>
                  <a:gd name="T11" fmla="*/ 2147483647 h 193"/>
                  <a:gd name="T12" fmla="*/ 1690862037 w 778"/>
                  <a:gd name="T13" fmla="*/ 2147483647 h 193"/>
                  <a:gd name="T14" fmla="*/ 2147483647 w 778"/>
                  <a:gd name="T15" fmla="*/ 2147483647 h 193"/>
                  <a:gd name="T16" fmla="*/ 2147483647 w 778"/>
                  <a:gd name="T17" fmla="*/ 2147483647 h 193"/>
                  <a:gd name="T18" fmla="*/ 2147483647 w 778"/>
                  <a:gd name="T19" fmla="*/ 2147483647 h 193"/>
                  <a:gd name="T20" fmla="*/ 2147483647 w 778"/>
                  <a:gd name="T21" fmla="*/ 2147483647 h 193"/>
                  <a:gd name="T22" fmla="*/ 2147483647 w 778"/>
                  <a:gd name="T23" fmla="*/ 2147483647 h 193"/>
                  <a:gd name="T24" fmla="*/ 2147483647 w 778"/>
                  <a:gd name="T25" fmla="*/ 2147483647 h 193"/>
                  <a:gd name="T26" fmla="*/ 2147483647 w 778"/>
                  <a:gd name="T27" fmla="*/ 0 h 193"/>
                  <a:gd name="T28" fmla="*/ 2147483647 w 778"/>
                  <a:gd name="T29" fmla="*/ 789689070 h 19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778"/>
                  <a:gd name="T46" fmla="*/ 0 h 193"/>
                  <a:gd name="T47" fmla="*/ 778 w 778"/>
                  <a:gd name="T48" fmla="*/ 193 h 19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778" h="193">
                    <a:moveTo>
                      <a:pt x="389" y="43"/>
                    </a:moveTo>
                    <a:cubicBezTo>
                      <a:pt x="191" y="43"/>
                      <a:pt x="28" y="25"/>
                      <a:pt x="0" y="0"/>
                    </a:cubicBezTo>
                    <a:cubicBezTo>
                      <a:pt x="88" y="154"/>
                      <a:pt x="88" y="154"/>
                      <a:pt x="88" y="154"/>
                    </a:cubicBezTo>
                    <a:cubicBezTo>
                      <a:pt x="88" y="154"/>
                      <a:pt x="88" y="154"/>
                      <a:pt x="88" y="154"/>
                    </a:cubicBezTo>
                    <a:cubicBezTo>
                      <a:pt x="90" y="157"/>
                      <a:pt x="90" y="157"/>
                      <a:pt x="90" y="157"/>
                    </a:cubicBezTo>
                    <a:cubicBezTo>
                      <a:pt x="91" y="160"/>
                      <a:pt x="91" y="160"/>
                      <a:pt x="91" y="160"/>
                    </a:cubicBezTo>
                    <a:cubicBezTo>
                      <a:pt x="92" y="160"/>
                      <a:pt x="92" y="160"/>
                      <a:pt x="92" y="160"/>
                    </a:cubicBezTo>
                    <a:cubicBezTo>
                      <a:pt x="113" y="178"/>
                      <a:pt x="238" y="193"/>
                      <a:pt x="389" y="193"/>
                    </a:cubicBezTo>
                    <a:cubicBezTo>
                      <a:pt x="540" y="193"/>
                      <a:pt x="665" y="178"/>
                      <a:pt x="686" y="160"/>
                    </a:cubicBezTo>
                    <a:cubicBezTo>
                      <a:pt x="686" y="160"/>
                      <a:pt x="686" y="160"/>
                      <a:pt x="686" y="160"/>
                    </a:cubicBezTo>
                    <a:cubicBezTo>
                      <a:pt x="688" y="157"/>
                      <a:pt x="688" y="157"/>
                      <a:pt x="688" y="157"/>
                    </a:cubicBezTo>
                    <a:cubicBezTo>
                      <a:pt x="689" y="154"/>
                      <a:pt x="689" y="154"/>
                      <a:pt x="689" y="154"/>
                    </a:cubicBezTo>
                    <a:cubicBezTo>
                      <a:pt x="689" y="154"/>
                      <a:pt x="689" y="154"/>
                      <a:pt x="689" y="154"/>
                    </a:cubicBezTo>
                    <a:cubicBezTo>
                      <a:pt x="778" y="0"/>
                      <a:pt x="778" y="0"/>
                      <a:pt x="778" y="0"/>
                    </a:cubicBezTo>
                    <a:cubicBezTo>
                      <a:pt x="750" y="25"/>
                      <a:pt x="586" y="43"/>
                      <a:pt x="389" y="43"/>
                    </a:cubicBezTo>
                    <a:close/>
                  </a:path>
                </a:pathLst>
              </a:custGeom>
              <a:gradFill rotWithShape="1">
                <a:gsLst>
                  <a:gs pos="0">
                    <a:srgbClr val="C0C0C0"/>
                  </a:gs>
                  <a:gs pos="50000">
                    <a:srgbClr val="EEEEEE"/>
                  </a:gs>
                  <a:gs pos="100000">
                    <a:srgbClr val="C0C0C0"/>
                  </a:gs>
                </a:gsLst>
                <a:lin ang="0" scaled="1"/>
              </a:gradFill>
              <a:ln w="9525">
                <a:solidFill>
                  <a:srgbClr val="FFFFFF"/>
                </a:solid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64" name="Freeform 13">
                <a:extLst>
                  <a:ext uri="{FF2B5EF4-FFF2-40B4-BE49-F238E27FC236}">
                    <a16:creationId xmlns:a16="http://schemas.microsoft.com/office/drawing/2014/main" id="{00000000-0008-0000-0300-000098020000}"/>
                  </a:ext>
                </a:extLst>
              </xdr:cNvPr>
              <xdr:cNvSpPr>
                <a:spLocks/>
              </xdr:cNvSpPr>
            </xdr:nvSpPr>
            <xdr:spPr bwMode="auto">
              <a:xfrm>
                <a:off x="3112258" y="3407009"/>
                <a:ext cx="2889186" cy="802347"/>
              </a:xfrm>
              <a:custGeom>
                <a:avLst/>
                <a:gdLst>
                  <a:gd name="T0" fmla="*/ 2147483647 w 594"/>
                  <a:gd name="T1" fmla="*/ 607018679 h 181"/>
                  <a:gd name="T2" fmla="*/ 0 w 594"/>
                  <a:gd name="T3" fmla="*/ 0 h 181"/>
                  <a:gd name="T4" fmla="*/ 1637551895 w 594"/>
                  <a:gd name="T5" fmla="*/ 2147483647 h 181"/>
                  <a:gd name="T6" fmla="*/ 1674351139 w 594"/>
                  <a:gd name="T7" fmla="*/ 2147483647 h 181"/>
                  <a:gd name="T8" fmla="*/ 2147483647 w 594"/>
                  <a:gd name="T9" fmla="*/ 2147483647 h 181"/>
                  <a:gd name="T10" fmla="*/ 2147483647 w 594"/>
                  <a:gd name="T11" fmla="*/ 2147483647 h 181"/>
                  <a:gd name="T12" fmla="*/ 2147483647 w 594"/>
                  <a:gd name="T13" fmla="*/ 2147483647 h 181"/>
                  <a:gd name="T14" fmla="*/ 2147483647 w 594"/>
                  <a:gd name="T15" fmla="*/ 0 h 181"/>
                  <a:gd name="T16" fmla="*/ 2147483647 w 594"/>
                  <a:gd name="T17" fmla="*/ 607018679 h 18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594"/>
                  <a:gd name="T28" fmla="*/ 0 h 181"/>
                  <a:gd name="T29" fmla="*/ 594 w 594"/>
                  <a:gd name="T30" fmla="*/ 181 h 18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594" h="181">
                    <a:moveTo>
                      <a:pt x="297" y="33"/>
                    </a:moveTo>
                    <a:cubicBezTo>
                      <a:pt x="146" y="33"/>
                      <a:pt x="21" y="18"/>
                      <a:pt x="0" y="0"/>
                    </a:cubicBezTo>
                    <a:cubicBezTo>
                      <a:pt x="89" y="155"/>
                      <a:pt x="89" y="155"/>
                      <a:pt x="89" y="155"/>
                    </a:cubicBezTo>
                    <a:cubicBezTo>
                      <a:pt x="91" y="159"/>
                      <a:pt x="91" y="159"/>
                      <a:pt x="91" y="159"/>
                    </a:cubicBezTo>
                    <a:cubicBezTo>
                      <a:pt x="105" y="171"/>
                      <a:pt x="192" y="181"/>
                      <a:pt x="297" y="181"/>
                    </a:cubicBezTo>
                    <a:cubicBezTo>
                      <a:pt x="402" y="181"/>
                      <a:pt x="488" y="171"/>
                      <a:pt x="503" y="159"/>
                    </a:cubicBezTo>
                    <a:cubicBezTo>
                      <a:pt x="505" y="155"/>
                      <a:pt x="505" y="155"/>
                      <a:pt x="505" y="155"/>
                    </a:cubicBezTo>
                    <a:cubicBezTo>
                      <a:pt x="594" y="0"/>
                      <a:pt x="594" y="0"/>
                      <a:pt x="594" y="0"/>
                    </a:cubicBezTo>
                    <a:cubicBezTo>
                      <a:pt x="573" y="18"/>
                      <a:pt x="448" y="33"/>
                      <a:pt x="297" y="33"/>
                    </a:cubicBezTo>
                    <a:close/>
                  </a:path>
                </a:pathLst>
              </a:custGeom>
              <a:gradFill rotWithShape="1">
                <a:gsLst>
                  <a:gs pos="0">
                    <a:srgbClr val="D7D7D7"/>
                  </a:gs>
                  <a:gs pos="100000">
                    <a:srgbClr val="969696"/>
                  </a:gs>
                </a:gsLst>
                <a:lin ang="0" scaled="1"/>
              </a:gra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65" name="Oval 16">
                <a:extLst>
                  <a:ext uri="{FF2B5EF4-FFF2-40B4-BE49-F238E27FC236}">
                    <a16:creationId xmlns:a16="http://schemas.microsoft.com/office/drawing/2014/main" id="{00000000-0008-0000-0300-000099020000}"/>
                  </a:ext>
                </a:extLst>
              </xdr:cNvPr>
              <xdr:cNvSpPr>
                <a:spLocks noChangeArrowheads="1"/>
              </xdr:cNvSpPr>
            </xdr:nvSpPr>
            <xdr:spPr bwMode="auto">
              <a:xfrm>
                <a:off x="3150188" y="3214097"/>
                <a:ext cx="2830389" cy="379825"/>
              </a:xfrm>
              <a:prstGeom prst="ellipse">
                <a:avLst/>
              </a:prstGeom>
              <a:solidFill>
                <a:srgbClr val="AAD4C8">
                  <a:lumMod val="75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66" name="Oval 18">
                <a:extLst>
                  <a:ext uri="{FF2B5EF4-FFF2-40B4-BE49-F238E27FC236}">
                    <a16:creationId xmlns:a16="http://schemas.microsoft.com/office/drawing/2014/main" id="{00000000-0008-0000-0300-00009A020000}"/>
                  </a:ext>
                </a:extLst>
              </xdr:cNvPr>
              <xdr:cNvSpPr>
                <a:spLocks noChangeArrowheads="1"/>
              </xdr:cNvSpPr>
            </xdr:nvSpPr>
            <xdr:spPr bwMode="auto">
              <a:xfrm>
                <a:off x="2670021" y="2340347"/>
                <a:ext cx="3782043" cy="486031"/>
              </a:xfrm>
              <a:prstGeom prst="ellipse">
                <a:avLst/>
              </a:prstGeom>
              <a:solidFill>
                <a:srgbClr val="AAD4C8">
                  <a:lumMod val="5000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defTabSz="883695" eaLnBrk="1" fontAlgn="auto" latinLnBrk="0" hangingPunct="1">
                  <a:lnSpc>
                    <a:spcPct val="100000"/>
                  </a:lnSpc>
                  <a:spcBef>
                    <a:spcPts val="0"/>
                  </a:spcBef>
                  <a:spcAft>
                    <a:spcPct val="0"/>
                  </a:spcAft>
                  <a:buClrTx/>
                  <a:buSzTx/>
                  <a:buFontTx/>
                  <a:buNone/>
                  <a:tabLst/>
                  <a:defRPr/>
                </a:pPr>
                <a:endParaRPr kumimoji="0" lang="en-GB" sz="2100" b="1" i="0" u="none" strike="noStrike" kern="0" cap="none" spc="0" normalizeH="0" baseline="0">
                  <a:ln>
                    <a:noFill/>
                  </a:ln>
                  <a:solidFill>
                    <a:srgbClr val="000000"/>
                  </a:solidFill>
                  <a:effectLst/>
                  <a:uLnTx/>
                  <a:uFillTx/>
                  <a:latin typeface="Frutiger LT Com 45 Light" panose="020B0303030504020204" pitchFamily="34" charset="0"/>
                </a:endParaRPr>
              </a:p>
            </xdr:txBody>
          </xdr:sp>
          <xdr:pic>
            <xdr:nvPicPr>
              <xdr:cNvPr id="667" name="Picture 19">
                <a:extLst>
                  <a:ext uri="{FF2B5EF4-FFF2-40B4-BE49-F238E27FC236}">
                    <a16:creationId xmlns:a16="http://schemas.microsoft.com/office/drawing/2014/main" id="{00000000-0008-0000-0300-00009B02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6668" y="1987884"/>
                <a:ext cx="2000583" cy="33450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sp macro="" textlink="">
        <xdr:nvSpPr>
          <xdr:cNvPr id="561" name="Line 17">
            <a:extLst>
              <a:ext uri="{FF2B5EF4-FFF2-40B4-BE49-F238E27FC236}">
                <a16:creationId xmlns:a16="http://schemas.microsoft.com/office/drawing/2014/main" id="{00000000-0008-0000-0300-000031020000}"/>
              </a:ext>
            </a:extLst>
          </xdr:cNvPr>
          <xdr:cNvSpPr>
            <a:spLocks noChangeShapeType="1"/>
          </xdr:cNvSpPr>
        </xdr:nvSpPr>
        <xdr:spPr bwMode="gray">
          <a:xfrm>
            <a:off x="5658148" y="4703879"/>
            <a:ext cx="2955070" cy="23213"/>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sp macro="" textlink="">
        <xdr:nvSpPr>
          <xdr:cNvPr id="562" name="Line 17">
            <a:extLst>
              <a:ext uri="{FF2B5EF4-FFF2-40B4-BE49-F238E27FC236}">
                <a16:creationId xmlns:a16="http://schemas.microsoft.com/office/drawing/2014/main" id="{00000000-0008-0000-0300-000032020000}"/>
              </a:ext>
            </a:extLst>
          </xdr:cNvPr>
          <xdr:cNvSpPr>
            <a:spLocks noChangeShapeType="1"/>
          </xdr:cNvSpPr>
        </xdr:nvSpPr>
        <xdr:spPr bwMode="gray">
          <a:xfrm>
            <a:off x="6463527" y="3325925"/>
            <a:ext cx="2451374" cy="23213"/>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sp macro="" textlink="">
        <xdr:nvSpPr>
          <xdr:cNvPr id="563" name="Line 17">
            <a:extLst>
              <a:ext uri="{FF2B5EF4-FFF2-40B4-BE49-F238E27FC236}">
                <a16:creationId xmlns:a16="http://schemas.microsoft.com/office/drawing/2014/main" id="{00000000-0008-0000-0300-000033020000}"/>
              </a:ext>
            </a:extLst>
          </xdr:cNvPr>
          <xdr:cNvSpPr>
            <a:spLocks noChangeShapeType="1"/>
          </xdr:cNvSpPr>
        </xdr:nvSpPr>
        <xdr:spPr bwMode="gray">
          <a:xfrm flipV="1">
            <a:off x="6925564" y="2376892"/>
            <a:ext cx="2260509" cy="0"/>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grpSp>
        <xdr:nvGrpSpPr>
          <xdr:cNvPr id="564" name="Gruppieren 563">
            <a:extLst>
              <a:ext uri="{FF2B5EF4-FFF2-40B4-BE49-F238E27FC236}">
                <a16:creationId xmlns:a16="http://schemas.microsoft.com/office/drawing/2014/main" id="{00000000-0008-0000-0300-000034020000}"/>
              </a:ext>
            </a:extLst>
          </xdr:cNvPr>
          <xdr:cNvGrpSpPr/>
        </xdr:nvGrpSpPr>
        <xdr:grpSpPr>
          <a:xfrm>
            <a:off x="7019393" y="5183907"/>
            <a:ext cx="1425501" cy="680410"/>
            <a:chOff x="6660231" y="2528607"/>
            <a:chExt cx="1221857" cy="583208"/>
          </a:xfrm>
        </xdr:grpSpPr>
        <xdr:sp macro="" textlink="">
          <xdr:nvSpPr>
            <xdr:cNvPr id="653" name="Rechteck 652">
              <a:extLst>
                <a:ext uri="{FF2B5EF4-FFF2-40B4-BE49-F238E27FC236}">
                  <a16:creationId xmlns:a16="http://schemas.microsoft.com/office/drawing/2014/main" id="{00000000-0008-0000-0300-00008D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Declined</a:t>
              </a:r>
            </a:p>
          </xdr:txBody>
        </xdr:sp>
        <xdr:cxnSp macro="">
          <xdr:nvCxnSpPr>
            <xdr:cNvPr id="654" name="Gerade Verbindung 126">
              <a:extLst>
                <a:ext uri="{FF2B5EF4-FFF2-40B4-BE49-F238E27FC236}">
                  <a16:creationId xmlns:a16="http://schemas.microsoft.com/office/drawing/2014/main" id="{00000000-0008-0000-0300-00008E02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655" name="Rectangle 28">
              <a:extLst>
                <a:ext uri="{FF2B5EF4-FFF2-40B4-BE49-F238E27FC236}">
                  <a16:creationId xmlns:a16="http://schemas.microsoft.com/office/drawing/2014/main" id="{00000000-0008-0000-0300-00008F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S$1085">
          <xdr:nvSpPr>
            <xdr:cNvPr id="656" name="Rectangle 27">
              <a:extLst>
                <a:ext uri="{FF2B5EF4-FFF2-40B4-BE49-F238E27FC236}">
                  <a16:creationId xmlns:a16="http://schemas.microsoft.com/office/drawing/2014/main" id="{00000000-0008-0000-0300-00009002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7468DE60-7058-4145-B48F-579F29FC95F6}" type="TxLink">
                <a:rPr lang="en-US" altLang="de-DE" sz="1000" b="0"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8</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57" name="Rectangle 28">
              <a:extLst>
                <a:ext uri="{FF2B5EF4-FFF2-40B4-BE49-F238E27FC236}">
                  <a16:creationId xmlns:a16="http://schemas.microsoft.com/office/drawing/2014/main" id="{00000000-0008-0000-0300-000091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T$1085">
          <xdr:nvSpPr>
            <xdr:cNvPr id="658" name="Rectangle 27">
              <a:extLst>
                <a:ext uri="{FF2B5EF4-FFF2-40B4-BE49-F238E27FC236}">
                  <a16:creationId xmlns:a16="http://schemas.microsoft.com/office/drawing/2014/main" id="{00000000-0008-0000-0300-000092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61CE6071-4CA4-4287-8E76-0310FAAD24DF}" type="TxLink">
                <a:rPr lang="en-US" altLang="de-DE" sz="1000" b="0"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4.497.360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sp macro="" textlink="">
        <xdr:nvSpPr>
          <xdr:cNvPr id="565" name="Textfeld 75">
            <a:extLst>
              <a:ext uri="{FF2B5EF4-FFF2-40B4-BE49-F238E27FC236}">
                <a16:creationId xmlns:a16="http://schemas.microsoft.com/office/drawing/2014/main" id="{00000000-0008-0000-0300-000035020000}"/>
              </a:ext>
            </a:extLst>
          </xdr:cNvPr>
          <xdr:cNvSpPr txBox="1"/>
        </xdr:nvSpPr>
        <xdr:spPr>
          <a:xfrm>
            <a:off x="7996345" y="1219849"/>
            <a:ext cx="649286" cy="322750"/>
          </a:xfrm>
          <a:prstGeom prst="rect">
            <a:avLst/>
          </a:prstGeom>
          <a:noFill/>
        </xdr:spPr>
        <xdr:txBody>
          <a:bodyPr wrap="square" lIns="88363" tIns="44181" rIns="88363" bIns="44181" rtlCol="0">
            <a:spAutoFit/>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r" defTabSz="883695">
              <a:spcAft>
                <a:spcPct val="0"/>
              </a:spcAft>
              <a:buFontTx/>
              <a:buNone/>
            </a:pPr>
            <a:r>
              <a:rPr lang="en-GB" sz="1517" b="1">
                <a:solidFill>
                  <a:srgbClr val="000000"/>
                </a:solidFill>
                <a:latin typeface="Frutiger LT Com 45 Light" panose="020B0303030504020204" pitchFamily="34" charset="0"/>
              </a:rPr>
              <a:t>IPK</a:t>
            </a:r>
          </a:p>
        </xdr:txBody>
      </xdr:sp>
      <xdr:sp macro="" textlink="">
        <xdr:nvSpPr>
          <xdr:cNvPr id="566" name="Rechteck 565">
            <a:extLst>
              <a:ext uri="{FF2B5EF4-FFF2-40B4-BE49-F238E27FC236}">
                <a16:creationId xmlns:a16="http://schemas.microsoft.com/office/drawing/2014/main" id="{00000000-0008-0000-0300-000036020000}"/>
              </a:ext>
            </a:extLst>
          </xdr:cNvPr>
          <xdr:cNvSpPr/>
        </xdr:nvSpPr>
        <xdr:spPr bwMode="auto">
          <a:xfrm>
            <a:off x="3198536" y="1895076"/>
            <a:ext cx="3495855" cy="468000"/>
          </a:xfrm>
          <a:prstGeom prst="rect">
            <a:avLst/>
          </a:prstGeom>
          <a:solidFill>
            <a:srgbClr val="FFFFFF">
              <a:alpha val="69000"/>
            </a:srgbClr>
          </a:solidFill>
          <a:ln w="9525" cap="flat" cmpd="sng" algn="ctr">
            <a:noFill/>
            <a:prstDash val="solid"/>
            <a:round/>
            <a:headEnd type="none" w="med" len="med"/>
            <a:tailEnd type="none" w="med" len="med"/>
          </a:ln>
          <a:effectLst/>
        </xdr:spPr>
        <xdr:txBody>
          <a:bodyPr vert="horz" wrap="square" lIns="106680" tIns="53340" rIns="106680" bIns="5334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auto" latinLnBrk="0" hangingPunct="1">
              <a:lnSpc>
                <a:spcPct val="100000"/>
              </a:lnSpc>
              <a:spcBef>
                <a:spcPts val="0"/>
              </a:spcBef>
              <a:spcAft>
                <a:spcPct val="0"/>
              </a:spcAft>
              <a:buClrTx/>
              <a:buSzTx/>
              <a:buFontTx/>
              <a:buNone/>
              <a:tabLst/>
              <a:defRPr/>
            </a:pPr>
            <a:r>
              <a:rPr kumimoji="0" lang="en-US" sz="1400" b="1" i="0" u="none" strike="noStrike" kern="0" cap="none" spc="0" normalizeH="0" baseline="0">
                <a:ln>
                  <a:noFill/>
                </a:ln>
                <a:solidFill>
                  <a:srgbClr val="000000"/>
                </a:solidFill>
                <a:effectLst/>
                <a:uLnTx/>
                <a:uFillTx/>
                <a:latin typeface="Frutiger LT Com 45 Light" panose="020B0303030504020204" pitchFamily="34" charset="0"/>
              </a:rPr>
              <a:t>Project Proposal Preparation</a:t>
            </a:r>
          </a:p>
        </xdr:txBody>
      </xdr:sp>
      <xdr:sp macro="" textlink="">
        <xdr:nvSpPr>
          <xdr:cNvPr id="567" name="Textfeld 77">
            <a:extLst>
              <a:ext uri="{FF2B5EF4-FFF2-40B4-BE49-F238E27FC236}">
                <a16:creationId xmlns:a16="http://schemas.microsoft.com/office/drawing/2014/main" id="{00000000-0008-0000-0300-000037020000}"/>
              </a:ext>
            </a:extLst>
          </xdr:cNvPr>
          <xdr:cNvSpPr txBox="1"/>
        </xdr:nvSpPr>
        <xdr:spPr>
          <a:xfrm>
            <a:off x="3278950" y="1093212"/>
            <a:ext cx="1369586" cy="432000"/>
          </a:xfrm>
          <a:prstGeom prst="rect">
            <a:avLst/>
          </a:prstGeom>
          <a:solidFill>
            <a:srgbClr val="FFFFFF">
              <a:alpha val="69000"/>
            </a:srgbClr>
          </a:solidFill>
          <a:ln w="9525" cap="flat" cmpd="sng" algn="ctr">
            <a:noFill/>
            <a:prstDash val="solid"/>
            <a:round/>
            <a:headEnd type="none" w="med" len="med"/>
            <a:tailEnd type="none" w="med" len="med"/>
          </a:ln>
          <a:effectLst/>
        </xdr:spPr>
        <xdr:txBody>
          <a:bodyPr rot="0" spcFirstLastPara="0" vert="horz" wrap="square" lIns="106680" tIns="53340" rIns="106680" bIns="53340" numCol="1" spcCol="0" rtlCol="0" fromWordArt="0" anchor="t" anchorCtr="0" forceAA="0" compatLnSpc="1">
            <a:prstTxWarp prst="textNoShape">
              <a:avLst/>
            </a:prstTxWarp>
            <a:noAutofit/>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base" latinLnBrk="0" hangingPunct="1">
              <a:lnSpc>
                <a:spcPct val="100000"/>
              </a:lnSpc>
              <a:spcBef>
                <a:spcPct val="0"/>
              </a:spcBef>
              <a:spcAft>
                <a:spcPct val="0"/>
              </a:spcAft>
              <a:buClrTx/>
              <a:buSzTx/>
              <a:buFontTx/>
              <a:buNone/>
              <a:tabLst/>
              <a:defRPr/>
            </a:pPr>
            <a:r>
              <a:rPr kumimoji="0" lang="en-GB" i="0" u="none" strike="noStrike" kern="0" cap="none" spc="0" normalizeH="0" baseline="0">
                <a:ln>
                  <a:noFill/>
                </a:ln>
                <a:solidFill>
                  <a:srgbClr val="000000"/>
                </a:solidFill>
                <a:effectLst/>
                <a:uLnTx/>
                <a:uFillTx/>
                <a:latin typeface="Frutiger LT Com 45 Light" panose="020B0303030504020204" pitchFamily="34" charset="0"/>
              </a:rPr>
              <a:t>FPC@ITA</a:t>
            </a:r>
            <a:br>
              <a:rPr kumimoji="0" lang="en-GB" i="0" u="none" strike="noStrike" kern="0" cap="none" spc="0" normalizeH="0" baseline="0">
                <a:ln>
                  <a:noFill/>
                </a:ln>
                <a:solidFill>
                  <a:srgbClr val="000000"/>
                </a:solidFill>
                <a:effectLst/>
                <a:uLnTx/>
                <a:uFillTx/>
                <a:latin typeface="Frutiger LT Com 45 Light" panose="020B0303030504020204" pitchFamily="34" charset="0"/>
              </a:rPr>
            </a:br>
            <a:r>
              <a:rPr kumimoji="0" lang="en-GB" i="0" u="none" strike="noStrike" kern="0" cap="none" spc="0" normalizeH="0" baseline="0">
                <a:ln>
                  <a:noFill/>
                </a:ln>
                <a:solidFill>
                  <a:srgbClr val="000000"/>
                </a:solidFill>
                <a:effectLst/>
                <a:uLnTx/>
                <a:uFillTx/>
                <a:latin typeface="Frutiger LT Com 45 Light" panose="020B0303030504020204" pitchFamily="34" charset="0"/>
              </a:rPr>
              <a:t> R&amp;D Portfolio</a:t>
            </a:r>
          </a:p>
        </xdr:txBody>
      </xdr:sp>
      <xdr:sp macro="" textlink="">
        <xdr:nvSpPr>
          <xdr:cNvPr id="568" name="Textfeld 78">
            <a:extLst>
              <a:ext uri="{FF2B5EF4-FFF2-40B4-BE49-F238E27FC236}">
                <a16:creationId xmlns:a16="http://schemas.microsoft.com/office/drawing/2014/main" id="{00000000-0008-0000-0300-000038020000}"/>
              </a:ext>
            </a:extLst>
          </xdr:cNvPr>
          <xdr:cNvSpPr txBox="1"/>
        </xdr:nvSpPr>
        <xdr:spPr>
          <a:xfrm>
            <a:off x="5406600" y="1093212"/>
            <a:ext cx="1421048" cy="432000"/>
          </a:xfrm>
          <a:prstGeom prst="rect">
            <a:avLst/>
          </a:prstGeom>
          <a:solidFill>
            <a:srgbClr val="FFFFFF">
              <a:alpha val="69000"/>
            </a:srgbClr>
          </a:solidFill>
          <a:ln w="9525" cap="flat" cmpd="sng" algn="ctr">
            <a:noFill/>
            <a:prstDash val="solid"/>
            <a:round/>
            <a:headEnd type="none" w="med" len="med"/>
            <a:tailEnd type="none" w="med" len="med"/>
          </a:ln>
          <a:effectLst/>
        </xdr:spPr>
        <xdr:txBody>
          <a:bodyPr rot="0" spcFirstLastPara="0" vert="horz" wrap="square" lIns="106680" tIns="53340" rIns="106680" bIns="53340" numCol="1" spcCol="0" rtlCol="0" fromWordArt="0" anchor="t" anchorCtr="0" forceAA="0" compatLnSpc="1">
            <a:prstTxWarp prst="textNoShape">
              <a:avLst/>
            </a:prstTxWarp>
            <a:noAutofit/>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base" latinLnBrk="0" hangingPunct="1">
              <a:lnSpc>
                <a:spcPct val="100000"/>
              </a:lnSpc>
              <a:spcBef>
                <a:spcPct val="0"/>
              </a:spcBef>
              <a:spcAft>
                <a:spcPct val="0"/>
              </a:spcAft>
              <a:buClrTx/>
              <a:buSzTx/>
              <a:buFontTx/>
              <a:buNone/>
              <a:tabLst/>
              <a:defRPr/>
            </a:pPr>
            <a:r>
              <a:rPr kumimoji="0" lang="en-GB" i="0" u="none" strike="noStrike" kern="0" cap="none" spc="0" normalizeH="0" baseline="0">
                <a:ln>
                  <a:noFill/>
                </a:ln>
                <a:solidFill>
                  <a:srgbClr val="000000"/>
                </a:solidFill>
                <a:effectLst/>
                <a:uLnTx/>
                <a:uFillTx/>
                <a:latin typeface="Frutiger LT Com 45 Light" panose="020B0303030504020204" pitchFamily="34" charset="0"/>
              </a:rPr>
              <a:t>Prioritized</a:t>
            </a:r>
            <a:br>
              <a:rPr kumimoji="0" lang="en-GB" i="0" u="none" strike="noStrike" kern="0" cap="none" spc="0" normalizeH="0" baseline="0">
                <a:ln>
                  <a:noFill/>
                </a:ln>
                <a:solidFill>
                  <a:srgbClr val="000000"/>
                </a:solidFill>
                <a:effectLst/>
                <a:uLnTx/>
                <a:uFillTx/>
                <a:latin typeface="Frutiger LT Com 45 Light" panose="020B0303030504020204" pitchFamily="34" charset="0"/>
              </a:rPr>
            </a:br>
            <a:r>
              <a:rPr kumimoji="0" lang="en-GB" i="0" u="none" strike="noStrike" kern="0" cap="none" spc="0" normalizeH="0" baseline="0">
                <a:ln>
                  <a:noFill/>
                </a:ln>
                <a:solidFill>
                  <a:srgbClr val="000000"/>
                </a:solidFill>
                <a:effectLst/>
                <a:uLnTx/>
                <a:uFillTx/>
                <a:latin typeface="Frutiger LT Com 45 Light" panose="020B0303030504020204" pitchFamily="34" charset="0"/>
              </a:rPr>
              <a:t> Market Segments</a:t>
            </a:r>
          </a:p>
        </xdr:txBody>
      </xdr:sp>
      <xdr:cxnSp macro="">
        <xdr:nvCxnSpPr>
          <xdr:cNvPr id="569" name="Gerade Verbindung mit Pfeil 568">
            <a:extLst>
              <a:ext uri="{FF2B5EF4-FFF2-40B4-BE49-F238E27FC236}">
                <a16:creationId xmlns:a16="http://schemas.microsoft.com/office/drawing/2014/main" id="{00000000-0008-0000-0300-000039020000}"/>
              </a:ext>
            </a:extLst>
          </xdr:cNvPr>
          <xdr:cNvCxnSpPr>
            <a:cxnSpLocks/>
            <a:stCxn id="567" idx="2"/>
          </xdr:cNvCxnSpPr>
        </xdr:nvCxnSpPr>
        <xdr:spPr bwMode="auto">
          <a:xfrm>
            <a:off x="3963743" y="1525212"/>
            <a:ext cx="780236" cy="178822"/>
          </a:xfrm>
          <a:prstGeom prst="straightConnector1">
            <a:avLst/>
          </a:prstGeom>
          <a:solidFill>
            <a:srgbClr val="00AF93"/>
          </a:solidFill>
          <a:ln w="9525" cap="flat" cmpd="sng" algn="ctr">
            <a:solidFill>
              <a:srgbClr val="0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cxnSp macro="">
        <xdr:nvCxnSpPr>
          <xdr:cNvPr id="570" name="Gerade Verbindung mit Pfeil 569">
            <a:extLst>
              <a:ext uri="{FF2B5EF4-FFF2-40B4-BE49-F238E27FC236}">
                <a16:creationId xmlns:a16="http://schemas.microsoft.com/office/drawing/2014/main" id="{00000000-0008-0000-0300-00003A020000}"/>
              </a:ext>
            </a:extLst>
          </xdr:cNvPr>
          <xdr:cNvCxnSpPr>
            <a:cxnSpLocks/>
            <a:stCxn id="568" idx="2"/>
          </xdr:cNvCxnSpPr>
        </xdr:nvCxnSpPr>
        <xdr:spPr bwMode="auto">
          <a:xfrm flipH="1">
            <a:off x="5162024" y="1525212"/>
            <a:ext cx="955100" cy="155750"/>
          </a:xfrm>
          <a:prstGeom prst="straightConnector1">
            <a:avLst/>
          </a:prstGeom>
          <a:solidFill>
            <a:srgbClr val="00AF93"/>
          </a:solidFill>
          <a:ln w="9525" cap="flat" cmpd="sng" algn="ctr">
            <a:solidFill>
              <a:srgbClr val="0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571" name="Rechteck 570">
            <a:extLst>
              <a:ext uri="{FF2B5EF4-FFF2-40B4-BE49-F238E27FC236}">
                <a16:creationId xmlns:a16="http://schemas.microsoft.com/office/drawing/2014/main" id="{00000000-0008-0000-0300-00003B020000}"/>
              </a:ext>
            </a:extLst>
          </xdr:cNvPr>
          <xdr:cNvSpPr/>
        </xdr:nvSpPr>
        <xdr:spPr bwMode="auto">
          <a:xfrm>
            <a:off x="3661627" y="2780987"/>
            <a:ext cx="2604043" cy="468000"/>
          </a:xfrm>
          <a:prstGeom prst="rect">
            <a:avLst/>
          </a:prstGeom>
          <a:solidFill>
            <a:srgbClr val="FFFFFF">
              <a:alpha val="69000"/>
            </a:srgbClr>
          </a:solidFill>
          <a:ln w="9525" cap="flat" cmpd="sng" algn="ctr">
            <a:noFill/>
            <a:prstDash val="solid"/>
            <a:round/>
            <a:headEnd type="none" w="med" len="med"/>
            <a:tailEnd type="none" w="med" len="med"/>
          </a:ln>
          <a:effectLst/>
        </xdr:spPr>
        <xdr:txBody>
          <a:bodyPr vert="horz" wrap="square" lIns="106680" tIns="53340" rIns="106680" bIns="5334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auto" latinLnBrk="0" hangingPunct="1">
              <a:lnSpc>
                <a:spcPct val="100000"/>
              </a:lnSpc>
              <a:spcBef>
                <a:spcPts val="0"/>
              </a:spcBef>
              <a:spcAft>
                <a:spcPct val="0"/>
              </a:spcAft>
              <a:buClrTx/>
              <a:buSzTx/>
              <a:buFontTx/>
              <a:buNone/>
              <a:tabLst/>
              <a:defRPr/>
            </a:pPr>
            <a:r>
              <a:rPr kumimoji="0" lang="en-US" sz="1400" b="1" i="0" u="none" strike="noStrike" kern="0" cap="none" spc="0" normalizeH="0" baseline="0">
                <a:ln>
                  <a:noFill/>
                </a:ln>
                <a:solidFill>
                  <a:srgbClr val="000000"/>
                </a:solidFill>
                <a:effectLst/>
                <a:uLnTx/>
                <a:uFillTx/>
                <a:latin typeface="Frutiger LT Com 45 Light" panose="020B0303030504020204" pitchFamily="34" charset="0"/>
              </a:rPr>
              <a:t>Proposals Submitted </a:t>
            </a:r>
          </a:p>
        </xdr:txBody>
      </xdr:sp>
      <xdr:sp macro="" textlink="">
        <xdr:nvSpPr>
          <xdr:cNvPr id="572" name="Rechteck 571">
            <a:extLst>
              <a:ext uri="{FF2B5EF4-FFF2-40B4-BE49-F238E27FC236}">
                <a16:creationId xmlns:a16="http://schemas.microsoft.com/office/drawing/2014/main" id="{00000000-0008-0000-0300-00003C020000}"/>
              </a:ext>
            </a:extLst>
          </xdr:cNvPr>
          <xdr:cNvSpPr/>
        </xdr:nvSpPr>
        <xdr:spPr bwMode="auto">
          <a:xfrm>
            <a:off x="4261830" y="3666298"/>
            <a:ext cx="1368121" cy="746106"/>
          </a:xfrm>
          <a:prstGeom prst="rect">
            <a:avLst/>
          </a:prstGeom>
          <a:solidFill>
            <a:srgbClr val="FFFFFF">
              <a:alpha val="69000"/>
            </a:srgbClr>
          </a:solidFill>
          <a:ln w="9525" cap="flat" cmpd="sng" algn="ctr">
            <a:noFill/>
            <a:prstDash val="solid"/>
            <a:round/>
            <a:headEnd type="none" w="med" len="med"/>
            <a:tailEnd type="none" w="med" len="med"/>
          </a:ln>
          <a:effectLst/>
        </xdr:spPr>
        <xdr:txBody>
          <a:bodyPr vert="horz" wrap="square" lIns="106680" tIns="53340" rIns="106680" bIns="53340" numCol="1" rtlCol="0" anchor="t"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914400" eaLnBrk="1" fontAlgn="auto" latinLnBrk="0" hangingPunct="1">
              <a:lnSpc>
                <a:spcPct val="100000"/>
              </a:lnSpc>
              <a:spcBef>
                <a:spcPts val="0"/>
              </a:spcBef>
              <a:spcAft>
                <a:spcPct val="0"/>
              </a:spcAft>
              <a:buClrTx/>
              <a:buSzTx/>
              <a:buFontTx/>
              <a:buNone/>
              <a:tabLst/>
              <a:defRPr/>
            </a:pPr>
            <a:r>
              <a:rPr kumimoji="0" lang="en-US" sz="1400" b="1" i="0" u="none" strike="noStrike" kern="0" cap="none" spc="0" normalizeH="0" baseline="0">
                <a:ln>
                  <a:noFill/>
                </a:ln>
                <a:solidFill>
                  <a:srgbClr val="000000"/>
                </a:solidFill>
                <a:effectLst/>
                <a:uLnTx/>
                <a:uFillTx/>
                <a:latin typeface="Frutiger LT Com 45 Light" panose="020B0303030504020204" pitchFamily="34" charset="0"/>
              </a:rPr>
              <a:t>Approved and Running / Finished</a:t>
            </a:r>
          </a:p>
        </xdr:txBody>
      </xdr:sp>
      <xdr:grpSp>
        <xdr:nvGrpSpPr>
          <xdr:cNvPr id="573" name="Gruppieren 572">
            <a:extLst>
              <a:ext uri="{FF2B5EF4-FFF2-40B4-BE49-F238E27FC236}">
                <a16:creationId xmlns:a16="http://schemas.microsoft.com/office/drawing/2014/main" id="{00000000-0008-0000-0300-00003D020000}"/>
              </a:ext>
            </a:extLst>
          </xdr:cNvPr>
          <xdr:cNvGrpSpPr/>
        </xdr:nvGrpSpPr>
        <xdr:grpSpPr>
          <a:xfrm>
            <a:off x="7184434" y="3910254"/>
            <a:ext cx="1425501" cy="680410"/>
            <a:chOff x="6660231" y="2528607"/>
            <a:chExt cx="1221857" cy="583208"/>
          </a:xfrm>
        </xdr:grpSpPr>
        <xdr:sp macro="" textlink="">
          <xdr:nvSpPr>
            <xdr:cNvPr id="647" name="Rechteck 646">
              <a:extLst>
                <a:ext uri="{FF2B5EF4-FFF2-40B4-BE49-F238E27FC236}">
                  <a16:creationId xmlns:a16="http://schemas.microsoft.com/office/drawing/2014/main" id="{00000000-0008-0000-0300-000087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Running and Finished</a:t>
              </a:r>
            </a:p>
          </xdr:txBody>
        </xdr:sp>
        <xdr:cxnSp macro="">
          <xdr:nvCxnSpPr>
            <xdr:cNvPr id="648" name="Gerade Verbindung 126">
              <a:extLst>
                <a:ext uri="{FF2B5EF4-FFF2-40B4-BE49-F238E27FC236}">
                  <a16:creationId xmlns:a16="http://schemas.microsoft.com/office/drawing/2014/main" id="{00000000-0008-0000-0300-00008802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649" name="Rectangle 28">
              <a:extLst>
                <a:ext uri="{FF2B5EF4-FFF2-40B4-BE49-F238E27FC236}">
                  <a16:creationId xmlns:a16="http://schemas.microsoft.com/office/drawing/2014/main" id="{00000000-0008-0000-0300-000089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Projects</a:t>
              </a:r>
            </a:p>
          </xdr:txBody>
        </xdr:sp>
        <xdr:sp macro="" textlink="'Prospection Summary'!$S$1082">
          <xdr:nvSpPr>
            <xdr:cNvPr id="650" name="Rectangle 27">
              <a:extLst>
                <a:ext uri="{FF2B5EF4-FFF2-40B4-BE49-F238E27FC236}">
                  <a16:creationId xmlns:a16="http://schemas.microsoft.com/office/drawing/2014/main" id="{00000000-0008-0000-0300-00008A02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E8F8A333-7D3E-4604-AB31-9C6AADF8F83C}" type="TxLink">
                <a:rPr lang="en-US" altLang="de-DE" sz="1000" b="0"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6</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51" name="Rectangle 28">
              <a:extLst>
                <a:ext uri="{FF2B5EF4-FFF2-40B4-BE49-F238E27FC236}">
                  <a16:creationId xmlns:a16="http://schemas.microsoft.com/office/drawing/2014/main" id="{00000000-0008-0000-0300-00008B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T$1082">
          <xdr:nvSpPr>
            <xdr:cNvPr id="652" name="Rectangle 27">
              <a:extLst>
                <a:ext uri="{FF2B5EF4-FFF2-40B4-BE49-F238E27FC236}">
                  <a16:creationId xmlns:a16="http://schemas.microsoft.com/office/drawing/2014/main" id="{00000000-0008-0000-0300-00008C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B51666CF-B579-470F-8E16-DE07CB33033C}" type="TxLink">
                <a:rPr lang="en-US" altLang="de-DE" sz="1000" b="0"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484.293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574" name="Gruppieren 573">
            <a:extLst>
              <a:ext uri="{FF2B5EF4-FFF2-40B4-BE49-F238E27FC236}">
                <a16:creationId xmlns:a16="http://schemas.microsoft.com/office/drawing/2014/main" id="{00000000-0008-0000-0300-00003E020000}"/>
              </a:ext>
            </a:extLst>
          </xdr:cNvPr>
          <xdr:cNvGrpSpPr/>
        </xdr:nvGrpSpPr>
        <xdr:grpSpPr>
          <a:xfrm>
            <a:off x="7473541" y="2580837"/>
            <a:ext cx="1425505" cy="680411"/>
            <a:chOff x="6660228" y="2528607"/>
            <a:chExt cx="1221860" cy="583209"/>
          </a:xfrm>
        </xdr:grpSpPr>
        <xdr:sp macro="" textlink="">
          <xdr:nvSpPr>
            <xdr:cNvPr id="641" name="Rechteck 640">
              <a:extLst>
                <a:ext uri="{FF2B5EF4-FFF2-40B4-BE49-F238E27FC236}">
                  <a16:creationId xmlns:a16="http://schemas.microsoft.com/office/drawing/2014/main" id="{00000000-0008-0000-0300-000081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Proposals Submitted</a:t>
              </a:r>
            </a:p>
          </xdr:txBody>
        </xdr:sp>
        <xdr:cxnSp macro="">
          <xdr:nvCxnSpPr>
            <xdr:cNvPr id="642" name="Gerade Verbindung 126">
              <a:extLst>
                <a:ext uri="{FF2B5EF4-FFF2-40B4-BE49-F238E27FC236}">
                  <a16:creationId xmlns:a16="http://schemas.microsoft.com/office/drawing/2014/main" id="{00000000-0008-0000-0300-00008202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643" name="Rectangle 28">
              <a:extLst>
                <a:ext uri="{FF2B5EF4-FFF2-40B4-BE49-F238E27FC236}">
                  <a16:creationId xmlns:a16="http://schemas.microsoft.com/office/drawing/2014/main" id="{00000000-0008-0000-0300-000083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S$1079">
          <xdr:nvSpPr>
            <xdr:cNvPr id="644" name="Rectangle 27">
              <a:extLst>
                <a:ext uri="{FF2B5EF4-FFF2-40B4-BE49-F238E27FC236}">
                  <a16:creationId xmlns:a16="http://schemas.microsoft.com/office/drawing/2014/main" id="{00000000-0008-0000-0300-000084020000}"/>
                </a:ext>
              </a:extLst>
            </xdr:cNvPr>
            <xdr:cNvSpPr>
              <a:spLocks noChangeArrowheads="1"/>
            </xdr:cNvSpPr>
          </xdr:nvSpPr>
          <xdr:spPr bwMode="auto">
            <a:xfrm>
              <a:off x="6660228" y="2986669"/>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0F326C60-0715-4E52-9791-A1BE1A059152}" type="TxLink">
                <a:rPr lang="en-US" altLang="de-DE" sz="1000" b="0"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14,5</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45" name="Rectangle 28">
              <a:extLst>
                <a:ext uri="{FF2B5EF4-FFF2-40B4-BE49-F238E27FC236}">
                  <a16:creationId xmlns:a16="http://schemas.microsoft.com/office/drawing/2014/main" id="{00000000-0008-0000-0300-000085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T$1079">
          <xdr:nvSpPr>
            <xdr:cNvPr id="646" name="Rectangle 27">
              <a:extLst>
                <a:ext uri="{FF2B5EF4-FFF2-40B4-BE49-F238E27FC236}">
                  <a16:creationId xmlns:a16="http://schemas.microsoft.com/office/drawing/2014/main" id="{00000000-0008-0000-0300-000086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26DB4D46-6BB8-4A98-9381-7F13D63708C1}" type="TxLink">
                <a:rPr lang="en-US" altLang="de-DE" sz="1000" b="0"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5.127.453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575" name="Gruppieren 574">
            <a:extLst>
              <a:ext uri="{FF2B5EF4-FFF2-40B4-BE49-F238E27FC236}">
                <a16:creationId xmlns:a16="http://schemas.microsoft.com/office/drawing/2014/main" id="{00000000-0008-0000-0300-00003F020000}"/>
              </a:ext>
            </a:extLst>
          </xdr:cNvPr>
          <xdr:cNvGrpSpPr/>
        </xdr:nvGrpSpPr>
        <xdr:grpSpPr>
          <a:xfrm>
            <a:off x="7758292" y="1611968"/>
            <a:ext cx="1425501" cy="680410"/>
            <a:chOff x="6660231" y="2528607"/>
            <a:chExt cx="1221857" cy="583208"/>
          </a:xfrm>
        </xdr:grpSpPr>
        <xdr:sp macro="" textlink="">
          <xdr:nvSpPr>
            <xdr:cNvPr id="635" name="Rechteck 634">
              <a:extLst>
                <a:ext uri="{FF2B5EF4-FFF2-40B4-BE49-F238E27FC236}">
                  <a16:creationId xmlns:a16="http://schemas.microsoft.com/office/drawing/2014/main" id="{00000000-0008-0000-0300-00007B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Proposal Preparation</a:t>
              </a:r>
            </a:p>
          </xdr:txBody>
        </xdr:sp>
        <xdr:cxnSp macro="">
          <xdr:nvCxnSpPr>
            <xdr:cNvPr id="636" name="Gerade Verbindung 126">
              <a:extLst>
                <a:ext uri="{FF2B5EF4-FFF2-40B4-BE49-F238E27FC236}">
                  <a16:creationId xmlns:a16="http://schemas.microsoft.com/office/drawing/2014/main" id="{00000000-0008-0000-0300-00007C02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637" name="Rectangle 28">
              <a:extLst>
                <a:ext uri="{FF2B5EF4-FFF2-40B4-BE49-F238E27FC236}">
                  <a16:creationId xmlns:a16="http://schemas.microsoft.com/office/drawing/2014/main" id="{00000000-0008-0000-0300-00007D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S$1076">
          <xdr:nvSpPr>
            <xdr:cNvPr id="638" name="Rectangle 27">
              <a:extLst>
                <a:ext uri="{FF2B5EF4-FFF2-40B4-BE49-F238E27FC236}">
                  <a16:creationId xmlns:a16="http://schemas.microsoft.com/office/drawing/2014/main" id="{00000000-0008-0000-0300-00007E02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CF08CB2D-0E0C-4094-AF56-683CF2D9AA29}" type="TxLink">
                <a:rPr kumimoji="0" lang="en-US" altLang="de-DE" sz="1000" b="0" i="0" u="none" strike="noStrike" kern="0" cap="none" spc="0" normalizeH="0" baseline="0">
                  <a:ln>
                    <a:noFill/>
                  </a:ln>
                  <a:solidFill>
                    <a:srgbClr val="000000"/>
                  </a:solidFill>
                  <a:effectLst/>
                  <a:uLnTx/>
                  <a:uFillTx/>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15</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39" name="Rectangle 28">
              <a:extLst>
                <a:ext uri="{FF2B5EF4-FFF2-40B4-BE49-F238E27FC236}">
                  <a16:creationId xmlns:a16="http://schemas.microsoft.com/office/drawing/2014/main" id="{00000000-0008-0000-0300-00007F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T$1076">
          <xdr:nvSpPr>
            <xdr:cNvPr id="640" name="Rectangle 27">
              <a:extLst>
                <a:ext uri="{FF2B5EF4-FFF2-40B4-BE49-F238E27FC236}">
                  <a16:creationId xmlns:a16="http://schemas.microsoft.com/office/drawing/2014/main" id="{00000000-0008-0000-0300-000080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C5095EA3-7884-45C6-AC9C-A01C321C5696}" type="TxLink">
                <a:rPr lang="en-US" altLang="de-DE" sz="1000" b="0"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5.225.453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576" name="Gruppieren 575">
            <a:extLst>
              <a:ext uri="{FF2B5EF4-FFF2-40B4-BE49-F238E27FC236}">
                <a16:creationId xmlns:a16="http://schemas.microsoft.com/office/drawing/2014/main" id="{00000000-0008-0000-0300-000040020000}"/>
              </a:ext>
            </a:extLst>
          </xdr:cNvPr>
          <xdr:cNvGrpSpPr/>
        </xdr:nvGrpSpPr>
        <xdr:grpSpPr>
          <a:xfrm>
            <a:off x="3687220" y="5319114"/>
            <a:ext cx="2578450" cy="545198"/>
            <a:chOff x="6660232" y="2646359"/>
            <a:chExt cx="1221856" cy="467313"/>
          </a:xfrm>
        </xdr:grpSpPr>
        <xdr:sp macro="" textlink="">
          <xdr:nvSpPr>
            <xdr:cNvPr id="627" name="Rechteck 626">
              <a:extLst>
                <a:ext uri="{FF2B5EF4-FFF2-40B4-BE49-F238E27FC236}">
                  <a16:creationId xmlns:a16="http://schemas.microsoft.com/office/drawing/2014/main" id="{00000000-0008-0000-0300-000073020000}"/>
                </a:ext>
              </a:extLst>
            </xdr:cNvPr>
            <xdr:cNvSpPr/>
          </xdr:nvSpPr>
          <xdr:spPr bwMode="auto">
            <a:xfrm>
              <a:off x="6660232" y="2646359"/>
              <a:ext cx="1221856" cy="186330"/>
            </a:xfrm>
            <a:prstGeom prst="rect">
              <a:avLst/>
            </a:prstGeom>
            <a:solidFill>
              <a:schemeClr val="bg1">
                <a:lumMod val="85000"/>
              </a:schemeClr>
            </a:solidFill>
            <a:ln w="9525" cap="flat" cmpd="sng" algn="ctr">
              <a:solidFill>
                <a:schemeClr val="bg1">
                  <a:lumMod val="85000"/>
                </a:scheme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defTabSz="1065687" fontAlgn="auto">
                <a:lnSpc>
                  <a:spcPct val="90000"/>
                </a:lnSpc>
                <a:spcBef>
                  <a:spcPts val="0"/>
                </a:spcBef>
                <a:spcAft>
                  <a:spcPts val="0"/>
                </a:spcAft>
                <a:buClr>
                  <a:srgbClr val="3E8F7D"/>
                </a:buClr>
              </a:pPr>
              <a:r>
                <a:rPr lang="en-US" sz="1167" b="1">
                  <a:solidFill>
                    <a:srgbClr val="000000"/>
                  </a:solidFill>
                  <a:latin typeface="Frutiger LT Com 45 Light" panose="020B0303030504020204" pitchFamily="34" charset="0"/>
                </a:rPr>
                <a:t>€ Revenue generated</a:t>
              </a:r>
            </a:p>
          </xdr:txBody>
        </xdr:sp>
        <xdr:cxnSp macro="">
          <xdr:nvCxnSpPr>
            <xdr:cNvPr id="628" name="Gerade Verbindung 137">
              <a:extLst>
                <a:ext uri="{FF2B5EF4-FFF2-40B4-BE49-F238E27FC236}">
                  <a16:creationId xmlns:a16="http://schemas.microsoft.com/office/drawing/2014/main" id="{00000000-0008-0000-0300-000074020000}"/>
                </a:ext>
              </a:extLst>
            </xdr:cNvPr>
            <xdr:cNvCxnSpPr/>
          </xdr:nvCxnSpPr>
          <xdr:spPr bwMode="auto">
            <a:xfrm>
              <a:off x="6660232" y="3072697"/>
              <a:ext cx="814545" cy="0"/>
            </a:xfrm>
            <a:prstGeom prst="line">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629" name="Rectangle 28">
              <a:extLst>
                <a:ext uri="{FF2B5EF4-FFF2-40B4-BE49-F238E27FC236}">
                  <a16:creationId xmlns:a16="http://schemas.microsoft.com/office/drawing/2014/main" id="{00000000-0008-0000-0300-000075020000}"/>
                </a:ext>
              </a:extLst>
            </xdr:cNvPr>
            <xdr:cNvSpPr>
              <a:spLocks noChangeArrowheads="1"/>
            </xdr:cNvSpPr>
          </xdr:nvSpPr>
          <xdr:spPr bwMode="auto">
            <a:xfrm>
              <a:off x="7067542" y="2835410"/>
              <a:ext cx="407273" cy="161557"/>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r>
                <a:rPr lang="en-US" altLang="de-DE" sz="933" b="1">
                  <a:solidFill>
                    <a:srgbClr val="000000"/>
                  </a:solidFill>
                  <a:latin typeface="Frutiger LT Com 45 Light" panose="020B0303030504020204" pitchFamily="34" charset="0"/>
                </a:rPr>
                <a:t>Target</a:t>
              </a:r>
            </a:p>
          </xdr:txBody>
        </xdr:sp>
        <xdr:sp macro="" textlink="'Prospection Summary'!$Q$1089">
          <xdr:nvSpPr>
            <xdr:cNvPr id="630" name="Rectangle 27">
              <a:extLst>
                <a:ext uri="{FF2B5EF4-FFF2-40B4-BE49-F238E27FC236}">
                  <a16:creationId xmlns:a16="http://schemas.microsoft.com/office/drawing/2014/main" id="{00000000-0008-0000-0300-000076020000}"/>
                </a:ext>
              </a:extLst>
            </xdr:cNvPr>
            <xdr:cNvSpPr>
              <a:spLocks noChangeArrowheads="1"/>
            </xdr:cNvSpPr>
          </xdr:nvSpPr>
          <xdr:spPr bwMode="auto">
            <a:xfrm>
              <a:off x="7067542" y="2997308"/>
              <a:ext cx="407273" cy="116364"/>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fld id="{074EE319-3C4C-4B4A-A0F4-BE17C7FEF0AD}" type="TxLink">
                <a:rPr lang="en-US" altLang="de-DE" sz="1000" b="1" i="0" u="none" strike="noStrike">
                  <a:solidFill>
                    <a:srgbClr val="000000"/>
                  </a:solidFill>
                  <a:latin typeface="Frutiger LT Com 45 Light"/>
                </a:rPr>
                <a:pPr algn="ctr" eaLnBrk="1" fontAlgn="auto" hangingPunct="1">
                  <a:spcBef>
                    <a:spcPct val="0"/>
                  </a:spcBef>
                  <a:spcAft>
                    <a:spcPts val="0"/>
                  </a:spcAft>
                </a:pPr>
                <a:t>1.500.000 </a:t>
              </a:fld>
              <a:endParaRPr lang="en-US" altLang="de-DE" sz="1000" b="1">
                <a:solidFill>
                  <a:srgbClr val="000000"/>
                </a:solidFill>
                <a:latin typeface="Frutiger LT Com 45 Light" panose="020B0303030504020204" pitchFamily="34" charset="0"/>
              </a:endParaRPr>
            </a:p>
          </xdr:txBody>
        </xdr:sp>
        <xdr:sp macro="" textlink="">
          <xdr:nvSpPr>
            <xdr:cNvPr id="631" name="Rectangle 28">
              <a:extLst>
                <a:ext uri="{FF2B5EF4-FFF2-40B4-BE49-F238E27FC236}">
                  <a16:creationId xmlns:a16="http://schemas.microsoft.com/office/drawing/2014/main" id="{00000000-0008-0000-0300-000077020000}"/>
                </a:ext>
              </a:extLst>
            </xdr:cNvPr>
            <xdr:cNvSpPr>
              <a:spLocks noChangeArrowheads="1"/>
            </xdr:cNvSpPr>
          </xdr:nvSpPr>
          <xdr:spPr bwMode="auto">
            <a:xfrm>
              <a:off x="6661142" y="2835410"/>
              <a:ext cx="407273" cy="161557"/>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r>
                <a:rPr lang="en-US" altLang="de-DE" sz="933" b="1">
                  <a:solidFill>
                    <a:srgbClr val="000000"/>
                  </a:solidFill>
                  <a:latin typeface="Frutiger LT Com 45 Light" panose="020B0303030504020204" pitchFamily="34" charset="0"/>
                </a:rPr>
                <a:t>Current</a:t>
              </a:r>
            </a:p>
          </xdr:txBody>
        </xdr:sp>
        <xdr:sp macro="" textlink="'Prospection Summary'!$P$1089">
          <xdr:nvSpPr>
            <xdr:cNvPr id="632" name="Rectangle 27">
              <a:extLst>
                <a:ext uri="{FF2B5EF4-FFF2-40B4-BE49-F238E27FC236}">
                  <a16:creationId xmlns:a16="http://schemas.microsoft.com/office/drawing/2014/main" id="{00000000-0008-0000-0300-000078020000}"/>
                </a:ext>
              </a:extLst>
            </xdr:cNvPr>
            <xdr:cNvSpPr>
              <a:spLocks noChangeArrowheads="1"/>
            </xdr:cNvSpPr>
          </xdr:nvSpPr>
          <xdr:spPr bwMode="auto">
            <a:xfrm>
              <a:off x="6661142" y="2997308"/>
              <a:ext cx="407273" cy="116364"/>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fld id="{B29B8E61-BC3C-4D05-9F9A-E23FE57771EB}" type="TxLink">
                <a:rPr lang="en-US" altLang="de-DE" sz="1000" b="1" i="0" u="none" strike="noStrike">
                  <a:solidFill>
                    <a:srgbClr val="000000"/>
                  </a:solidFill>
                  <a:latin typeface="Frutiger LT Com 45 Light"/>
                </a:rPr>
                <a:pPr algn="ctr" eaLnBrk="1" fontAlgn="auto" hangingPunct="1">
                  <a:spcBef>
                    <a:spcPct val="0"/>
                  </a:spcBef>
                  <a:spcAft>
                    <a:spcPts val="0"/>
                  </a:spcAft>
                </a:pPr>
                <a:t>3.447.986 </a:t>
              </a:fld>
              <a:endParaRPr lang="en-US" altLang="de-DE" sz="1000" b="1">
                <a:solidFill>
                  <a:srgbClr val="000000"/>
                </a:solidFill>
                <a:latin typeface="Frutiger LT Com 45 Light" panose="020B0303030504020204" pitchFamily="34" charset="0"/>
              </a:endParaRPr>
            </a:p>
          </xdr:txBody>
        </xdr:sp>
        <xdr:sp macro="" textlink="">
          <xdr:nvSpPr>
            <xdr:cNvPr id="633" name="Rectangle 28">
              <a:extLst>
                <a:ext uri="{FF2B5EF4-FFF2-40B4-BE49-F238E27FC236}">
                  <a16:creationId xmlns:a16="http://schemas.microsoft.com/office/drawing/2014/main" id="{00000000-0008-0000-0300-000079020000}"/>
                </a:ext>
              </a:extLst>
            </xdr:cNvPr>
            <xdr:cNvSpPr>
              <a:spLocks noChangeArrowheads="1"/>
            </xdr:cNvSpPr>
          </xdr:nvSpPr>
          <xdr:spPr bwMode="auto">
            <a:xfrm>
              <a:off x="7474815" y="2835410"/>
              <a:ext cx="407273" cy="161557"/>
            </a:xfrm>
            <a:prstGeom prst="rect">
              <a:avLst/>
            </a:prstGeom>
            <a:solidFill>
              <a:schemeClr val="bg1"/>
            </a:solidFill>
            <a:ln w="9525">
              <a:solidFill>
                <a:schemeClr val="bg1">
                  <a:lumMod val="85000"/>
                </a:scheme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r>
                <a:rPr lang="en-US" altLang="de-DE" sz="933" b="1">
                  <a:solidFill>
                    <a:srgbClr val="000000"/>
                  </a:solidFill>
                  <a:latin typeface="Frutiger LT Com 45 Light" panose="020B0303030504020204" pitchFamily="34" charset="0"/>
                </a:rPr>
                <a:t>Result</a:t>
              </a:r>
            </a:p>
          </xdr:txBody>
        </xdr:sp>
        <xdr:sp macro="" textlink="'Prospection Summary'!$R$1089">
          <xdr:nvSpPr>
            <xdr:cNvPr id="634" name="Rectangle 27">
              <a:extLst>
                <a:ext uri="{FF2B5EF4-FFF2-40B4-BE49-F238E27FC236}">
                  <a16:creationId xmlns:a16="http://schemas.microsoft.com/office/drawing/2014/main" id="{00000000-0008-0000-0300-00007A020000}"/>
                </a:ext>
              </a:extLst>
            </xdr:cNvPr>
            <xdr:cNvSpPr>
              <a:spLocks noChangeArrowheads="1"/>
            </xdr:cNvSpPr>
          </xdr:nvSpPr>
          <xdr:spPr bwMode="auto">
            <a:xfrm>
              <a:off x="7474815" y="2997308"/>
              <a:ext cx="407273" cy="116364"/>
            </a:xfrm>
            <a:prstGeom prst="rect">
              <a:avLst/>
            </a:prstGeom>
            <a:solidFill>
              <a:schemeClr val="bg2">
                <a:lumMod val="20000"/>
                <a:lumOff val="80000"/>
              </a:schemeClr>
            </a:solidFill>
            <a:ln w="9525">
              <a:solidFill>
                <a:schemeClr val="bg1">
                  <a:lumMod val="85000"/>
                </a:scheme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algn="ctr" eaLnBrk="1" fontAlgn="auto" hangingPunct="1">
                <a:spcBef>
                  <a:spcPct val="0"/>
                </a:spcBef>
                <a:spcAft>
                  <a:spcPts val="0"/>
                </a:spcAft>
              </a:pPr>
              <a:fld id="{A8DCF9C3-3EB3-44D7-87B2-1F78003D3471}" type="TxLink">
                <a:rPr lang="en-US" altLang="de-DE" sz="1000" b="1" i="0" u="none" strike="noStrike">
                  <a:solidFill>
                    <a:srgbClr val="000000"/>
                  </a:solidFill>
                  <a:latin typeface="Frutiger LT Com 45 Light"/>
                </a:rPr>
                <a:pPr algn="ctr" eaLnBrk="1" fontAlgn="auto" hangingPunct="1">
                  <a:spcBef>
                    <a:spcPct val="0"/>
                  </a:spcBef>
                  <a:spcAft>
                    <a:spcPts val="0"/>
                  </a:spcAft>
                </a:pPr>
                <a:t>230%</a:t>
              </a:fld>
              <a:endParaRPr lang="en-US" altLang="de-DE" sz="1000" b="1">
                <a:solidFill>
                  <a:srgbClr val="000000"/>
                </a:solidFill>
                <a:latin typeface="Frutiger LT Com 45 Light" panose="020B0303030504020204" pitchFamily="34" charset="0"/>
              </a:endParaRPr>
            </a:p>
          </xdr:txBody>
        </xdr:sp>
      </xdr:grpSp>
      <xdr:sp macro="" textlink="">
        <xdr:nvSpPr>
          <xdr:cNvPr id="577" name="Freeform 33">
            <a:extLst>
              <a:ext uri="{FF2B5EF4-FFF2-40B4-BE49-F238E27FC236}">
                <a16:creationId xmlns:a16="http://schemas.microsoft.com/office/drawing/2014/main" id="{00000000-0008-0000-0300-000041020000}"/>
              </a:ext>
            </a:extLst>
          </xdr:cNvPr>
          <xdr:cNvSpPr>
            <a:spLocks/>
          </xdr:cNvSpPr>
        </xdr:nvSpPr>
        <xdr:spPr bwMode="gray">
          <a:xfrm>
            <a:off x="4430099" y="4704082"/>
            <a:ext cx="1061917" cy="472956"/>
          </a:xfrm>
          <a:custGeom>
            <a:avLst/>
            <a:gdLst/>
            <a:ahLst/>
            <a:cxnLst>
              <a:cxn ang="0">
                <a:pos x="115" y="14"/>
              </a:cxn>
              <a:cxn ang="0">
                <a:pos x="1" y="0"/>
              </a:cxn>
              <a:cxn ang="0">
                <a:pos x="0" y="0"/>
              </a:cxn>
              <a:cxn ang="0">
                <a:pos x="0" y="0"/>
              </a:cxn>
              <a:cxn ang="0">
                <a:pos x="0" y="0"/>
              </a:cxn>
              <a:cxn ang="0">
                <a:pos x="0" y="163"/>
              </a:cxn>
              <a:cxn ang="0">
                <a:pos x="229" y="163"/>
              </a:cxn>
              <a:cxn ang="0">
                <a:pos x="229" y="1"/>
              </a:cxn>
              <a:cxn ang="0">
                <a:pos x="115" y="14"/>
              </a:cxn>
            </a:cxnLst>
            <a:rect l="0" t="0" r="r" b="b"/>
            <a:pathLst>
              <a:path w="229" h="163">
                <a:moveTo>
                  <a:pt x="115" y="14"/>
                </a:moveTo>
                <a:cubicBezTo>
                  <a:pt x="55" y="14"/>
                  <a:pt x="6" y="8"/>
                  <a:pt x="1" y="0"/>
                </a:cubicBezTo>
                <a:cubicBezTo>
                  <a:pt x="0" y="0"/>
                  <a:pt x="0" y="0"/>
                  <a:pt x="0" y="0"/>
                </a:cubicBezTo>
                <a:cubicBezTo>
                  <a:pt x="0" y="0"/>
                  <a:pt x="0" y="0"/>
                  <a:pt x="0" y="0"/>
                </a:cubicBezTo>
                <a:cubicBezTo>
                  <a:pt x="0" y="0"/>
                  <a:pt x="0" y="0"/>
                  <a:pt x="0" y="0"/>
                </a:cubicBezTo>
                <a:cubicBezTo>
                  <a:pt x="0" y="163"/>
                  <a:pt x="0" y="163"/>
                  <a:pt x="0" y="163"/>
                </a:cubicBezTo>
                <a:cubicBezTo>
                  <a:pt x="229" y="163"/>
                  <a:pt x="229" y="163"/>
                  <a:pt x="229" y="163"/>
                </a:cubicBezTo>
                <a:cubicBezTo>
                  <a:pt x="229" y="1"/>
                  <a:pt x="229" y="1"/>
                  <a:pt x="229" y="1"/>
                </a:cubicBezTo>
                <a:cubicBezTo>
                  <a:pt x="222" y="8"/>
                  <a:pt x="174" y="14"/>
                  <a:pt x="115" y="14"/>
                </a:cubicBezTo>
                <a:close/>
              </a:path>
            </a:pathLst>
          </a:custGeom>
          <a:gradFill rotWithShape="1">
            <a:gsLst>
              <a:gs pos="0">
                <a:srgbClr val="969696"/>
              </a:gs>
              <a:gs pos="50000">
                <a:srgbClr val="D7D7D7"/>
              </a:gs>
              <a:gs pos="100000">
                <a:srgbClr val="969696"/>
              </a:gs>
            </a:gsLst>
            <a:lin ang="0" scaled="1"/>
          </a:gradFill>
          <a:ln w="9525">
            <a:no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endParaRPr lang="en-GB" sz="2100">
              <a:solidFill>
                <a:srgbClr val="000000"/>
              </a:solidFill>
              <a:latin typeface="Frutiger LT Com 45 Light" panose="020B0303030504020204" pitchFamily="34" charset="0"/>
            </a:endParaRPr>
          </a:p>
        </xdr:txBody>
      </xdr:sp>
      <xdr:sp macro="" textlink="">
        <xdr:nvSpPr>
          <xdr:cNvPr id="578" name="Oval 36">
            <a:extLst>
              <a:ext uri="{FF2B5EF4-FFF2-40B4-BE49-F238E27FC236}">
                <a16:creationId xmlns:a16="http://schemas.microsoft.com/office/drawing/2014/main" id="{00000000-0008-0000-0300-000042020000}"/>
              </a:ext>
            </a:extLst>
          </xdr:cNvPr>
          <xdr:cNvSpPr>
            <a:spLocks noChangeArrowheads="1"/>
          </xdr:cNvSpPr>
        </xdr:nvSpPr>
        <xdr:spPr bwMode="gray">
          <a:xfrm>
            <a:off x="4429655" y="5085076"/>
            <a:ext cx="1061917" cy="154016"/>
          </a:xfrm>
          <a:prstGeom prst="ellipse">
            <a:avLst/>
          </a:prstGeom>
          <a:gradFill rotWithShape="1">
            <a:gsLst>
              <a:gs pos="0">
                <a:srgbClr val="AFAFAF"/>
              </a:gs>
              <a:gs pos="50000">
                <a:srgbClr val="E6E6E6"/>
              </a:gs>
              <a:gs pos="100000">
                <a:srgbClr val="AFAFAF"/>
              </a:gs>
            </a:gsLst>
            <a:lin ang="0" scaled="1"/>
          </a:gradFill>
          <a:ln w="9525">
            <a:noFill/>
            <a:miter lim="800000"/>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endParaRPr lang="en-GB" sz="2100">
              <a:solidFill>
                <a:srgbClr val="000000"/>
              </a:solidFill>
              <a:latin typeface="Frutiger LT Com 45 Light" panose="020B0303030504020204" pitchFamily="34" charset="0"/>
            </a:endParaRPr>
          </a:p>
        </xdr:txBody>
      </xdr:sp>
      <xdr:sp macro="" textlink="">
        <xdr:nvSpPr>
          <xdr:cNvPr id="579" name="Textfeld 122">
            <a:extLst>
              <a:ext uri="{FF2B5EF4-FFF2-40B4-BE49-F238E27FC236}">
                <a16:creationId xmlns:a16="http://schemas.microsoft.com/office/drawing/2014/main" id="{00000000-0008-0000-0300-000043020000}"/>
              </a:ext>
            </a:extLst>
          </xdr:cNvPr>
          <xdr:cNvSpPr txBox="1"/>
        </xdr:nvSpPr>
        <xdr:spPr>
          <a:xfrm>
            <a:off x="1230250" y="1210324"/>
            <a:ext cx="708195" cy="326726"/>
          </a:xfrm>
          <a:prstGeom prst="rect">
            <a:avLst/>
          </a:prstGeom>
          <a:noFill/>
        </xdr:spPr>
        <xdr:txBody>
          <a:bodyPr wrap="square" lIns="88363" tIns="44181" rIns="88363" bIns="44181" rtlCol="0">
            <a:spAutoFit/>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r>
              <a:rPr lang="en-GB" sz="1517" b="1">
                <a:solidFill>
                  <a:srgbClr val="000000"/>
                </a:solidFill>
                <a:latin typeface="Frutiger LT Com 45 Light" panose="020B0303030504020204" pitchFamily="34" charset="0"/>
              </a:rPr>
              <a:t>ITA</a:t>
            </a:r>
          </a:p>
        </xdr:txBody>
      </xdr:sp>
      <xdr:cxnSp macro="">
        <xdr:nvCxnSpPr>
          <xdr:cNvPr id="580" name="Gewinkelter Verbinder 579">
            <a:extLst>
              <a:ext uri="{FF2B5EF4-FFF2-40B4-BE49-F238E27FC236}">
                <a16:creationId xmlns:a16="http://schemas.microsoft.com/office/drawing/2014/main" id="{00000000-0008-0000-0300-000044020000}"/>
              </a:ext>
            </a:extLst>
          </xdr:cNvPr>
          <xdr:cNvCxnSpPr/>
        </xdr:nvCxnSpPr>
        <xdr:spPr bwMode="auto">
          <a:xfrm rot="16200000" flipH="1">
            <a:off x="5483243" y="4244608"/>
            <a:ext cx="2340000" cy="504000"/>
          </a:xfrm>
          <a:prstGeom prst="bentConnector3">
            <a:avLst>
              <a:gd name="adj1" fmla="val 50000"/>
            </a:avLst>
          </a:prstGeom>
          <a:noFill/>
          <a:ln w="19050" cap="sq">
            <a:solidFill>
              <a:srgbClr val="FF0000"/>
            </a:solidFill>
            <a:prstDash val="sysDot"/>
            <a:round/>
            <a:headEnd/>
            <a:tailEnd type="triangle"/>
          </a:ln>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581" name="Line 17">
            <a:extLst>
              <a:ext uri="{FF2B5EF4-FFF2-40B4-BE49-F238E27FC236}">
                <a16:creationId xmlns:a16="http://schemas.microsoft.com/office/drawing/2014/main" id="{00000000-0008-0000-0300-000045020000}"/>
              </a:ext>
            </a:extLst>
          </xdr:cNvPr>
          <xdr:cNvSpPr>
            <a:spLocks noChangeShapeType="1"/>
          </xdr:cNvSpPr>
        </xdr:nvSpPr>
        <xdr:spPr bwMode="gray">
          <a:xfrm>
            <a:off x="1340708" y="4691048"/>
            <a:ext cx="2955070" cy="23213"/>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sp macro="" textlink="">
        <xdr:nvSpPr>
          <xdr:cNvPr id="582" name="Line 17">
            <a:extLst>
              <a:ext uri="{FF2B5EF4-FFF2-40B4-BE49-F238E27FC236}">
                <a16:creationId xmlns:a16="http://schemas.microsoft.com/office/drawing/2014/main" id="{00000000-0008-0000-0300-000046020000}"/>
              </a:ext>
            </a:extLst>
          </xdr:cNvPr>
          <xdr:cNvSpPr>
            <a:spLocks noChangeShapeType="1"/>
          </xdr:cNvSpPr>
        </xdr:nvSpPr>
        <xdr:spPr bwMode="gray">
          <a:xfrm>
            <a:off x="1058630" y="3301278"/>
            <a:ext cx="2503162" cy="561"/>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sp macro="" textlink="">
        <xdr:nvSpPr>
          <xdr:cNvPr id="583" name="Line 17">
            <a:extLst>
              <a:ext uri="{FF2B5EF4-FFF2-40B4-BE49-F238E27FC236}">
                <a16:creationId xmlns:a16="http://schemas.microsoft.com/office/drawing/2014/main" id="{00000000-0008-0000-0300-000047020000}"/>
              </a:ext>
            </a:extLst>
          </xdr:cNvPr>
          <xdr:cNvSpPr>
            <a:spLocks noChangeShapeType="1"/>
          </xdr:cNvSpPr>
        </xdr:nvSpPr>
        <xdr:spPr bwMode="gray">
          <a:xfrm flipV="1">
            <a:off x="791329" y="2373820"/>
            <a:ext cx="2260509" cy="0"/>
          </a:xfrm>
          <a:prstGeom prst="line">
            <a:avLst/>
          </a:prstGeom>
          <a:noFill/>
          <a:ln w="19050" cap="sq">
            <a:solidFill>
              <a:srgbClr val="868282"/>
            </a:solidFill>
            <a:prstDash val="sysDot"/>
            <a:round/>
            <a:headEnd/>
            <a:tailEnd/>
          </a:ln>
        </xdr:spPr>
        <xdr:txBody>
          <a:bodyPr wrap="square"/>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defTabSz="883695">
              <a:spcAft>
                <a:spcPct val="0"/>
              </a:spcAft>
              <a:buFontTx/>
              <a:buNone/>
            </a:pPr>
            <a:endParaRPr lang="en-GB" sz="1400" b="1">
              <a:solidFill>
                <a:srgbClr val="000000"/>
              </a:solidFill>
              <a:latin typeface="Frutiger LT Com 45 Light" panose="020B0303030504020204" pitchFamily="34" charset="0"/>
            </a:endParaRPr>
          </a:p>
        </xdr:txBody>
      </xdr:sp>
      <xdr:grpSp>
        <xdr:nvGrpSpPr>
          <xdr:cNvPr id="584" name="Gruppieren 583">
            <a:extLst>
              <a:ext uri="{FF2B5EF4-FFF2-40B4-BE49-F238E27FC236}">
                <a16:creationId xmlns:a16="http://schemas.microsoft.com/office/drawing/2014/main" id="{00000000-0008-0000-0300-000048020000}"/>
              </a:ext>
            </a:extLst>
          </xdr:cNvPr>
          <xdr:cNvGrpSpPr/>
        </xdr:nvGrpSpPr>
        <xdr:grpSpPr>
          <a:xfrm>
            <a:off x="808070" y="1605594"/>
            <a:ext cx="1425501" cy="680410"/>
            <a:chOff x="6660231" y="2528607"/>
            <a:chExt cx="1221857" cy="583208"/>
          </a:xfrm>
        </xdr:grpSpPr>
        <xdr:sp macro="" textlink="">
          <xdr:nvSpPr>
            <xdr:cNvPr id="621" name="Rechteck 620">
              <a:extLst>
                <a:ext uri="{FF2B5EF4-FFF2-40B4-BE49-F238E27FC236}">
                  <a16:creationId xmlns:a16="http://schemas.microsoft.com/office/drawing/2014/main" id="{00000000-0008-0000-0300-00006D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Proposal Preparation</a:t>
              </a:r>
            </a:p>
          </xdr:txBody>
        </xdr:sp>
        <xdr:cxnSp macro="">
          <xdr:nvCxnSpPr>
            <xdr:cNvPr id="622" name="Gerade Verbindung 126">
              <a:extLst>
                <a:ext uri="{FF2B5EF4-FFF2-40B4-BE49-F238E27FC236}">
                  <a16:creationId xmlns:a16="http://schemas.microsoft.com/office/drawing/2014/main" id="{00000000-0008-0000-0300-00006E02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623" name="Rectangle 28">
              <a:extLst>
                <a:ext uri="{FF2B5EF4-FFF2-40B4-BE49-F238E27FC236}">
                  <a16:creationId xmlns:a16="http://schemas.microsoft.com/office/drawing/2014/main" id="{00000000-0008-0000-0300-00006F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P$1076">
          <xdr:nvSpPr>
            <xdr:cNvPr id="624" name="Rectangle 27">
              <a:extLst>
                <a:ext uri="{FF2B5EF4-FFF2-40B4-BE49-F238E27FC236}">
                  <a16:creationId xmlns:a16="http://schemas.microsoft.com/office/drawing/2014/main" id="{00000000-0008-0000-0300-00007002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B9B47B8B-6022-4518-8C5D-398C138EB209}" type="TxLink">
                <a:rPr kumimoji="0" lang="en-US" altLang="de-DE" sz="1000" b="0" i="0" u="none" strike="noStrike" kern="0" cap="none" spc="0" normalizeH="0" baseline="0">
                  <a:ln>
                    <a:noFill/>
                  </a:ln>
                  <a:solidFill>
                    <a:srgbClr val="000000"/>
                  </a:solidFill>
                  <a:effectLst/>
                  <a:uLnTx/>
                  <a:uFillTx/>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37</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25" name="Rectangle 28">
              <a:extLst>
                <a:ext uri="{FF2B5EF4-FFF2-40B4-BE49-F238E27FC236}">
                  <a16:creationId xmlns:a16="http://schemas.microsoft.com/office/drawing/2014/main" id="{00000000-0008-0000-0300-000071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lang="en-US" altLang="de-DE" sz="933" kern="0">
                  <a:solidFill>
                    <a:srgbClr val="000000"/>
                  </a:solidFill>
                  <a:latin typeface="Frutiger LT Com 45 Light" panose="020B0303030504020204" pitchFamily="34" charset="0"/>
                </a:rPr>
                <a:t>Amount [€]</a:t>
              </a:r>
              <a:endPar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Prospection Summary'!$Q$1076">
          <xdr:nvSpPr>
            <xdr:cNvPr id="626" name="Rectangle 27">
              <a:extLst>
                <a:ext uri="{FF2B5EF4-FFF2-40B4-BE49-F238E27FC236}">
                  <a16:creationId xmlns:a16="http://schemas.microsoft.com/office/drawing/2014/main" id="{00000000-0008-0000-0300-000072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23FC3485-E1C9-4CC9-81E3-22CC6640A14E}" type="TxLink">
                <a:rPr lang="en-US" altLang="de-DE" sz="1000" b="0"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15.251.119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585" name="Gruppieren 584">
            <a:extLst>
              <a:ext uri="{FF2B5EF4-FFF2-40B4-BE49-F238E27FC236}">
                <a16:creationId xmlns:a16="http://schemas.microsoft.com/office/drawing/2014/main" id="{00000000-0008-0000-0300-000049020000}"/>
              </a:ext>
            </a:extLst>
          </xdr:cNvPr>
          <xdr:cNvGrpSpPr/>
        </xdr:nvGrpSpPr>
        <xdr:grpSpPr>
          <a:xfrm>
            <a:off x="1345564" y="3910254"/>
            <a:ext cx="1425501" cy="680410"/>
            <a:chOff x="6660231" y="2528607"/>
            <a:chExt cx="1221857" cy="583208"/>
          </a:xfrm>
        </xdr:grpSpPr>
        <xdr:sp macro="" textlink="">
          <xdr:nvSpPr>
            <xdr:cNvPr id="615" name="Rechteck 614">
              <a:extLst>
                <a:ext uri="{FF2B5EF4-FFF2-40B4-BE49-F238E27FC236}">
                  <a16:creationId xmlns:a16="http://schemas.microsoft.com/office/drawing/2014/main" id="{00000000-0008-0000-0300-000067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Running and Finished</a:t>
              </a:r>
            </a:p>
          </xdr:txBody>
        </xdr:sp>
        <xdr:cxnSp macro="">
          <xdr:nvCxnSpPr>
            <xdr:cNvPr id="616" name="Gerade Verbindung 126">
              <a:extLst>
                <a:ext uri="{FF2B5EF4-FFF2-40B4-BE49-F238E27FC236}">
                  <a16:creationId xmlns:a16="http://schemas.microsoft.com/office/drawing/2014/main" id="{00000000-0008-0000-0300-00006802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617" name="Rectangle 28">
              <a:extLst>
                <a:ext uri="{FF2B5EF4-FFF2-40B4-BE49-F238E27FC236}">
                  <a16:creationId xmlns:a16="http://schemas.microsoft.com/office/drawing/2014/main" id="{00000000-0008-0000-0300-000069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Projects</a:t>
              </a:r>
            </a:p>
          </xdr:txBody>
        </xdr:sp>
        <xdr:sp macro="" textlink="'Prospection Summary'!$P$1082">
          <xdr:nvSpPr>
            <xdr:cNvPr id="618" name="Rectangle 27">
              <a:extLst>
                <a:ext uri="{FF2B5EF4-FFF2-40B4-BE49-F238E27FC236}">
                  <a16:creationId xmlns:a16="http://schemas.microsoft.com/office/drawing/2014/main" id="{00000000-0008-0000-0300-00006A02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253F94AA-A353-406E-98D4-2204B7F45891}" type="TxLink">
                <a:rPr kumimoji="0" lang="en-US" altLang="de-DE" sz="1000" b="0" i="0" u="none" strike="noStrike" kern="0" cap="none" spc="0" normalizeH="0" baseline="0">
                  <a:ln>
                    <a:noFill/>
                  </a:ln>
                  <a:solidFill>
                    <a:srgbClr val="000000"/>
                  </a:solidFill>
                  <a:effectLst/>
                  <a:uLnTx/>
                  <a:uFillTx/>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11</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19" name="Rectangle 28">
              <a:extLst>
                <a:ext uri="{FF2B5EF4-FFF2-40B4-BE49-F238E27FC236}">
                  <a16:creationId xmlns:a16="http://schemas.microsoft.com/office/drawing/2014/main" id="{00000000-0008-0000-0300-00006B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Q$1082">
          <xdr:nvSpPr>
            <xdr:cNvPr id="620" name="Rectangle 27">
              <a:extLst>
                <a:ext uri="{FF2B5EF4-FFF2-40B4-BE49-F238E27FC236}">
                  <a16:creationId xmlns:a16="http://schemas.microsoft.com/office/drawing/2014/main" id="{00000000-0008-0000-0300-00006C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A71D81A4-393A-448E-AD1E-56D4D601B93F}" type="TxLink">
                <a:rPr lang="en-US" altLang="de-DE" sz="1000" b="0"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2.963.693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cxnSp macro="">
        <xdr:nvCxnSpPr>
          <xdr:cNvPr id="586" name="Gewinkelter Verbinder 585">
            <a:extLst>
              <a:ext uri="{FF2B5EF4-FFF2-40B4-BE49-F238E27FC236}">
                <a16:creationId xmlns:a16="http://schemas.microsoft.com/office/drawing/2014/main" id="{00000000-0008-0000-0300-00004A020000}"/>
              </a:ext>
            </a:extLst>
          </xdr:cNvPr>
          <xdr:cNvCxnSpPr/>
        </xdr:nvCxnSpPr>
        <xdr:spPr bwMode="auto">
          <a:xfrm rot="5400000">
            <a:off x="2152912" y="4255531"/>
            <a:ext cx="2340000" cy="504000"/>
          </a:xfrm>
          <a:prstGeom prst="bentConnector3">
            <a:avLst>
              <a:gd name="adj1" fmla="val 50000"/>
            </a:avLst>
          </a:prstGeom>
          <a:noFill/>
          <a:ln w="19050" cap="sq">
            <a:solidFill>
              <a:srgbClr val="FF0000"/>
            </a:solidFill>
            <a:prstDash val="sysDot"/>
            <a:round/>
            <a:headEnd/>
            <a:tailEnd type="triangle"/>
          </a:ln>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35921" dir="2700000" algn="ctr" rotWithShape="0">
                    <a:schemeClr val="bg2"/>
                  </a:outerShdw>
                </a:effectLst>
              </a14:hiddenEffects>
            </a:ext>
          </a:extLst>
        </xdr:spPr>
      </xdr:cxnSp>
      <xdr:grpSp>
        <xdr:nvGrpSpPr>
          <xdr:cNvPr id="587" name="Gruppieren 586">
            <a:extLst>
              <a:ext uri="{FF2B5EF4-FFF2-40B4-BE49-F238E27FC236}">
                <a16:creationId xmlns:a16="http://schemas.microsoft.com/office/drawing/2014/main" id="{00000000-0008-0000-0300-00004B020000}"/>
              </a:ext>
            </a:extLst>
          </xdr:cNvPr>
          <xdr:cNvGrpSpPr/>
        </xdr:nvGrpSpPr>
        <xdr:grpSpPr>
          <a:xfrm>
            <a:off x="1533104" y="5136103"/>
            <a:ext cx="1425501" cy="680410"/>
            <a:chOff x="6660231" y="2528607"/>
            <a:chExt cx="1221857" cy="583208"/>
          </a:xfrm>
        </xdr:grpSpPr>
        <xdr:sp macro="" textlink="">
          <xdr:nvSpPr>
            <xdr:cNvPr id="609" name="Rechteck 608">
              <a:extLst>
                <a:ext uri="{FF2B5EF4-FFF2-40B4-BE49-F238E27FC236}">
                  <a16:creationId xmlns:a16="http://schemas.microsoft.com/office/drawing/2014/main" id="{00000000-0008-0000-0300-000061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Declined</a:t>
              </a:r>
            </a:p>
          </xdr:txBody>
        </xdr:sp>
        <xdr:cxnSp macro="">
          <xdr:nvCxnSpPr>
            <xdr:cNvPr id="610" name="Gerade Verbindung 126">
              <a:extLst>
                <a:ext uri="{FF2B5EF4-FFF2-40B4-BE49-F238E27FC236}">
                  <a16:creationId xmlns:a16="http://schemas.microsoft.com/office/drawing/2014/main" id="{00000000-0008-0000-0300-00006202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611" name="Rectangle 28">
              <a:extLst>
                <a:ext uri="{FF2B5EF4-FFF2-40B4-BE49-F238E27FC236}">
                  <a16:creationId xmlns:a16="http://schemas.microsoft.com/office/drawing/2014/main" id="{00000000-0008-0000-0300-000063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P$1085">
          <xdr:nvSpPr>
            <xdr:cNvPr id="612" name="Rectangle 27">
              <a:extLst>
                <a:ext uri="{FF2B5EF4-FFF2-40B4-BE49-F238E27FC236}">
                  <a16:creationId xmlns:a16="http://schemas.microsoft.com/office/drawing/2014/main" id="{00000000-0008-0000-0300-00006402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1A262F55-97D3-432D-8829-91F2BAA59F77}" type="TxLink">
                <a:rPr lang="en-US" altLang="de-DE" sz="1000" b="0"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20</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13" name="Rectangle 28">
              <a:extLst>
                <a:ext uri="{FF2B5EF4-FFF2-40B4-BE49-F238E27FC236}">
                  <a16:creationId xmlns:a16="http://schemas.microsoft.com/office/drawing/2014/main" id="{00000000-0008-0000-0300-000065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Q$1085">
          <xdr:nvSpPr>
            <xdr:cNvPr id="614" name="Rectangle 27">
              <a:extLst>
                <a:ext uri="{FF2B5EF4-FFF2-40B4-BE49-F238E27FC236}">
                  <a16:creationId xmlns:a16="http://schemas.microsoft.com/office/drawing/2014/main" id="{00000000-0008-0000-0300-000066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B6DDF08E-7E7D-4BB5-8995-07193A6DC5FC}" type="TxLink">
                <a:rPr lang="en-US" altLang="de-DE" sz="1000" b="0"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8.435.256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588" name="Gruppieren 587">
            <a:extLst>
              <a:ext uri="{FF2B5EF4-FFF2-40B4-BE49-F238E27FC236}">
                <a16:creationId xmlns:a16="http://schemas.microsoft.com/office/drawing/2014/main" id="{00000000-0008-0000-0300-00004C020000}"/>
              </a:ext>
            </a:extLst>
          </xdr:cNvPr>
          <xdr:cNvGrpSpPr/>
        </xdr:nvGrpSpPr>
        <xdr:grpSpPr>
          <a:xfrm>
            <a:off x="1042375" y="2583646"/>
            <a:ext cx="1425505" cy="680411"/>
            <a:chOff x="6660228" y="2528607"/>
            <a:chExt cx="1221860" cy="583209"/>
          </a:xfrm>
        </xdr:grpSpPr>
        <xdr:sp macro="" textlink="">
          <xdr:nvSpPr>
            <xdr:cNvPr id="603" name="Rechteck 602">
              <a:extLst>
                <a:ext uri="{FF2B5EF4-FFF2-40B4-BE49-F238E27FC236}">
                  <a16:creationId xmlns:a16="http://schemas.microsoft.com/office/drawing/2014/main" id="{00000000-0008-0000-0300-00005B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0" i="0" u="none" strike="noStrike" kern="0" cap="none" spc="0" normalizeH="0" baseline="0">
                  <a:ln>
                    <a:noFill/>
                  </a:ln>
                  <a:solidFill>
                    <a:srgbClr val="000000"/>
                  </a:solidFill>
                  <a:effectLst/>
                  <a:uLnTx/>
                  <a:uFillTx/>
                  <a:latin typeface="Frutiger LT Com 45 Light" panose="020B0303030504020204" pitchFamily="34" charset="0"/>
                </a:rPr>
                <a:t>Proposals Submitted</a:t>
              </a:r>
            </a:p>
          </xdr:txBody>
        </xdr:sp>
        <xdr:cxnSp macro="">
          <xdr:nvCxnSpPr>
            <xdr:cNvPr id="604" name="Gerade Verbindung 126">
              <a:extLst>
                <a:ext uri="{FF2B5EF4-FFF2-40B4-BE49-F238E27FC236}">
                  <a16:creationId xmlns:a16="http://schemas.microsoft.com/office/drawing/2014/main" id="{00000000-0008-0000-0300-00005C020000}"/>
                </a:ext>
              </a:extLst>
            </xdr:cNvPr>
            <xdr:cNvCxnSpPr/>
          </xdr:nvCxnSpPr>
          <xdr:spPr bwMode="auto">
            <a:xfrm>
              <a:off x="6660232" y="3072697"/>
              <a:ext cx="814545"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605" name="Rectangle 28">
              <a:extLst>
                <a:ext uri="{FF2B5EF4-FFF2-40B4-BE49-F238E27FC236}">
                  <a16:creationId xmlns:a16="http://schemas.microsoft.com/office/drawing/2014/main" id="{00000000-0008-0000-0300-00005D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kumimoji="0" lang="en-US" altLang="de-DE" sz="933" b="0" i="0" u="none" strike="noStrike" kern="0" cap="none" spc="0" normalizeH="0" baseline="0">
                  <a:ln>
                    <a:noFill/>
                  </a:ln>
                  <a:solidFill>
                    <a:srgbClr val="000000"/>
                  </a:solidFill>
                  <a:effectLst/>
                  <a:uLnTx/>
                  <a:uFillTx/>
                  <a:latin typeface="Frutiger LT Com 45 Light" panose="020B0303030504020204" pitchFamily="34" charset="0"/>
                </a:rPr>
                <a:t>Proposals</a:t>
              </a:r>
            </a:p>
          </xdr:txBody>
        </xdr:sp>
        <xdr:sp macro="" textlink="'Prospection Summary'!$P$1079">
          <xdr:nvSpPr>
            <xdr:cNvPr id="606" name="Rectangle 27">
              <a:extLst>
                <a:ext uri="{FF2B5EF4-FFF2-40B4-BE49-F238E27FC236}">
                  <a16:creationId xmlns:a16="http://schemas.microsoft.com/office/drawing/2014/main" id="{00000000-0008-0000-0300-00005E020000}"/>
                </a:ext>
              </a:extLst>
            </xdr:cNvPr>
            <xdr:cNvSpPr>
              <a:spLocks noChangeArrowheads="1"/>
            </xdr:cNvSpPr>
          </xdr:nvSpPr>
          <xdr:spPr bwMode="auto">
            <a:xfrm>
              <a:off x="6660228" y="2986669"/>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B0422C3B-B42F-4CD4-9923-7C9FCBA0E46F}" type="TxLink">
                <a:rPr kumimoji="0" lang="en-US" altLang="de-DE" sz="1000" b="0" i="0" u="none" strike="noStrike" kern="0" cap="none" spc="0" normalizeH="0" baseline="0">
                  <a:ln>
                    <a:noFill/>
                  </a:ln>
                  <a:solidFill>
                    <a:srgbClr val="000000"/>
                  </a:solidFill>
                  <a:effectLst/>
                  <a:uLnTx/>
                  <a:uFillTx/>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36,5</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07" name="Rectangle 28">
              <a:extLst>
                <a:ext uri="{FF2B5EF4-FFF2-40B4-BE49-F238E27FC236}">
                  <a16:creationId xmlns:a16="http://schemas.microsoft.com/office/drawing/2014/main" id="{00000000-0008-0000-0300-00005F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kern="0">
                  <a:solidFill>
                    <a:srgbClr val="000000"/>
                  </a:solidFill>
                  <a:latin typeface="Frutiger LT Com 45 Light" panose="020B0303030504020204" pitchFamily="34" charset="0"/>
                </a:rPr>
                <a:t>Amount [€]</a:t>
              </a:r>
            </a:p>
          </xdr:txBody>
        </xdr:sp>
        <xdr:sp macro="" textlink="'Prospection Summary'!$Q$1079">
          <xdr:nvSpPr>
            <xdr:cNvPr id="608" name="Rectangle 27">
              <a:extLst>
                <a:ext uri="{FF2B5EF4-FFF2-40B4-BE49-F238E27FC236}">
                  <a16:creationId xmlns:a16="http://schemas.microsoft.com/office/drawing/2014/main" id="{00000000-0008-0000-0300-000060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9DAADD81-09D4-4578-8B76-8E934EC52797}" type="TxLink">
                <a:rPr lang="en-US" altLang="de-DE" sz="1000" b="0"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15.251.119 </a:t>
              </a:fld>
              <a:endParaRPr kumimoji="0" lang="en-US" altLang="de-DE" sz="1000" b="0"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589" name="Gruppieren 588">
            <a:extLst>
              <a:ext uri="{FF2B5EF4-FFF2-40B4-BE49-F238E27FC236}">
                <a16:creationId xmlns:a16="http://schemas.microsoft.com/office/drawing/2014/main" id="{00000000-0008-0000-0300-00004D020000}"/>
              </a:ext>
            </a:extLst>
          </xdr:cNvPr>
          <xdr:cNvGrpSpPr/>
        </xdr:nvGrpSpPr>
        <xdr:grpSpPr>
          <a:xfrm>
            <a:off x="355795" y="4558687"/>
            <a:ext cx="821702" cy="680410"/>
            <a:chOff x="6660231" y="2528607"/>
            <a:chExt cx="1221857" cy="583208"/>
          </a:xfrm>
        </xdr:grpSpPr>
        <xdr:sp macro="" textlink="">
          <xdr:nvSpPr>
            <xdr:cNvPr id="597" name="Rechteck 596">
              <a:extLst>
                <a:ext uri="{FF2B5EF4-FFF2-40B4-BE49-F238E27FC236}">
                  <a16:creationId xmlns:a16="http://schemas.microsoft.com/office/drawing/2014/main" id="{00000000-0008-0000-0300-000055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1" i="0" u="none" strike="noStrike" kern="0" cap="none" spc="0" normalizeH="0" baseline="0">
                  <a:ln>
                    <a:noFill/>
                  </a:ln>
                  <a:solidFill>
                    <a:srgbClr val="000000"/>
                  </a:solidFill>
                  <a:effectLst/>
                  <a:uLnTx/>
                  <a:uFillTx/>
                  <a:latin typeface="Frutiger LT Com 45 Light" panose="020B0303030504020204" pitchFamily="34" charset="0"/>
                </a:rPr>
                <a:t>Success rate</a:t>
              </a:r>
            </a:p>
          </xdr:txBody>
        </xdr:sp>
        <xdr:cxnSp macro="">
          <xdr:nvCxnSpPr>
            <xdr:cNvPr id="598" name="Gerade Verbindung 126">
              <a:extLst>
                <a:ext uri="{FF2B5EF4-FFF2-40B4-BE49-F238E27FC236}">
                  <a16:creationId xmlns:a16="http://schemas.microsoft.com/office/drawing/2014/main" id="{00000000-0008-0000-0300-000056020000}"/>
                </a:ext>
              </a:extLst>
            </xdr:cNvPr>
            <xdr:cNvCxnSpPr/>
          </xdr:nvCxnSpPr>
          <xdr:spPr bwMode="auto">
            <a:xfrm>
              <a:off x="6660232" y="3072697"/>
              <a:ext cx="814546"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599" name="Rectangle 28">
              <a:extLst>
                <a:ext uri="{FF2B5EF4-FFF2-40B4-BE49-F238E27FC236}">
                  <a16:creationId xmlns:a16="http://schemas.microsoft.com/office/drawing/2014/main" id="{00000000-0008-0000-0300-000057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lang="en-US" altLang="de-DE" sz="933" b="1" kern="0">
                  <a:solidFill>
                    <a:srgbClr val="000000"/>
                  </a:solidFill>
                  <a:latin typeface="Frutiger LT Com 45 Light" panose="020B0303030504020204" pitchFamily="34" charset="0"/>
                </a:rPr>
                <a:t>#</a:t>
              </a:r>
              <a:endParaRPr kumimoji="0" lang="en-US" altLang="de-DE" sz="933"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Prospection Summary'!$N$1082">
          <xdr:nvSpPr>
            <xdr:cNvPr id="600" name="Rectangle 27">
              <a:extLst>
                <a:ext uri="{FF2B5EF4-FFF2-40B4-BE49-F238E27FC236}">
                  <a16:creationId xmlns:a16="http://schemas.microsoft.com/office/drawing/2014/main" id="{00000000-0008-0000-0300-00005802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88CD3748-5AA1-4DCB-A267-DCC2BDD96E7A}" type="TxLink">
                <a:rPr lang="en-US" altLang="de-DE" sz="1000" b="1"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35%</a:t>
              </a:fld>
              <a:endPar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601" name="Rectangle 28">
              <a:extLst>
                <a:ext uri="{FF2B5EF4-FFF2-40B4-BE49-F238E27FC236}">
                  <a16:creationId xmlns:a16="http://schemas.microsoft.com/office/drawing/2014/main" id="{00000000-0008-0000-0300-000059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b="1" kern="0">
                  <a:solidFill>
                    <a:srgbClr val="000000"/>
                  </a:solidFill>
                  <a:latin typeface="Frutiger LT Com 45 Light" panose="020B0303030504020204" pitchFamily="34" charset="0"/>
                </a:rPr>
                <a:t>€</a:t>
              </a:r>
            </a:p>
          </xdr:txBody>
        </xdr:sp>
        <xdr:sp macro="" textlink="'Prospection Summary'!$O$1082">
          <xdr:nvSpPr>
            <xdr:cNvPr id="602" name="Rectangle 27">
              <a:extLst>
                <a:ext uri="{FF2B5EF4-FFF2-40B4-BE49-F238E27FC236}">
                  <a16:creationId xmlns:a16="http://schemas.microsoft.com/office/drawing/2014/main" id="{00000000-0008-0000-0300-00005A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C37E06BC-ED66-45E5-A11B-0FD802E0DCB7}" type="TxLink">
                <a:rPr kumimoji="0" lang="en-US" altLang="de-DE" sz="1000" b="1" i="0" u="none" strike="noStrike" kern="0" cap="none" spc="0" normalizeH="0" baseline="0">
                  <a:ln>
                    <a:noFill/>
                  </a:ln>
                  <a:solidFill>
                    <a:srgbClr val="000000"/>
                  </a:solidFill>
                  <a:effectLst/>
                  <a:uLnTx/>
                  <a:uFillTx/>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26%</a:t>
              </a:fld>
              <a:endPar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nvGrpSpPr>
          <xdr:cNvPr id="590" name="Gruppieren 589">
            <a:extLst>
              <a:ext uri="{FF2B5EF4-FFF2-40B4-BE49-F238E27FC236}">
                <a16:creationId xmlns:a16="http://schemas.microsoft.com/office/drawing/2014/main" id="{00000000-0008-0000-0300-00004E020000}"/>
              </a:ext>
            </a:extLst>
          </xdr:cNvPr>
          <xdr:cNvGrpSpPr/>
        </xdr:nvGrpSpPr>
        <xdr:grpSpPr>
          <a:xfrm>
            <a:off x="8708377" y="4558687"/>
            <a:ext cx="821702" cy="680410"/>
            <a:chOff x="6660231" y="2528607"/>
            <a:chExt cx="1221857" cy="583208"/>
          </a:xfrm>
        </xdr:grpSpPr>
        <xdr:sp macro="" textlink="">
          <xdr:nvSpPr>
            <xdr:cNvPr id="591" name="Rechteck 590">
              <a:extLst>
                <a:ext uri="{FF2B5EF4-FFF2-40B4-BE49-F238E27FC236}">
                  <a16:creationId xmlns:a16="http://schemas.microsoft.com/office/drawing/2014/main" id="{00000000-0008-0000-0300-00004F020000}"/>
                </a:ext>
              </a:extLst>
            </xdr:cNvPr>
            <xdr:cNvSpPr/>
          </xdr:nvSpPr>
          <xdr:spPr bwMode="auto">
            <a:xfrm>
              <a:off x="6660231" y="2528607"/>
              <a:ext cx="1221857" cy="304085"/>
            </a:xfrm>
            <a:prstGeom prst="rect">
              <a:avLst/>
            </a:prstGeom>
            <a:solidFill>
              <a:srgbClr val="FFFFFF">
                <a:lumMod val="85000"/>
              </a:srgbClr>
            </a:solidFill>
            <a:ln w="9525" cap="flat" cmpd="sng" algn="ctr">
              <a:solidFill>
                <a:srgbClr val="FFFFFF">
                  <a:lumMod val="85000"/>
                </a:srgbClr>
              </a:solidFill>
              <a:prstDash val="solid"/>
              <a:round/>
              <a:headEnd type="none" w="med" len="med"/>
              <a:tailEnd type="none" w="med" len="med"/>
            </a:ln>
            <a:effectLst/>
          </xdr:spPr>
          <xdr:txBody>
            <a:bodyPr vert="horz" wrap="square" lIns="0" tIns="0" rIns="0" bIns="0" numCol="1" rtlCol="0" anchor="ctr" anchorCtr="0" compatLnSpc="1">
              <a:prstTxWarp prst="textNoShape">
                <a:avLst/>
              </a:prstTxWarp>
            </a:bodyP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1065687" eaLnBrk="1" fontAlgn="auto" latinLnBrk="0" hangingPunct="1">
                <a:lnSpc>
                  <a:spcPct val="90000"/>
                </a:lnSpc>
                <a:spcBef>
                  <a:spcPts val="0"/>
                </a:spcBef>
                <a:spcAft>
                  <a:spcPts val="0"/>
                </a:spcAft>
                <a:buClr>
                  <a:srgbClr val="3E8F7D"/>
                </a:buClr>
                <a:buSzTx/>
                <a:buFontTx/>
                <a:buNone/>
                <a:tabLst/>
                <a:defRPr/>
              </a:pPr>
              <a:r>
                <a:rPr kumimoji="0" lang="en-US" sz="1167" b="1" i="0" u="none" strike="noStrike" kern="0" cap="none" spc="0" normalizeH="0" baseline="0">
                  <a:ln>
                    <a:noFill/>
                  </a:ln>
                  <a:solidFill>
                    <a:srgbClr val="000000"/>
                  </a:solidFill>
                  <a:effectLst/>
                  <a:uLnTx/>
                  <a:uFillTx/>
                  <a:latin typeface="Frutiger LT Com 45 Light" panose="020B0303030504020204" pitchFamily="34" charset="0"/>
                </a:rPr>
                <a:t>Success rate</a:t>
              </a:r>
            </a:p>
          </xdr:txBody>
        </xdr:sp>
        <xdr:cxnSp macro="">
          <xdr:nvCxnSpPr>
            <xdr:cNvPr id="592" name="Gerade Verbindung 126">
              <a:extLst>
                <a:ext uri="{FF2B5EF4-FFF2-40B4-BE49-F238E27FC236}">
                  <a16:creationId xmlns:a16="http://schemas.microsoft.com/office/drawing/2014/main" id="{00000000-0008-0000-0300-000050020000}"/>
                </a:ext>
              </a:extLst>
            </xdr:cNvPr>
            <xdr:cNvCxnSpPr/>
          </xdr:nvCxnSpPr>
          <xdr:spPr bwMode="auto">
            <a:xfrm>
              <a:off x="6660232" y="3072697"/>
              <a:ext cx="814546" cy="0"/>
            </a:xfrm>
            <a:prstGeom prst="line">
              <a:avLst/>
            </a:prstGeom>
            <a:solidFill>
              <a:srgbClr val="00AF93"/>
            </a:solidFill>
            <a:ln w="9525" cap="flat" cmpd="sng" algn="ctr">
              <a:solidFill>
                <a:srgbClr val="FFFFFF">
                  <a:lumMod val="85000"/>
                </a:srgb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cxnSp>
        <xdr:sp macro="" textlink="">
          <xdr:nvSpPr>
            <xdr:cNvPr id="593" name="Rectangle 28">
              <a:extLst>
                <a:ext uri="{FF2B5EF4-FFF2-40B4-BE49-F238E27FC236}">
                  <a16:creationId xmlns:a16="http://schemas.microsoft.com/office/drawing/2014/main" id="{00000000-0008-0000-0300-000051020000}"/>
                </a:ext>
              </a:extLst>
            </xdr:cNvPr>
            <xdr:cNvSpPr>
              <a:spLocks noChangeArrowheads="1"/>
            </xdr:cNvSpPr>
          </xdr:nvSpPr>
          <xdr:spPr bwMode="auto">
            <a:xfrm>
              <a:off x="6661142" y="2835411"/>
              <a:ext cx="627171" cy="15125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r>
                <a:rPr lang="en-US" altLang="de-DE" sz="933" b="1" kern="0">
                  <a:solidFill>
                    <a:srgbClr val="000000"/>
                  </a:solidFill>
                  <a:latin typeface="Frutiger LT Com 45 Light" panose="020B0303030504020204" pitchFamily="34" charset="0"/>
                </a:rPr>
                <a:t>#</a:t>
              </a:r>
              <a:endParaRPr kumimoji="0" lang="en-US" altLang="de-DE" sz="933"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Prospection Summary'!$U$1082">
          <xdr:nvSpPr>
            <xdr:cNvPr id="594" name="Rectangle 27">
              <a:extLst>
                <a:ext uri="{FF2B5EF4-FFF2-40B4-BE49-F238E27FC236}">
                  <a16:creationId xmlns:a16="http://schemas.microsoft.com/office/drawing/2014/main" id="{00000000-0008-0000-0300-000052020000}"/>
                </a:ext>
              </a:extLst>
            </xdr:cNvPr>
            <xdr:cNvSpPr>
              <a:spLocks noChangeArrowheads="1"/>
            </xdr:cNvSpPr>
          </xdr:nvSpPr>
          <xdr:spPr bwMode="auto">
            <a:xfrm>
              <a:off x="6660231" y="2986668"/>
              <a:ext cx="628082" cy="125147"/>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4B55ED52-DD08-4AD5-823B-DCAFC3779A5F}" type="TxLink">
                <a:rPr kumimoji="0" lang="en-US" altLang="de-DE" sz="1000" b="1" i="0" u="none" strike="noStrike" kern="0" cap="none" spc="0" normalizeH="0" baseline="0">
                  <a:ln>
                    <a:noFill/>
                  </a:ln>
                  <a:solidFill>
                    <a:srgbClr val="000000"/>
                  </a:solidFill>
                  <a:effectLst/>
                  <a:uLnTx/>
                  <a:uFillTx/>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43%</a:t>
              </a:fld>
              <a:endPar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endParaRPr>
            </a:p>
          </xdr:txBody>
        </xdr:sp>
        <xdr:sp macro="" textlink="">
          <xdr:nvSpPr>
            <xdr:cNvPr id="595" name="Rectangle 28">
              <a:extLst>
                <a:ext uri="{FF2B5EF4-FFF2-40B4-BE49-F238E27FC236}">
                  <a16:creationId xmlns:a16="http://schemas.microsoft.com/office/drawing/2014/main" id="{00000000-0008-0000-0300-000053020000}"/>
                </a:ext>
              </a:extLst>
            </xdr:cNvPr>
            <xdr:cNvSpPr>
              <a:spLocks noChangeArrowheads="1"/>
            </xdr:cNvSpPr>
          </xdr:nvSpPr>
          <xdr:spPr bwMode="auto">
            <a:xfrm>
              <a:off x="7288313" y="2835410"/>
              <a:ext cx="593775" cy="169951"/>
            </a:xfrm>
            <a:prstGeom prst="rect">
              <a:avLst/>
            </a:prstGeom>
            <a:solidFill>
              <a:srgbClr val="FFFFFF"/>
            </a:solidFill>
            <a:ln w="9525">
              <a:solidFill>
                <a:srgbClr val="FFFFFF">
                  <a:lumMod val="85000"/>
                </a:srgbClr>
              </a:solidFill>
              <a:miter lim="800000"/>
              <a:headEnd/>
              <a:tailEnd/>
            </a:ln>
            <a:effectLst/>
            <a:extLs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lvl="0" algn="ctr" eaLnBrk="1" fontAlgn="auto" hangingPunct="1">
                <a:spcBef>
                  <a:spcPct val="0"/>
                </a:spcBef>
                <a:spcAft>
                  <a:spcPts val="0"/>
                </a:spcAft>
                <a:defRPr/>
              </a:pPr>
              <a:r>
                <a:rPr lang="en-US" altLang="de-DE" sz="933" b="1" kern="0">
                  <a:solidFill>
                    <a:srgbClr val="000000"/>
                  </a:solidFill>
                  <a:latin typeface="Frutiger LT Com 45 Light" panose="020B0303030504020204" pitchFamily="34" charset="0"/>
                </a:rPr>
                <a:t>€</a:t>
              </a:r>
            </a:p>
          </xdr:txBody>
        </xdr:sp>
        <xdr:sp macro="" textlink="'Prospection Summary'!$V$1082">
          <xdr:nvSpPr>
            <xdr:cNvPr id="596" name="Rectangle 27">
              <a:extLst>
                <a:ext uri="{FF2B5EF4-FFF2-40B4-BE49-F238E27FC236}">
                  <a16:creationId xmlns:a16="http://schemas.microsoft.com/office/drawing/2014/main" id="{00000000-0008-0000-0300-000054020000}"/>
                </a:ext>
              </a:extLst>
            </xdr:cNvPr>
            <xdr:cNvSpPr>
              <a:spLocks noChangeArrowheads="1"/>
            </xdr:cNvSpPr>
          </xdr:nvSpPr>
          <xdr:spPr bwMode="auto">
            <a:xfrm>
              <a:off x="7288313" y="2997308"/>
              <a:ext cx="593775" cy="114507"/>
            </a:xfrm>
            <a:prstGeom prst="rect">
              <a:avLst/>
            </a:prstGeom>
            <a:solidFill>
              <a:srgbClr val="808080">
                <a:lumMod val="20000"/>
                <a:lumOff val="80000"/>
              </a:srgbClr>
            </a:solidFill>
            <a:ln w="9525">
              <a:solidFill>
                <a:srgbClr val="FFFFFF">
                  <a:lumMod val="85000"/>
                </a:srgbClr>
              </a:solidFill>
              <a:miter lim="800000"/>
              <a:headEnd/>
              <a:tailEnd/>
            </a:ln>
            <a:effectLst/>
          </xdr:spPr>
          <xdr:txBody>
            <a:bodyPr wrap="square" lIns="0" tIns="0" rIns="0" bIns="0" anchor="ctr"/>
            <a:lstStyle>
              <a:defPPr>
                <a:defRPr lang="de-DE"/>
              </a:defPPr>
              <a:lvl1pPr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1pPr>
              <a:lvl2pPr marL="4572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2pPr>
              <a:lvl3pPr marL="9144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3pPr>
              <a:lvl4pPr marL="13716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4pPr>
              <a:lvl5pPr marL="1828800" algn="l" rtl="0" fontAlgn="base">
                <a:spcBef>
                  <a:spcPct val="0"/>
                </a:spcBef>
                <a:spcAft>
                  <a:spcPct val="40000"/>
                </a:spcAft>
                <a:buFont typeface="Wingdings" pitchFamily="2" charset="2"/>
                <a:defRPr kern="1200">
                  <a:solidFill>
                    <a:schemeClr val="tx1"/>
                  </a:solidFill>
                  <a:latin typeface="Frutiger LT Com 55 Roman" pitchFamily="34" charset="0"/>
                  <a:ea typeface="+mn-ea"/>
                  <a:cs typeface="+mn-cs"/>
                </a:defRPr>
              </a:lvl5pPr>
              <a:lvl6pPr marL="2286000" algn="l" defTabSz="914400" rtl="0" eaLnBrk="1" latinLnBrk="0" hangingPunct="1">
                <a:defRPr kern="1200">
                  <a:solidFill>
                    <a:schemeClr val="tx1"/>
                  </a:solidFill>
                  <a:latin typeface="Frutiger LT Com 55 Roman" pitchFamily="34" charset="0"/>
                  <a:ea typeface="+mn-ea"/>
                  <a:cs typeface="+mn-cs"/>
                </a:defRPr>
              </a:lvl6pPr>
              <a:lvl7pPr marL="2743200" algn="l" defTabSz="914400" rtl="0" eaLnBrk="1" latinLnBrk="0" hangingPunct="1">
                <a:defRPr kern="1200">
                  <a:solidFill>
                    <a:schemeClr val="tx1"/>
                  </a:solidFill>
                  <a:latin typeface="Frutiger LT Com 55 Roman" pitchFamily="34" charset="0"/>
                  <a:ea typeface="+mn-ea"/>
                  <a:cs typeface="+mn-cs"/>
                </a:defRPr>
              </a:lvl7pPr>
              <a:lvl8pPr marL="3200400" algn="l" defTabSz="914400" rtl="0" eaLnBrk="1" latinLnBrk="0" hangingPunct="1">
                <a:defRPr kern="1200">
                  <a:solidFill>
                    <a:schemeClr val="tx1"/>
                  </a:solidFill>
                  <a:latin typeface="Frutiger LT Com 55 Roman" pitchFamily="34" charset="0"/>
                  <a:ea typeface="+mn-ea"/>
                  <a:cs typeface="+mn-cs"/>
                </a:defRPr>
              </a:lvl8pPr>
              <a:lvl9pPr marL="3657600" algn="l" defTabSz="914400" rtl="0" eaLnBrk="1" latinLnBrk="0" hangingPunct="1">
                <a:defRPr kern="1200">
                  <a:solidFill>
                    <a:schemeClr val="tx1"/>
                  </a:solidFill>
                  <a:latin typeface="Frutiger LT Com 55 Roman" pitchFamily="34" charset="0"/>
                  <a:ea typeface="+mn-ea"/>
                  <a:cs typeface="+mn-cs"/>
                </a:defRPr>
              </a:lvl9pPr>
            </a:lstStyle>
            <a:p>
              <a:pPr marL="0" marR="0" lvl="0" indent="0" algn="ctr" defTabSz="793750" eaLnBrk="1" fontAlgn="auto" latinLnBrk="0" hangingPunct="1">
                <a:lnSpc>
                  <a:spcPct val="100000"/>
                </a:lnSpc>
                <a:spcBef>
                  <a:spcPct val="0"/>
                </a:spcBef>
                <a:spcAft>
                  <a:spcPts val="0"/>
                </a:spcAft>
                <a:buClrTx/>
                <a:buSzTx/>
                <a:buFontTx/>
                <a:buNone/>
                <a:tabLst/>
                <a:defRPr/>
              </a:pPr>
              <a:fld id="{C6CE68D6-89FB-41ED-AF4B-CA58070BF110}" type="TxLink">
                <a:rPr lang="en-US" altLang="de-DE" sz="1000" b="1" i="0" u="none" strike="noStrike" kern="0">
                  <a:solidFill>
                    <a:srgbClr val="000000"/>
                  </a:solidFill>
                  <a:latin typeface="Frutiger LT Com 45 Light"/>
                </a:rPr>
                <a:pPr marL="0" marR="0" lvl="0" indent="0" algn="ctr" defTabSz="793750" eaLnBrk="1" fontAlgn="auto" latinLnBrk="0" hangingPunct="1">
                  <a:lnSpc>
                    <a:spcPct val="100000"/>
                  </a:lnSpc>
                  <a:spcBef>
                    <a:spcPct val="0"/>
                  </a:spcBef>
                  <a:spcAft>
                    <a:spcPts val="0"/>
                  </a:spcAft>
                  <a:buClrTx/>
                  <a:buSzTx/>
                  <a:buFontTx/>
                  <a:buNone/>
                  <a:tabLst/>
                  <a:defRPr/>
                </a:pPr>
                <a:t>10%</a:t>
              </a:fld>
              <a:endParaRPr kumimoji="0" lang="en-US" altLang="de-DE" sz="1000" b="1" i="0" u="none" strike="noStrike" kern="0" cap="none" spc="0" normalizeH="0" baseline="0">
                <a:ln>
                  <a:noFill/>
                </a:ln>
                <a:solidFill>
                  <a:srgbClr val="000000"/>
                </a:solidFill>
                <a:effectLst/>
                <a:uLnTx/>
                <a:uFillTx/>
                <a:latin typeface="Frutiger LT Com 45 Light" panose="020B0303030504020204" pitchFamily="34" charset="0"/>
              </a:endParaRPr>
            </a:p>
          </xdr:txBody>
        </xdr:sp>
      </xdr:grpSp>
    </xdr:grpSp>
    <xdr:clientData/>
  </xdr:twoCellAnchor>
  <xdr:twoCellAnchor>
    <xdr:from>
      <xdr:col>1</xdr:col>
      <xdr:colOff>0</xdr:colOff>
      <xdr:row>60</xdr:row>
      <xdr:rowOff>0</xdr:rowOff>
    </xdr:from>
    <xdr:to>
      <xdr:col>3</xdr:col>
      <xdr:colOff>208138</xdr:colOff>
      <xdr:row>61</xdr:row>
      <xdr:rowOff>21791</xdr:rowOff>
    </xdr:to>
    <xdr:sp macro="" textlink="">
      <xdr:nvSpPr>
        <xdr:cNvPr id="668" name="Textfeld 4">
          <a:extLst>
            <a:ext uri="{FF2B5EF4-FFF2-40B4-BE49-F238E27FC236}">
              <a16:creationId xmlns:a16="http://schemas.microsoft.com/office/drawing/2014/main" id="{00000000-0008-0000-0300-00009C020000}"/>
            </a:ext>
          </a:extLst>
        </xdr:cNvPr>
        <xdr:cNvSpPr txBox="1"/>
      </xdr:nvSpPr>
      <xdr:spPr>
        <a:xfrm>
          <a:off x="762000" y="11430000"/>
          <a:ext cx="1732138" cy="212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PUBLIC FUNDED</a:t>
          </a:r>
        </a:p>
      </xdr:txBody>
    </xdr:sp>
    <xdr:clientData/>
  </xdr:twoCellAnchor>
  <xdr:twoCellAnchor>
    <xdr:from>
      <xdr:col>17</xdr:col>
      <xdr:colOff>678755</xdr:colOff>
      <xdr:row>17</xdr:row>
      <xdr:rowOff>161925</xdr:rowOff>
    </xdr:from>
    <xdr:to>
      <xdr:col>19</xdr:col>
      <xdr:colOff>1883606</xdr:colOff>
      <xdr:row>35</xdr:row>
      <xdr:rowOff>114300</xdr:rowOff>
    </xdr:to>
    <xdr:graphicFrame macro="">
      <xdr:nvGraphicFramePr>
        <xdr:cNvPr id="113" name="Diagramm 112">
          <a:extLst>
            <a:ext uri="{FF2B5EF4-FFF2-40B4-BE49-F238E27FC236}">
              <a16:creationId xmlns:a16="http://schemas.microsoft.com/office/drawing/2014/main" id="{00000000-0008-0000-0300-00007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437030</xdr:colOff>
      <xdr:row>17</xdr:row>
      <xdr:rowOff>163605</xdr:rowOff>
    </xdr:from>
    <xdr:to>
      <xdr:col>23</xdr:col>
      <xdr:colOff>11206</xdr:colOff>
      <xdr:row>35</xdr:row>
      <xdr:rowOff>100853</xdr:rowOff>
    </xdr:to>
    <xdr:graphicFrame macro="">
      <xdr:nvGraphicFramePr>
        <xdr:cNvPr id="115" name="Diagramm 114">
          <a:extLst>
            <a:ext uri="{FF2B5EF4-FFF2-40B4-BE49-F238E27FC236}">
              <a16:creationId xmlns:a16="http://schemas.microsoft.com/office/drawing/2014/main" id="{00000000-0008-0000-0300-00007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438149</xdr:colOff>
      <xdr:row>17</xdr:row>
      <xdr:rowOff>171450</xdr:rowOff>
    </xdr:from>
    <xdr:to>
      <xdr:col>26</xdr:col>
      <xdr:colOff>414618</xdr:colOff>
      <xdr:row>35</xdr:row>
      <xdr:rowOff>104776</xdr:rowOff>
    </xdr:to>
    <xdr:graphicFrame macro="">
      <xdr:nvGraphicFramePr>
        <xdr:cNvPr id="116" name="Diagramm 115">
          <a:extLst>
            <a:ext uri="{FF2B5EF4-FFF2-40B4-BE49-F238E27FC236}">
              <a16:creationId xmlns:a16="http://schemas.microsoft.com/office/drawing/2014/main" id="{00000000-0008-0000-0300-00007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428625</xdr:colOff>
          <xdr:row>0</xdr:row>
          <xdr:rowOff>66675</xdr:rowOff>
        </xdr:from>
        <xdr:to>
          <xdr:col>1</xdr:col>
          <xdr:colOff>1933575</xdr:colOff>
          <xdr:row>3</xdr:row>
          <xdr:rowOff>28575</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de-DE" sz="1600" b="0" i="0" u="none" strike="noStrike" baseline="0">
                  <a:solidFill>
                    <a:srgbClr val="000000"/>
                  </a:solidFill>
                  <a:latin typeface="Frutiger LT Com 45 Light"/>
                </a:rPr>
                <a:t>Update Probability</a:t>
              </a:r>
              <a:r>
                <a:rPr lang="de-DE" sz="1600" b="0" i="0" u="none" strike="noStrike" baseline="0">
                  <a:solidFill>
                    <a:srgbClr val="000000"/>
                  </a:solidFill>
                  <a:latin typeface="Frutiger 45 Light"/>
                </a:rPr>
                <a:t> of Success (IPK)</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mingos, David Carlos" refreshedDate="44727.581724074073" createdVersion="6" refreshedVersion="6" minRefreshableVersion="3" recordCount="199" xr:uid="{00000000-000A-0000-FFFF-FFFF00000000}">
  <cacheSource type="worksheet">
    <worksheetSource name="Tabelle4"/>
  </cacheSource>
  <cacheFields count="118">
    <cacheField name="Project Name" numFmtId="0">
      <sharedItems containsBlank="1" containsMixedTypes="1" containsNumber="1" containsInteger="1" minValue="11401900" maxValue="11401900" count="200">
        <s v="Training in Innovation Management and Ecosystems"/>
        <s v="H2GO"/>
        <s v="AMOBI"/>
        <m/>
        <s v="Lume/EngrenaITA"/>
        <s v="AgriGear - AGCO"/>
        <s v="SmarTool"/>
        <s v="DESCAAL"/>
        <s v="Cadeias Reduzidas"/>
        <s v="Star-SU - Recalcador"/>
        <s v="Superfinishing - PIPE"/>
        <s v="DWIH Workshop Manufacturing Technologies_Second Edition"/>
        <s v="AM case study for UNIPAC"/>
        <s v="FSW of Steels"/>
        <s v="Brewery 4.0"/>
        <s v="Business Model Development for CEPEL"/>
        <s v="Strategy for Operations 4.0 - Blueprint Plant"/>
        <s v="CAPTAER"/>
        <s v="ENGRECON Caminhão Elétrico"/>
        <s v="ABS Queima de Retífica"/>
        <s v="CTG Bancada"/>
        <s v="EATON Rolamentos"/>
        <s v="Azul (ITA Challenge 2022)"/>
        <s v="Improved Machinability Steel"/>
        <s v="FNDCT"/>
        <s v="Nb Tool"/>
        <s v="AGCO Structural Analysis"/>
        <s v="DRS: AI"/>
        <s v="AgriGear"/>
        <s v="LIMPA"/>
        <s v="Azul (ITA Challenge 2021)"/>
        <s v="ERC-AMFOS"/>
        <s v="ACE4.0"/>
        <s v="Lemasa"/>
        <s v="STEPS Ph2"/>
        <s v="Stackpole - SMC"/>
        <s v="Maxion - Grafeno para carcaça"/>
        <s v="Superfinishing"/>
        <s v="BiobasedPharm "/>
        <s v="AGILE (AM GEARS PH2)"/>
        <s v="Laser hybrid welding training"/>
        <s v="Robot Painting"/>
        <s v="Co-Creation and Roadmap i4.0"/>
        <s v="IGM AEA"/>
        <s v="Proposta Estrutural de Empreendorismo Rota 2030"/>
        <s v="Klabin_01"/>
        <s v="MAM-Brasil "/>
        <s v="Benchmark of Brazilian Die and Mold Industry"/>
        <s v="FURNAS E++"/>
        <s v="Training Industrie 4.0"/>
        <s v="3D Surface Analyzer"/>
        <s v="3SIP"/>
        <s v="ACROSS"/>
        <s v="Additive Manufacturing for repair of parts for FORD"/>
        <s v="ADRIMA - APPLICATION-DRIVEN MATERIAL DEVELOPMENT FOR ADDITIVE MANUFACTURING"/>
        <s v="Advanced Manufacturing Demonstrator"/>
        <s v="Aeroscan"/>
        <s v="AGCO "/>
        <s v="AGE-02"/>
        <s v="AKAER_01"/>
        <s v="AKTION 3D"/>
        <s v="FERA (Rota 2030)"/>
        <s v="AM GEARS"/>
        <s v="AMU"/>
        <s v="Application of Brazilian underutilized non-food oil for industrial applications"/>
        <s v="Avansu"/>
        <s v="Azul (ITA Challenge 2020)"/>
        <s v="Benchmarking for qualification for HSM machining"/>
        <s v="Best Country Sourcing and Sales Strategies for Bovenau"/>
        <s v="Bosch"/>
        <s v="Business Model Development for Ciser"/>
        <s v="CARE"/>
        <s v="Qualification of Brazilian Die and Mold Industry"/>
        <s v="CFRP Machining for Maxion"/>
        <s v="CNH_01"/>
        <s v="CoFreeAM (FTI H2020)"/>
        <s v="CONSITEC"/>
        <s v="CORNET - Natural biocides from vegetable-based oils for cosmetic formulations"/>
        <s v="CPE "/>
        <s v="DAARS"/>
        <s v="DECOLAB"/>
        <s v="DEMESTAA"/>
        <s v="Design for Residual Stress (DRS) on Gears Manufacturing"/>
        <s v="Development of NbC Cutting Tools 1st amendment"/>
        <s v="Development of Roadmap for CFRP-Machining"/>
        <s v="DLC Gear Efficiency"/>
        <s v="DWIH Workshop Manufacturing Technologies"/>
        <s v="E_Works- Azul"/>
        <s v="EBFVAZ_01"/>
        <s v="Efficient heat treatment methods for Ti6AI4V parts produced by Laser Powder Bed Fusion (L-PBF)"/>
        <s v="Eolic_02"/>
        <s v="ESCalate SENAI - Excellence, Sustainability, Cooperation"/>
        <s v="Establishment of an Advanced Manufacturing Center at ITA"/>
        <s v="e-Sys"/>
        <s v="Evaluation of Human Factors in remote tower environment"/>
        <s v="E-Works"/>
        <s v="E-Works 2"/>
        <s v="FAPESP _ ITA_ UFSC"/>
        <s v="DFG/CAPES DRS phase 2"/>
        <s v="Fapesp IA center"/>
        <s v="FAPESP NPOP"/>
        <s v="Fapesp SPRINT"/>
        <s v="FCA"/>
        <s v="FCA-Curvas S-n"/>
        <s v="FERA"/>
        <s v="FIAT_01"/>
        <s v="FIAT_02"/>
        <s v="Flight Simulator SIVOR 02"/>
        <s v="Ford"/>
        <s v="Fras-Le_01"/>
        <s v="Fras-Le_02"/>
        <s v="Fras-Le_03"/>
        <s v="SRE-2 "/>
        <s v="Gerdau Dura Roll"/>
        <s v="GRU"/>
        <s v="HMI_HUFLab"/>
        <s v="Immersion Program in Industrie 4.0 for AEA"/>
        <s v="Implementation of an Intellectual Capital Statement (ICS) at SENAI-ES"/>
        <s v="Injection molding predictive maintenance"/>
        <s v="Innovation Benchmarking for Ciser"/>
        <s v="Innovation Strategy for TUPY"/>
        <s v="Inova Akaer"/>
        <s v="International Workshop on Industrie 4.0"/>
        <s v="IoT Gas Sensing"/>
        <s v="ITA Challenge - Rota 2030 "/>
        <s v="L-PBF AISI 4140"/>
        <s v="Machinability tests of bainitic steels (Gerdau)"/>
        <s v="MAESTRA - AM Cell for Titanium Aeronautical Structural Parts"/>
        <s v="MAFI-Hybrid Manufacturing for Tool Makers"/>
        <s v="Masterplan Digitalization in Mogi das Cruzes"/>
        <s v="Masterplan for the city of Sao José dos Campos"/>
        <s v="Maxiforja"/>
        <s v="Mercedes Benz_01"/>
        <s v="MERITOR"/>
        <s v="MISCAE"/>
        <s v="MWM_01"/>
        <s v="Nachhaltige Schmierstoffe für die industrielle Verwendung NATIVE"/>
        <s v="NatAM – Niob-Materials for Additive Manufacturing"/>
        <s v="New Die Adjustment Concept Fully Automatic and New Die Tryout Concept"/>
        <s v="Non destructive inspection of SLM parts"/>
        <s v="OCR"/>
        <s v="Optimization of CFRP-Machining at the Production Site in Évora (IPK)"/>
        <s v="Optimization of machine setup to increase process robustness and efficiency of Laser Powder Bed Fusion (L-PBF)"/>
        <s v="OptimWeld - ZF"/>
        <s v="OSG"/>
        <s v="Petrobras_Training HLAW"/>
        <s v="PHOENIX+"/>
        <s v="Planning and optimization of blade manufacturing"/>
        <s v="Post-Processing of Additive Manufacturing Parts for Oil &amp; Gas"/>
        <s v="Production Process Platform for the Brazilian Footwear Industry"/>
        <s v="PSA_01"/>
        <s v="Reduction of burr formations during PPS injection molding"/>
        <s v="REPEMA/Collaborative robotics"/>
        <s v="REVVAMP"/>
        <s v="Rio Energy_01"/>
        <s v="Sanofi_02"/>
        <s v="Scenarios of future transportation system in Brazil"/>
        <s v="SECONVE"/>
        <s v="SENAI-MG"/>
        <s v="Shell_01"/>
        <s v="Sivor (Campanha GVT)"/>
        <s v="Smart Materials "/>
        <s v="SOLLUS"/>
        <s v="Specialization in Advanced Industry ITA"/>
        <s v="Stackpole-Curvas S-n"/>
        <s v="Star-SU "/>
        <s v="STEPS"/>
        <s v="Strategic Maturity Evaluation at IPT"/>
        <s v="Strategic Planning CODEMGE"/>
        <s v="Strategic Planning for PTI"/>
        <s v="Strategic Planning for SENAI-ES"/>
        <s v="Strategic Planning of CITI"/>
        <s v="TDO 4.0 Development of the Forming Process - Phase II"/>
        <s v="TDO 4.0 Development of the Forming Process - Phase III"/>
        <s v="To be defined_01"/>
        <s v="To be defined_02"/>
        <s v="Training i4.0 for Braskem in DE and BR"/>
        <s v="Training i4.0 in DE Textile"/>
        <s v="Training in i4.0 for Brazilian Industry (with ITA, VDI, AHK)"/>
        <s v="Training in i4.0 for the Textile Industry - SENAI"/>
        <s v="Training Industry 4.0 AEA [DE]"/>
        <s v="TRANSPAAR"/>
        <s v="Turning Analyses with protoype-based Niobium Carbide Tools"/>
        <s v="Underwater tool"/>
        <s v="VALE-MG"/>
        <s v="Virtual reality and augmented reality in Air Traffic Control"/>
        <s v="Volkswagen_RJ"/>
        <s v="Volkswagen_SP"/>
        <s v="Volvo_01"/>
        <s v="VVIDA"/>
        <s v="VVIDA - INFRA"/>
        <s v="Design for thermal power (DFTP)"/>
        <s v="Weldability of Advanced HSS for Body-in-White Manufacturing "/>
        <s v="Workshop: Digitization and virtualization of product development and production"/>
        <s v="Workshop: Neue Fraunhofer Digitalisierungs- &amp; Rekonstruktionstechnologien zur Wiederherstellung zerstörter &amp; beschädigter Kulturgüter"/>
        <s v="ZANINI_01"/>
        <s v="ZEN_01"/>
        <s v="EletroRedutor"/>
        <s v="ZIM-Xploraytion"/>
        <n v="11401900" u="1"/>
      </sharedItems>
    </cacheField>
    <cacheField name="Project Description" numFmtId="0">
      <sharedItems containsBlank="1" longText="1"/>
    </cacheField>
    <cacheField name="Main Customer/Partner" numFmtId="0">
      <sharedItems containsBlank="1" count="143">
        <s v="ITA"/>
        <s v="CIMATEC"/>
        <s v="WEG"/>
        <s v="Volkswagen"/>
        <s v="Lume"/>
        <s v="AGCO "/>
        <s v="ISI Manufacturing Systems"/>
        <s v="R2030"/>
        <s v="Villares e ZF"/>
        <s v="Star-SU "/>
        <s v="Eigendauer"/>
        <s v="DWIH"/>
        <s v="UNIPAC"/>
        <s v="IPT"/>
        <s v="IFSP Sertaozinho"/>
        <s v="CEPEL"/>
        <s v="BUNGE"/>
        <s v="Embraer"/>
        <s v="ENGRECON"/>
        <s v="ABS"/>
        <s v="CTG"/>
        <s v="EATON"/>
        <s v="Azul"/>
        <s v="GERDAU"/>
        <s v="Finep"/>
        <s v="STELLANTIS / AETHRA / BR Matozinhos / PUC MG / SENAI CIT MG"/>
        <m/>
        <s v="STARA/ WEG/ Gerdau/ CIP/ Zen/ ISI Laser"/>
        <s v="Gerdau / Eigendauer / "/>
        <s v="Ambev"/>
        <s v="Lemasa"/>
        <s v="Stackpole/ Eaton/ Brasken"/>
        <s v="Stackpole"/>
        <s v="Maxion"/>
        <s v="Engrecon /Rösler Otec / Alcar / Kapp / Eaton"/>
        <s v="ALKIMAT/Eingendauer/Eaton /WZL / FVA"/>
        <s v="Powermig"/>
        <s v="CIM UNIFESP"/>
        <s v="Ciser"/>
        <s v="IGM / AEA"/>
        <s v="Klabin"/>
        <s v="Alkimat"/>
        <s v="Furnas"/>
        <s v="Bayer Crop Science"/>
        <s v="Botspot"/>
        <s v="KI/KTH/USP"/>
        <s v="Ford"/>
        <s v="H2020"/>
        <s v="MDIC"/>
        <s v="Petrobras/ANP"/>
        <s v="AKAER"/>
        <s v="Raab Photonik_x000a_DueLaser"/>
        <s v="GERDAU/ BRASKEM/ ALKIMAT"/>
        <s v="ArcelorMittal"/>
        <s v="BMBF"/>
        <s v="Petrofer"/>
        <s v="Bovenau"/>
        <s v="Bosch"/>
        <s v="FAPESP"/>
        <s v="CNH"/>
        <s v="Natura"/>
        <s v="CBMM"/>
        <s v="SENAI-MG"/>
        <s v="EBFVAZ"/>
        <s v="Eolic Future"/>
        <s v="SENAI - DN"/>
        <s v="RANDON"/>
        <s v="ICEA/DECEA"/>
        <s v="EMBRAER / Boeing Brasil"/>
        <s v="DFG/CAPES"/>
        <s v="IPT/USP/UNESP/FACENS/UTFPR"/>
        <s v="FAPESP, CBMM"/>
        <s v="FCA"/>
        <s v="Zanini Renk/Hoganas"/>
        <s v="FIAT"/>
        <s v="Fras-Le"/>
        <s v="SAAB/RISE/_x000a_FMV/IPEV/_x000a_IAOp"/>
        <s v="AEA"/>
        <s v="SENAI-ES"/>
        <s v="Tupy Foundry"/>
        <s v="AKAER/FINEP"/>
        <s v="CNT"/>
        <s v="BNDES"/>
        <s v="Gerdau and Atalla"/>
        <s v="Secretary SJC"/>
        <s v="Mercedes Benz"/>
        <s v="Meritor"/>
        <s v="MWM"/>
        <s v="GM"/>
        <s v="ZF"/>
        <s v="OSG"/>
        <s v="Petrobras"/>
        <s v="IBB"/>
        <s v="TGM Turbinas"/>
        <s v="Abicalcados"/>
        <s v="PSA"/>
        <s v="Sabó"/>
        <s v="UFABC"/>
        <s v="Rio Energy"/>
        <s v="Sanofi "/>
        <s v="SAMARCO/Senai MG"/>
        <s v="Shell"/>
        <s v="EATON, USP, SEW, EATON, GERDAU, CBMM"/>
        <s v="EATON/GERDAU/BRASKEM/ STACKPOLE"/>
        <s v="CODEMGE"/>
        <s v="PTI"/>
        <s v="Secretariat of Economic Development SP"/>
        <s v="Renault"/>
        <s v="Vital force"/>
        <s v="Braskem"/>
        <s v="SENAI"/>
        <s v="AHK"/>
        <s v="SENAI - RS"/>
        <s v="VALE MG"/>
        <s v="Volkswagen - Resende/RJ"/>
        <s v="Volkswagen - São Bernardo do Campo/SP"/>
        <s v="Volvo "/>
        <s v="WEG CESTARI / Subiter"/>
        <s v="Gerda-Henkel Stiftung"/>
        <s v="Zanini Renk"/>
        <s v="Zen"/>
        <s v="Xploraytion"/>
        <s v="Mercedes Bez" u="1"/>
        <s v="German Consulate RJ" u="1"/>
        <s v="GMB" u="1"/>
        <s v="GERDAU/BRASKEM" u="1"/>
        <s v="AKAER_01" u="1"/>
        <s v="CONCITEC" u="1"/>
        <s v="DFG" u="1"/>
        <s v="City of Mogi das Cruzes" u="1"/>
        <s v="CNPq" u="1"/>
        <s v="SOLLUS" u="1"/>
        <s v="EMBRAER/Boeing Brasil" u="1"/>
        <s v="SAAB" u="1"/>
        <s v="BR-COL" u="1"/>
        <s v="GOL" u="1"/>
        <s v="WEG CESTARI" u="1"/>
        <s v="SEW" u="1"/>
        <s v="def" u="1"/>
        <s v="abc" u="1"/>
        <s v="CAPES" u="1"/>
        <s v="Petrobras (Revap)" u="1"/>
        <s v="BRASKEM/ ALKIMAT / Eingendauer / Eaton / WZL / FVA / Höganäs" u="1"/>
      </sharedItems>
    </cacheField>
    <cacheField name="Industrial Sector" numFmtId="0">
      <sharedItems containsBlank="1" count="9">
        <s v="Other"/>
        <s v="Energy"/>
        <s v="Automotive"/>
        <s v="Metalworks"/>
        <s v="Agribusiness"/>
        <s v="Aerospace"/>
        <m/>
        <s v="Chemical"/>
        <s v="Oil &amp; Gas"/>
      </sharedItems>
    </cacheField>
    <cacheField name="Number of Related BR Corporations" numFmtId="0">
      <sharedItems containsString="0" containsBlank="1" containsNumber="1" containsInteger="1" minValue="0" maxValue="30"/>
    </cacheField>
    <cacheField name="Number of Related Foreign Corporations" numFmtId="0">
      <sharedItems containsString="0" containsBlank="1" containsNumber="1" containsInteger="1" minValue="0" maxValue="8"/>
    </cacheField>
    <cacheField name="FPC@ITA Executors" numFmtId="0">
      <sharedItems containsBlank="1" count="4">
        <s v="IPK"/>
        <s v="IPK &amp; ITA"/>
        <s v="ITA"/>
        <m/>
      </sharedItems>
    </cacheField>
    <cacheField name="Project Funding Classification" numFmtId="0">
      <sharedItems containsBlank="1" count="3">
        <m/>
        <s v="Public Funding"/>
        <s v="Industry"/>
      </sharedItems>
    </cacheField>
    <cacheField name="Comments" numFmtId="0">
      <sharedItems containsBlank="1"/>
    </cacheField>
    <cacheField name="Prospection Start Date" numFmtId="14">
      <sharedItems containsDate="1" containsBlank="1" containsMixedTypes="1" minDate="2016-01-01T00:00:00" maxDate="2022-05-12T00:00:00"/>
    </cacheField>
    <cacheField name="Status CRM IPK" numFmtId="0">
      <sharedItems containsBlank="1" count="14">
        <s v="03. Project Proposal Preparation"/>
        <s v="10. Proposals Declined"/>
        <s v="01. Early Project Acquisition"/>
        <s v="04. Proposals Submitted"/>
        <s v="07. Projects Running"/>
        <s v="02. Stand-by"/>
        <s v="09. Projects Finished"/>
        <m u="1"/>
        <s v="3. Proposal Submitted" u="1"/>
        <s v="1. Early Project Acquisition" u="1"/>
        <s v="2. Project Proposal Preparation" u="1"/>
        <s v="4. Project Approved and Running" u="1"/>
        <s v="6. Proposal Declined" u="1"/>
        <s v="5. Project Finished" u="1"/>
      </sharedItems>
    </cacheField>
    <cacheField name="Status ITA" numFmtId="0">
      <sharedItems containsBlank="1"/>
    </cacheField>
    <cacheField name="EUR exchange rate against BRL" numFmtId="172">
      <sharedItems containsString="0" containsBlank="1" containsNumber="1" minValue="4.3099999999999996" maxValue="6.72"/>
    </cacheField>
    <cacheField name="BM applied for this project" numFmtId="0">
      <sharedItems containsBlank="1"/>
    </cacheField>
    <cacheField name="Status Proposal (prospection ended at)" numFmtId="14">
      <sharedItems containsNonDate="0" containsDate="1" containsString="0" containsBlank="1" minDate="2022-03-15T00:00:00" maxDate="2022-03-16T00:00:00"/>
    </cacheField>
    <cacheField name="Project Start Date [Planned]" numFmtId="14">
      <sharedItems containsNonDate="0" containsDate="1" containsString="0" containsBlank="1" minDate="2016-11-29T00:00:00" maxDate="2022-10-02T00:00:00"/>
    </cacheField>
    <cacheField name="Estimated duration (months)" numFmtId="0">
      <sharedItems containsString="0" containsBlank="1" containsNumber="1" containsInteger="1" minValue="1" maxValue="60"/>
    </cacheField>
    <cacheField name="Project Finish Date [Planned]" numFmtId="14">
      <sharedItems containsNonDate="0" containsDate="1" containsString="0" containsBlank="1" minDate="2019-01-31T00:00:00" maxDate="2025-06-01T00:00:00"/>
    </cacheField>
    <cacheField name="01. Early Project Acquisition" numFmtId="14">
      <sharedItems containsNonDate="0" containsDate="1" containsString="0" containsBlank="1" minDate="2016-01-01T00:00:00" maxDate="2022-10-02T00:00:00"/>
    </cacheField>
    <cacheField name="02. Stand-by" numFmtId="14">
      <sharedItems containsNonDate="0" containsDate="1" containsString="0" containsBlank="1" minDate="2021-03-08T00:00:00" maxDate="2021-12-03T00:00:00"/>
    </cacheField>
    <cacheField name="03. Project Proposal Preparation" numFmtId="14">
      <sharedItems containsDate="1" containsBlank="1" containsMixedTypes="1" minDate="2019-02-01T00:00:00" maxDate="2022-06-11T00:00:00"/>
    </cacheField>
    <cacheField name="04. Proposals Submitted" numFmtId="14">
      <sharedItems containsNonDate="0" containsDate="1" containsString="0" containsBlank="1" minDate="2019-06-19T00:00:00" maxDate="2022-04-01T00:00:00"/>
    </cacheField>
    <cacheField name="07. Projects Running" numFmtId="14">
      <sharedItems containsNonDate="0" containsDate="1" containsString="0" containsBlank="1" minDate="2016-11-29T00:00:00" maxDate="2022-06-15T00:00:00"/>
    </cacheField>
    <cacheField name="09. Projects Finished" numFmtId="14">
      <sharedItems containsNonDate="0" containsDate="1" containsString="0" containsBlank="1" minDate="2019-01-31T00:00:00" maxDate="2022-01-01T00:00:00"/>
    </cacheField>
    <cacheField name="10. Proposals Declined" numFmtId="0">
      <sharedItems containsNonDate="0" containsDate="1" containsString="0" containsBlank="1" minDate="2019-01-27T00:00:00" maxDate="2022-05-27T00:00:00"/>
    </cacheField>
    <cacheField name="Name (IPK)" numFmtId="0">
      <sharedItems/>
    </cacheField>
    <cacheField name="Contact Person (IPK)" numFmtId="0">
      <sharedItems containsBlank="1"/>
    </cacheField>
    <cacheField name="Industry Funding from DE (IPK)" numFmtId="165">
      <sharedItems containsString="0" containsBlank="1" containsNumber="1" containsInteger="1" minValue="0" maxValue="250000"/>
    </cacheField>
    <cacheField name="Industry Funding from BR (IPK)" numFmtId="165">
      <sharedItems containsString="0" containsBlank="1" containsNumber="1" containsInteger="1" minValue="0" maxValue="3000000"/>
    </cacheField>
    <cacheField name="Public Funding from DE (IPK)" numFmtId="165">
      <sharedItems containsString="0" containsBlank="1" containsNumber="1" containsInteger="1" minValue="0" maxValue="937360"/>
    </cacheField>
    <cacheField name="Public Funding from BR (IPK)" numFmtId="165">
      <sharedItems containsString="0" containsBlank="1" containsNumber="1" containsInteger="1" minValue="0" maxValue="98000"/>
    </cacheField>
    <cacheField name="In-kind Contribution (IPK)" numFmtId="165">
      <sharedItems containsString="0" containsBlank="1" containsNumber="1" containsInteger="1" minValue="0" maxValue="24000"/>
    </cacheField>
    <cacheField name="Name (ITA)" numFmtId="0">
      <sharedItems containsBlank="1"/>
    </cacheField>
    <cacheField name="Responsible (CCM)" numFmtId="0">
      <sharedItems containsBlank="1"/>
    </cacheField>
    <cacheField name="Responsible for prospection" numFmtId="0">
      <sharedItems containsBlank="1"/>
    </cacheField>
    <cacheField name="Industry Funding from DE (ITA)" numFmtId="165">
      <sharedItems containsString="0" containsBlank="1" containsNumber="1" containsInteger="1" minValue="0" maxValue="0"/>
    </cacheField>
    <cacheField name="Industry Funding from BR (ITA)" numFmtId="165">
      <sharedItems containsString="0" containsBlank="1" containsNumber="1" minValue="0" maxValue="382830.62645011605"/>
    </cacheField>
    <cacheField name="Public Funding from DE (ITA)" numFmtId="165">
      <sharedItems containsString="0" containsBlank="1" containsNumber="1" containsInteger="1" minValue="0" maxValue="299570"/>
    </cacheField>
    <cacheField name="Public Funding from BR (ITA)" numFmtId="165">
      <sharedItems containsString="0" containsBlank="1" containsNumber="1" minValue="0" maxValue="2507598.7841945291"/>
    </cacheField>
    <cacheField name="In-kind Contribution (ITA)" numFmtId="165">
      <sharedItems containsString="0" containsBlank="1" containsNumber="1" minValue="0" maxValue="412993.03944315552"/>
    </cacheField>
    <cacheField name="Name (R&amp;D III)" numFmtId="0">
      <sharedItems containsBlank="1"/>
    </cacheField>
    <cacheField name="Contact Person (R&amp;D III)" numFmtId="0">
      <sharedItems containsBlank="1"/>
    </cacheField>
    <cacheField name="Industry Funding from DE (R&amp;D III)" numFmtId="165">
      <sharedItems containsString="0" containsBlank="1" containsNumber="1" containsInteger="1" minValue="0" maxValue="0"/>
    </cacheField>
    <cacheField name="Industry Funding from BR (R&amp;D III)" numFmtId="165">
      <sharedItems containsString="0" containsBlank="1" containsNumber="1" containsInteger="1" minValue="0" maxValue="800000"/>
    </cacheField>
    <cacheField name="Public Funding from DE (R&amp;D III)" numFmtId="0">
      <sharedItems containsString="0" containsBlank="1" containsNumber="1" containsInteger="1" minValue="0" maxValue="600000"/>
    </cacheField>
    <cacheField name="Public Funding from BR (R&amp;D III)" numFmtId="0">
      <sharedItems containsString="0" containsBlank="1" containsNumber="1" minValue="0" maxValue="297619.04761904763"/>
    </cacheField>
    <cacheField name="In-kind Contribution (R&amp;D III)" numFmtId="165">
      <sharedItems containsString="0" containsBlank="1" containsNumber="1" containsInteger="1" minValue="0" maxValue="0"/>
    </cacheField>
    <cacheField name="Name (R&amp;D IV)" numFmtId="0">
      <sharedItems containsBlank="1"/>
    </cacheField>
    <cacheField name="Contact Person (R&amp;D IV)" numFmtId="0">
      <sharedItems containsBlank="1"/>
    </cacheField>
    <cacheField name="Industry Funding from DE (R&amp;D IV)" numFmtId="165">
      <sharedItems containsString="0" containsBlank="1" containsNumber="1" containsInteger="1" minValue="0" maxValue="0"/>
    </cacheField>
    <cacheField name="Industry Funding from BR (R&amp;D IV)" numFmtId="165">
      <sharedItems containsString="0" containsBlank="1" containsNumber="1" containsInteger="1" minValue="0" maxValue="12000"/>
    </cacheField>
    <cacheField name="Public Funding from DE (R&amp;D IV)" numFmtId="165">
      <sharedItems containsString="0" containsBlank="1" containsNumber="1" containsInteger="1" minValue="0" maxValue="250000"/>
    </cacheField>
    <cacheField name="Public Funding from BR (R&amp;D IV)" numFmtId="165">
      <sharedItems containsString="0" containsBlank="1" containsNumber="1" minValue="0" maxValue="1500000"/>
    </cacheField>
    <cacheField name="In-kind Contribution (R&amp;D IV)" numFmtId="165">
      <sharedItems containsString="0" containsBlank="1" containsNumber="1" containsInteger="1" minValue="0" maxValue="0"/>
    </cacheField>
    <cacheField name="Name (Ind I)" numFmtId="0">
      <sharedItems containsBlank="1"/>
    </cacheField>
    <cacheField name="Contact Person (Ind I)" numFmtId="0">
      <sharedItems containsBlank="1"/>
    </cacheField>
    <cacheField name="Financial Contribution (Ind I)" numFmtId="165">
      <sharedItems containsString="0" containsBlank="1" containsNumber="1" minValue="0" maxValue="3000000"/>
    </cacheField>
    <cacheField name="In-kind Contribution (Ind I)" numFmtId="165">
      <sharedItems containsString="0" containsBlank="1" containsNumber="1" containsInteger="1" minValue="0" maxValue="0"/>
    </cacheField>
    <cacheField name="Name (Ind II)" numFmtId="0">
      <sharedItems containsBlank="1"/>
    </cacheField>
    <cacheField name="Contact Person (Ind II)" numFmtId="0">
      <sharedItems containsBlank="1"/>
    </cacheField>
    <cacheField name="Financial Contribution (Ind II)" numFmtId="165">
      <sharedItems containsString="0" containsBlank="1" containsNumber="1" minValue="0" maxValue="23847.376788553258"/>
    </cacheField>
    <cacheField name="In-kind Contribution (Ind II)" numFmtId="165">
      <sharedItems containsString="0" containsBlank="1" containsNumber="1" containsInteger="1" minValue="0" maxValue="0"/>
    </cacheField>
    <cacheField name="Name (Ind III)" numFmtId="0">
      <sharedItems containsBlank="1"/>
    </cacheField>
    <cacheField name="Contact Person (Ind III)" numFmtId="0">
      <sharedItems containsBlank="1"/>
    </cacheField>
    <cacheField name="Financial Contribution (Ind III)" numFmtId="165">
      <sharedItems containsString="0" containsBlank="1" containsNumber="1" containsInteger="1" minValue="0" maxValue="0"/>
    </cacheField>
    <cacheField name="In-kind Contribution (Ind III)" numFmtId="165">
      <sharedItems containsString="0" containsBlank="1" containsNumber="1" containsInteger="1" minValue="0" maxValue="0"/>
    </cacheField>
    <cacheField name="Name (Ind IV)" numFmtId="0">
      <sharedItems containsBlank="1"/>
    </cacheField>
    <cacheField name="Contact Person (Ind IV)" numFmtId="0">
      <sharedItems containsBlank="1"/>
    </cacheField>
    <cacheField name="Financial Contribution (Ind IV)" numFmtId="165">
      <sharedItems containsString="0" containsBlank="1" containsNumber="1" containsInteger="1" minValue="0" maxValue="0"/>
    </cacheField>
    <cacheField name="In-kind Contribution (Ind IV)" numFmtId="165">
      <sharedItems containsString="0" containsBlank="1" containsNumber="1" containsInteger="1" minValue="0" maxValue="0"/>
    </cacheField>
    <cacheField name="Name (Fund I)" numFmtId="0">
      <sharedItems containsBlank="1"/>
    </cacheField>
    <cacheField name="Contact Person (Fund I)" numFmtId="0">
      <sharedItems containsBlank="1"/>
    </cacheField>
    <cacheField name="Funding Amount (Fund I)" numFmtId="165">
      <sharedItems containsString="0" containsBlank="1" containsNumber="1" minValue="0" maxValue="1515139"/>
    </cacheField>
    <cacheField name="Name (Fund II)" numFmtId="0">
      <sharedItems containsBlank="1"/>
    </cacheField>
    <cacheField name="Contact Person (Fund II)" numFmtId="0">
      <sharedItems containsBlank="1"/>
    </cacheField>
    <cacheField name="Funding Amount (Fund II)" numFmtId="165">
      <sharedItems containsString="0" containsBlank="1" containsNumber="1" minValue="0" maxValue="297619.04761904763"/>
    </cacheField>
    <cacheField name="Total Project Volume (IPK)" numFmtId="166">
      <sharedItems containsSemiMixedTypes="0" containsString="0" containsNumber="1" containsInteger="1" minValue="0" maxValue="3000000"/>
    </cacheField>
    <cacheField name="Total Revenues (IPK)" numFmtId="166">
      <sharedItems containsSemiMixedTypes="0" containsString="0" containsNumber="1" containsInteger="1" minValue="0" maxValue="3000000"/>
    </cacheField>
    <cacheField name="Total Industry Funding (IPK)" numFmtId="166">
      <sharedItems containsSemiMixedTypes="0" containsString="0" containsNumber="1" containsInteger="1" minValue="0" maxValue="3000000"/>
    </cacheField>
    <cacheField name="Total Public Funding (IPK)" numFmtId="166">
      <sharedItems containsSemiMixedTypes="0" containsString="0" containsNumber="1" containsInteger="1" minValue="0" maxValue="937360"/>
    </cacheField>
    <cacheField name="Total In-kind Contribution" numFmtId="166">
      <sharedItems containsSemiMixedTypes="0" containsString="0" containsNumber="1" containsInteger="1" minValue="0" maxValue="24000"/>
    </cacheField>
    <cacheField name="Funding Ratio (IPK)" numFmtId="9">
      <sharedItems containsMixedTypes="1" containsNumber="1" minValue="0.58275058275058278" maxValue="1"/>
    </cacheField>
    <cacheField name="Rho-Wi" numFmtId="9">
      <sharedItems containsMixedTypes="1" containsNumber="1" containsInteger="1" minValue="0" maxValue="1"/>
    </cacheField>
    <cacheField name="Internal Project Classification (IPK)" numFmtId="0">
      <sharedItems containsMixedTypes="1" containsNumber="1" containsInteger="1" minValue="0" maxValue="0"/>
    </cacheField>
    <cacheField name="Total Funding DE (IPK)" numFmtId="166">
      <sharedItems containsSemiMixedTypes="0" containsString="0" containsNumber="1" containsInteger="1" minValue="0" maxValue="937360"/>
    </cacheField>
    <cacheField name="Total Funding BR (IPK)" numFmtId="166">
      <sharedItems containsSemiMixedTypes="0" containsString="0" containsNumber="1" containsInteger="1" minValue="0" maxValue="3000000"/>
    </cacheField>
    <cacheField name="Total Project Volume (ITA)" numFmtId="166">
      <sharedItems containsSemiMixedTypes="0" containsString="0" containsNumber="1" minValue="0" maxValue="2507598.7841945291"/>
    </cacheField>
    <cacheField name="Total Industry Funding (ITA)" numFmtId="166">
      <sharedItems containsSemiMixedTypes="0" containsString="0" containsNumber="1" minValue="0" maxValue="382830.62645011605"/>
    </cacheField>
    <cacheField name="Total Public Funding (ITA)" numFmtId="166">
      <sharedItems containsSemiMixedTypes="0" containsString="0" containsNumber="1" minValue="0" maxValue="2507598.7841945291"/>
    </cacheField>
    <cacheField name="Funding Ratio (ITA)" numFmtId="9">
      <sharedItems containsMixedTypes="1" containsNumber="1" minValue="0" maxValue="1"/>
    </cacheField>
    <cacheField name="Internal Project Classification (ITA)" numFmtId="0">
      <sharedItems/>
    </cacheField>
    <cacheField name="Total Funding DE (ITA)" numFmtId="166">
      <sharedItems containsSemiMixedTypes="0" containsString="0" containsNumber="1" containsInteger="1" minValue="0" maxValue="299570"/>
    </cacheField>
    <cacheField name="Total Funding BR (ITA)" numFmtId="166">
      <sharedItems containsSemiMixedTypes="0" containsString="0" containsNumber="1" minValue="0" maxValue="2507598.7841945291"/>
    </cacheField>
    <cacheField name="Total Budget (FPC)" numFmtId="166">
      <sharedItems containsSemiMixedTypes="0" containsString="0" containsNumber="1" minValue="0" maxValue="3000000"/>
    </cacheField>
    <cacheField name="Total Industry Funding (FPC)" numFmtId="166">
      <sharedItems containsSemiMixedTypes="0" containsString="0" containsNumber="1" minValue="0" maxValue="3000000"/>
    </cacheField>
    <cacheField name="Industry Funding from DE (FPC)" numFmtId="166">
      <sharedItems containsSemiMixedTypes="0" containsString="0" containsNumber="1" containsInteger="1" minValue="0" maxValue="250000"/>
    </cacheField>
    <cacheField name="Industry Funding from BR (FPC)" numFmtId="166">
      <sharedItems containsSemiMixedTypes="0" containsString="0" containsNumber="1" minValue="0" maxValue="3000000"/>
    </cacheField>
    <cacheField name="Total Public Funding (FPC)" numFmtId="166">
      <sharedItems containsSemiMixedTypes="0" containsString="0" containsNumber="1" minValue="0" maxValue="2507598.7841945291"/>
    </cacheField>
    <cacheField name="Public Funding from DE (FPC)" numFmtId="166">
      <sharedItems containsSemiMixedTypes="0" containsString="0" containsNumber="1" containsInteger="1" minValue="0" maxValue="937360"/>
    </cacheField>
    <cacheField name="Public Funding from BR (FPC)" numFmtId="166">
      <sharedItems containsSemiMixedTypes="0" containsString="0" containsNumber="1" minValue="0" maxValue="2507598.7841945291"/>
    </cacheField>
    <cacheField name="Total Funding DE (FPC)" numFmtId="166">
      <sharedItems containsSemiMixedTypes="0" containsString="0" containsNumber="1" containsInteger="1" minValue="0" maxValue="937360"/>
    </cacheField>
    <cacheField name="Total Funding BR (FPC)" numFmtId="166">
      <sharedItems containsSemiMixedTypes="0" containsString="0" containsNumber="1" minValue="0" maxValue="3000000"/>
    </cacheField>
    <cacheField name="Total Volume (Other)" numFmtId="166">
      <sharedItems containsSemiMixedTypes="0" containsString="0" containsNumber="1" minValue="0" maxValue="2100000"/>
    </cacheField>
    <cacheField name="Total Financial Budget (Other)" numFmtId="166">
      <sharedItems containsSemiMixedTypes="0" containsString="0" containsNumber="1" minValue="0" maxValue="2100000"/>
    </cacheField>
    <cacheField name="Total In-kind Contribution (Other)" numFmtId="166">
      <sharedItems containsSemiMixedTypes="0" containsString="0" containsNumber="1" containsInteger="1" minValue="0" maxValue="0"/>
    </cacheField>
    <cacheField name="Total Project Volume" numFmtId="165">
      <sharedItems containsSemiMixedTypes="0" containsString="0" containsNumber="1" minValue="0" maxValue="3000000"/>
    </cacheField>
    <cacheField name="Total Revenues IPK" numFmtId="165">
      <sharedItems containsSemiMixedTypes="0" containsString="0" containsNumber="1" containsInteger="1" minValue="0" maxValue="3000000"/>
    </cacheField>
    <cacheField name="Probability of Success" numFmtId="9">
      <sharedItems containsString="0" containsBlank="1" containsNumber="1" minValue="0" maxValue="1"/>
    </cacheField>
    <cacheField name="Real Budget IPK" numFmtId="166">
      <sharedItems containsSemiMixedTypes="0" containsString="0" containsNumber="1" containsInteger="1" minValue="0" maxValue="3000000"/>
    </cacheField>
    <cacheField name="Project Execution OE100" numFmtId="166">
      <sharedItems containsString="0" containsBlank="1" containsNumber="1" containsInteger="1" minValue="4350" maxValue="5925"/>
    </cacheField>
    <cacheField name="Project Execution OE200" numFmtId="166">
      <sharedItems containsString="0" containsBlank="1" containsNumber="1" containsInteger="1" minValue="3500" maxValue="116000"/>
    </cacheField>
    <cacheField name="Project Execution OE300" numFmtId="166">
      <sharedItems containsString="0" containsBlank="1" containsNumber="1" containsInteger="1" minValue="3500" maxValue="132000"/>
    </cacheField>
    <cacheField name="Project Execution OE400" numFmtId="166">
      <sharedItems containsString="0" containsBlank="1" containsNumber="1" containsInteger="1" minValue="5000" maxValue="8779"/>
    </cacheField>
    <cacheField name="Project Execution OE600" numFmtId="166">
      <sharedItems containsNonDate="0" containsString="0" containsBlank="1"/>
    </cacheField>
    <cacheField name="Acquisition Factor OE810" numFmtId="9">
      <sharedItems containsString="0" containsBlank="1" containsNumber="1" minValue="0" maxValue="1"/>
    </cacheField>
    <cacheField name="Acquisition Bonus OE810" numFmtId="166">
      <sharedItems containsSemiMixedTypes="0" containsString="0" containsNumber="1" minValue="0" maxValue="219614"/>
    </cacheField>
    <cacheField name="Project Execution OE810" numFmtId="166">
      <sharedItems containsString="0" containsBlank="1" containsNumber="1" minValue="0" maxValue="91687"/>
    </cacheField>
    <cacheField name="Total OE810" numFmtId="166">
      <sharedItems containsSemiMixedTypes="0" containsString="0" containsNumber="1" minValue="0" maxValue="21961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
  <r>
    <x v="0"/>
    <s v="The immersion in Germany shall present the German Innovation Ecosystem, including the role of Fraunhofer in it, as well as topics related to innovation management focusing at research and innovation institutes."/>
    <x v="0"/>
    <x v="0"/>
    <n v="1"/>
    <m/>
    <x v="0"/>
    <x v="0"/>
    <m/>
    <d v="2022-02-03T00:00:00"/>
    <x v="0"/>
    <m/>
    <m/>
    <m/>
    <m/>
    <m/>
    <n v="1"/>
    <m/>
    <d v="2022-02-02T00:00:00"/>
    <m/>
    <d v="2022-02-16T00:00:00"/>
    <m/>
    <m/>
    <m/>
    <m/>
    <s v="IPK"/>
    <s v="David Domingos"/>
    <m/>
    <m/>
    <m/>
    <n v="22100"/>
    <m/>
    <s v="ITA"/>
    <s v="Profa. Maryangela"/>
    <m/>
    <m/>
    <m/>
    <m/>
    <m/>
    <m/>
    <m/>
    <m/>
    <m/>
    <m/>
    <m/>
    <m/>
    <m/>
    <m/>
    <m/>
    <m/>
    <m/>
    <m/>
    <m/>
    <m/>
    <m/>
    <m/>
    <m/>
    <m/>
    <m/>
    <m/>
    <m/>
    <m/>
    <m/>
    <m/>
    <m/>
    <m/>
    <m/>
    <m/>
    <m/>
    <m/>
    <s v="FINEP"/>
    <m/>
    <n v="22100"/>
    <m/>
    <m/>
    <m/>
    <n v="22100"/>
    <n v="22100"/>
    <n v="0"/>
    <n v="22100"/>
    <n v="0"/>
    <n v="1"/>
    <n v="0"/>
    <n v="0"/>
    <n v="0"/>
    <n v="22100"/>
    <n v="0"/>
    <n v="0"/>
    <n v="0"/>
    <e v="#DIV/0!"/>
    <e v="#DIV/0!"/>
    <n v="0"/>
    <n v="0"/>
    <n v="22100"/>
    <n v="0"/>
    <n v="0"/>
    <n v="0"/>
    <n v="22100"/>
    <n v="0"/>
    <n v="22100"/>
    <n v="0"/>
    <n v="22100"/>
    <n v="0"/>
    <n v="0"/>
    <n v="0"/>
    <n v="22100"/>
    <n v="22100"/>
    <n v="0.05"/>
    <n v="1105"/>
    <m/>
    <m/>
    <m/>
    <m/>
    <m/>
    <n v="0.2"/>
    <n v="221"/>
    <m/>
    <n v="221"/>
  </r>
  <r>
    <x v="1"/>
    <s v="Development and establishment of a sustainable and resilient value-chain for green hydrogen between Germany and Brazil "/>
    <x v="1"/>
    <x v="1"/>
    <n v="1"/>
    <m/>
    <x v="0"/>
    <x v="1"/>
    <s v="ICON - Internal Program of the Fraunhofer Society"/>
    <d v="2022-01-01T00:00:00"/>
    <x v="1"/>
    <m/>
    <m/>
    <m/>
    <d v="2022-03-15T00:00:00"/>
    <m/>
    <n v="36"/>
    <m/>
    <d v="2022-01-01T00:00:00"/>
    <m/>
    <d v="2022-01-20T00:00:00"/>
    <m/>
    <m/>
    <m/>
    <d v="2022-03-15T00:00:00"/>
    <s v="IPK"/>
    <s v="David Domingos"/>
    <m/>
    <m/>
    <n v="900000"/>
    <m/>
    <m/>
    <s v="ITA"/>
    <m/>
    <m/>
    <m/>
    <m/>
    <m/>
    <m/>
    <m/>
    <s v="Fraunhofer IPT"/>
    <s v="Henning Jannsen"/>
    <m/>
    <m/>
    <n v="600000"/>
    <m/>
    <m/>
    <s v="CIMATEC"/>
    <s v="Jose Luis"/>
    <m/>
    <m/>
    <m/>
    <n v="1500000"/>
    <m/>
    <m/>
    <m/>
    <m/>
    <m/>
    <m/>
    <m/>
    <m/>
    <m/>
    <m/>
    <m/>
    <m/>
    <m/>
    <m/>
    <m/>
    <m/>
    <m/>
    <s v="Fraunhofer-Gesellschaft"/>
    <m/>
    <n v="1500000"/>
    <m/>
    <m/>
    <m/>
    <n v="900000"/>
    <n v="900000"/>
    <n v="0"/>
    <n v="900000"/>
    <n v="0"/>
    <n v="1"/>
    <n v="0"/>
    <s v="Public Funding"/>
    <n v="900000"/>
    <n v="0"/>
    <n v="0"/>
    <n v="0"/>
    <n v="0"/>
    <e v="#DIV/0!"/>
    <e v="#DIV/0!"/>
    <n v="0"/>
    <n v="0"/>
    <n v="900000"/>
    <n v="0"/>
    <n v="0"/>
    <n v="0"/>
    <n v="900000"/>
    <n v="900000"/>
    <n v="0"/>
    <n v="900000"/>
    <n v="0"/>
    <n v="2100000"/>
    <n v="2100000"/>
    <n v="0"/>
    <n v="3000000"/>
    <n v="900000"/>
    <n v="0"/>
    <n v="0"/>
    <m/>
    <m/>
    <m/>
    <m/>
    <m/>
    <m/>
    <n v="0"/>
    <m/>
    <n v="0"/>
  </r>
  <r>
    <x v="2"/>
    <m/>
    <x v="2"/>
    <x v="2"/>
    <n v="2"/>
    <n v="0"/>
    <x v="1"/>
    <x v="0"/>
    <m/>
    <d v="2022-05-11T00:00:00"/>
    <x v="2"/>
    <s v="1. Early project acquisition"/>
    <m/>
    <m/>
    <m/>
    <m/>
    <m/>
    <m/>
    <d v="2022-05-11T00:00:00"/>
    <m/>
    <m/>
    <m/>
    <m/>
    <m/>
    <m/>
    <s v="IPK"/>
    <m/>
    <m/>
    <m/>
    <m/>
    <m/>
    <m/>
    <s v="ITA"/>
    <s v="Ronnie Rego"/>
    <s v="Angelo Carvalho"/>
    <m/>
    <m/>
    <m/>
    <m/>
    <m/>
    <m/>
    <m/>
    <m/>
    <m/>
    <m/>
    <m/>
    <m/>
    <m/>
    <m/>
    <m/>
    <m/>
    <m/>
    <m/>
    <m/>
    <m/>
    <m/>
    <m/>
    <m/>
    <m/>
    <m/>
    <m/>
    <m/>
    <m/>
    <m/>
    <m/>
    <m/>
    <m/>
    <m/>
    <m/>
    <m/>
    <m/>
    <m/>
    <m/>
    <m/>
    <m/>
    <m/>
    <n v="0"/>
    <n v="0"/>
    <n v="0"/>
    <n v="0"/>
    <n v="0"/>
    <e v="#DIV/0!"/>
    <e v="#DIV/0!"/>
    <n v="0"/>
    <n v="0"/>
    <n v="0"/>
    <n v="0"/>
    <n v="0"/>
    <n v="0"/>
    <e v="#DIV/0!"/>
    <e v="#DIV/0!"/>
    <n v="0"/>
    <n v="0"/>
    <n v="0"/>
    <n v="0"/>
    <n v="0"/>
    <n v="0"/>
    <n v="0"/>
    <n v="0"/>
    <n v="0"/>
    <n v="0"/>
    <n v="0"/>
    <n v="0"/>
    <n v="0"/>
    <n v="0"/>
    <n v="0"/>
    <n v="0"/>
    <m/>
    <n v="0"/>
    <m/>
    <m/>
    <m/>
    <m/>
    <m/>
    <m/>
    <n v="0"/>
    <m/>
    <n v="0"/>
  </r>
  <r>
    <x v="3"/>
    <s v="Stamping measuring system for Volkwagen"/>
    <x v="3"/>
    <x v="2"/>
    <n v="1"/>
    <n v="0"/>
    <x v="2"/>
    <x v="2"/>
    <m/>
    <d v="2022-04-13T00:00:00"/>
    <x v="2"/>
    <s v="1. Early project acquisition"/>
    <n v="5.0881999999999996"/>
    <m/>
    <m/>
    <m/>
    <m/>
    <m/>
    <d v="2022-04-13T00:00:00"/>
    <m/>
    <m/>
    <m/>
    <m/>
    <m/>
    <m/>
    <s v="IPK"/>
    <m/>
    <m/>
    <m/>
    <m/>
    <m/>
    <m/>
    <s v="ITA"/>
    <s v="Carlos Eguti"/>
    <s v="André Lima"/>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4"/>
    <s v="Data Driven Grinding Machine Setup/Capability"/>
    <x v="4"/>
    <x v="3"/>
    <n v="1"/>
    <n v="0"/>
    <x v="2"/>
    <x v="2"/>
    <m/>
    <d v="2022-04-14T00:00:00"/>
    <x v="2"/>
    <s v="1. Early project acquisition"/>
    <m/>
    <m/>
    <m/>
    <m/>
    <m/>
    <m/>
    <d v="2022-04-13T00:00:00"/>
    <m/>
    <m/>
    <m/>
    <m/>
    <m/>
    <m/>
    <s v="IPK"/>
    <m/>
    <m/>
    <m/>
    <m/>
    <m/>
    <m/>
    <s v="ITA"/>
    <s v="Ronnie Rego"/>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5"/>
    <s v="Modernização de engrenagens agrícolas para novos requisitos de durabilidade, eficiência e emissão de ruído"/>
    <x v="5"/>
    <x v="4"/>
    <n v="1"/>
    <n v="0"/>
    <x v="2"/>
    <x v="2"/>
    <m/>
    <d v="2022-02-22T00:00:00"/>
    <x v="0"/>
    <s v="3. Analysis of resources"/>
    <m/>
    <m/>
    <m/>
    <m/>
    <m/>
    <m/>
    <d v="2022-02-22T00:00:00"/>
    <m/>
    <d v="2022-03-10T00:00:00"/>
    <m/>
    <m/>
    <m/>
    <m/>
    <s v="IPK"/>
    <m/>
    <m/>
    <m/>
    <m/>
    <m/>
    <m/>
    <s v="ITA"/>
    <s v="Ronnie Rego"/>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6"/>
    <s v="Development of an innovative measuring system in stamping and _x000a_injection moulding tools to increase manufacturing control and production quality"/>
    <x v="6"/>
    <x v="3"/>
    <n v="5"/>
    <n v="5"/>
    <x v="0"/>
    <x v="2"/>
    <s v="CORNET Call BR and DE_x000a_DE: Fraunhofer IPK, DGQ/FQS_x000a_BR: ISI Man. Systems, Die and Mold Companies, Route2030"/>
    <d v="2021-12-15T00:00:00"/>
    <x v="3"/>
    <m/>
    <m/>
    <s v="BM07"/>
    <m/>
    <d v="2022-10-01T00:00:00"/>
    <n v="18"/>
    <d v="2024-04-30T00:00:00"/>
    <d v="2021-12-15T00:00:00"/>
    <m/>
    <d v="2022-01-15T00:00:00"/>
    <m/>
    <m/>
    <m/>
    <m/>
    <s v="IPK"/>
    <s v="David Domingos"/>
    <n v="250000"/>
    <m/>
    <m/>
    <m/>
    <m/>
    <s v="ITA"/>
    <m/>
    <m/>
    <m/>
    <m/>
    <m/>
    <m/>
    <m/>
    <m/>
    <m/>
    <m/>
    <m/>
    <m/>
    <m/>
    <m/>
    <m/>
    <m/>
    <m/>
    <m/>
    <m/>
    <m/>
    <m/>
    <s v="ISI Man Systems"/>
    <s v="Prof. Gonzaga"/>
    <m/>
    <m/>
    <m/>
    <m/>
    <m/>
    <m/>
    <m/>
    <m/>
    <m/>
    <m/>
    <m/>
    <m/>
    <m/>
    <m/>
    <s v="AiF (IGF)"/>
    <s v="felix Rotter"/>
    <n v="250000"/>
    <m/>
    <m/>
    <m/>
    <n v="250000"/>
    <n v="250000"/>
    <n v="250000"/>
    <n v="0"/>
    <n v="0"/>
    <n v="1"/>
    <n v="1"/>
    <s v="Industry"/>
    <n v="250000"/>
    <n v="0"/>
    <n v="0"/>
    <n v="0"/>
    <n v="0"/>
    <e v="#DIV/0!"/>
    <e v="#DIV/0!"/>
    <n v="0"/>
    <n v="0"/>
    <n v="250000"/>
    <n v="250000"/>
    <n v="250000"/>
    <n v="0"/>
    <n v="0"/>
    <n v="0"/>
    <n v="0"/>
    <n v="250000"/>
    <n v="0"/>
    <n v="0"/>
    <n v="0"/>
    <n v="0"/>
    <n v="250000"/>
    <n v="250000"/>
    <n v="0.66"/>
    <n v="165000"/>
    <m/>
    <m/>
    <m/>
    <m/>
    <m/>
    <n v="0.2"/>
    <n v="33000"/>
    <m/>
    <n v="33000"/>
  </r>
  <r>
    <x v="7"/>
    <s v="Class A Aluminum Surface Stamping Demonstrator _x000a_(ROTA 2030, line IV, axis II)"/>
    <x v="7"/>
    <x v="2"/>
    <n v="5"/>
    <n v="0"/>
    <x v="2"/>
    <x v="1"/>
    <s v="Financial support approved. Waiting the agreement signature"/>
    <d v="2022-02-07T00:00:00"/>
    <x v="3"/>
    <s v="4. Proposal submission and follow-up"/>
    <n v="5.77"/>
    <s v="BM04B"/>
    <m/>
    <m/>
    <m/>
    <m/>
    <d v="2022-02-07T00:00:00"/>
    <m/>
    <d v="2022-02-15T00:00:00"/>
    <d v="2022-03-31T00:00:00"/>
    <m/>
    <m/>
    <m/>
    <s v="IPK"/>
    <m/>
    <m/>
    <m/>
    <m/>
    <m/>
    <m/>
    <s v="ITA"/>
    <s v="Alfredo Faria "/>
    <s v="André Lima"/>
    <m/>
    <m/>
    <m/>
    <n v="864914.30849220103"/>
    <m/>
    <m/>
    <m/>
    <m/>
    <m/>
    <m/>
    <m/>
    <m/>
    <m/>
    <m/>
    <m/>
    <m/>
    <m/>
    <m/>
    <m/>
    <m/>
    <m/>
    <m/>
    <m/>
    <m/>
    <m/>
    <m/>
    <m/>
    <m/>
    <m/>
    <m/>
    <m/>
    <m/>
    <m/>
    <m/>
    <m/>
    <m/>
    <m/>
    <m/>
    <m/>
    <m/>
    <m/>
    <n v="0"/>
    <n v="0"/>
    <n v="0"/>
    <n v="0"/>
    <n v="0"/>
    <e v="#DIV/0!"/>
    <e v="#DIV/0!"/>
    <s v="Public Funding"/>
    <n v="0"/>
    <n v="0"/>
    <n v="864914.30849220103"/>
    <n v="0"/>
    <n v="864914.30849220103"/>
    <n v="0"/>
    <s v="Public Funding"/>
    <n v="0"/>
    <n v="864914.30849220103"/>
    <n v="864914.30849220103"/>
    <n v="0"/>
    <n v="0"/>
    <n v="0"/>
    <n v="864914.30849220103"/>
    <n v="0"/>
    <n v="864914.30849220103"/>
    <n v="0"/>
    <n v="864914.30849220103"/>
    <n v="0"/>
    <n v="0"/>
    <n v="0"/>
    <n v="864914.30849220103"/>
    <n v="0"/>
    <m/>
    <n v="0"/>
    <m/>
    <m/>
    <m/>
    <m/>
    <m/>
    <m/>
    <n v="0"/>
    <m/>
    <n v="0"/>
  </r>
  <r>
    <x v="8"/>
    <s v="Estudo de viabilidade de substituição de cementação + retificação por shaving + nitretação na cadeia de manufatura de engrenagens"/>
    <x v="8"/>
    <x v="2"/>
    <n v="2"/>
    <n v="0"/>
    <x v="2"/>
    <x v="2"/>
    <m/>
    <d v="2021-10-01T00:00:00"/>
    <x v="2"/>
    <s v="2. Definition of the technical goals"/>
    <m/>
    <m/>
    <m/>
    <m/>
    <m/>
    <m/>
    <d v="2022-10-01T00:00:00"/>
    <m/>
    <m/>
    <m/>
    <m/>
    <m/>
    <m/>
    <s v="IPK"/>
    <m/>
    <m/>
    <m/>
    <m/>
    <m/>
    <m/>
    <s v="ITA"/>
    <s v="Ronnie Rego"/>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9"/>
    <s v="Obtenção de um modelo numérico-experimental de desenvolvimento de ferramentas de recalque"/>
    <x v="9"/>
    <x v="0"/>
    <n v="1"/>
    <n v="0"/>
    <x v="2"/>
    <x v="2"/>
    <m/>
    <d v="2021-12-16T00:00:00"/>
    <x v="2"/>
    <s v="3. Analysis of resources"/>
    <m/>
    <m/>
    <m/>
    <m/>
    <m/>
    <m/>
    <m/>
    <m/>
    <d v="2022-02-24T00:00:00"/>
    <m/>
    <m/>
    <m/>
    <m/>
    <s v="IPK"/>
    <m/>
    <m/>
    <m/>
    <m/>
    <m/>
    <m/>
    <s v="ITA"/>
    <s v="Ronnie Rego"/>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0"/>
    <s v="Parametrização do processo de polish grinding e avaliação de integridade de superfície"/>
    <x v="10"/>
    <x v="0"/>
    <n v="1"/>
    <n v="0"/>
    <x v="2"/>
    <x v="2"/>
    <m/>
    <d v="2021-10-01T00:00:00"/>
    <x v="2"/>
    <s v="2. Definition of the technical goals"/>
    <m/>
    <m/>
    <m/>
    <m/>
    <m/>
    <m/>
    <m/>
    <m/>
    <m/>
    <m/>
    <m/>
    <m/>
    <m/>
    <s v="IPK"/>
    <m/>
    <m/>
    <m/>
    <m/>
    <m/>
    <m/>
    <s v="ITA"/>
    <s v="Ronnie Rego"/>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1"/>
    <m/>
    <x v="11"/>
    <x v="0"/>
    <m/>
    <m/>
    <x v="1"/>
    <x v="1"/>
    <m/>
    <d v="2021-08-27T00:00:00"/>
    <x v="4"/>
    <s v="5. Project running"/>
    <n v="6.29"/>
    <m/>
    <m/>
    <m/>
    <m/>
    <m/>
    <d v="2021-08-27T00:00:00"/>
    <m/>
    <m/>
    <m/>
    <d v="2021-12-01T00:00:00"/>
    <m/>
    <m/>
    <s v="IPK"/>
    <s v="D. Domingos_x000a_Tobias Neuwald"/>
    <m/>
    <m/>
    <m/>
    <n v="10000"/>
    <n v="7160"/>
    <s v="ITA"/>
    <s v="Ronnie Rego"/>
    <m/>
    <m/>
    <m/>
    <m/>
    <m/>
    <m/>
    <m/>
    <m/>
    <m/>
    <m/>
    <m/>
    <m/>
    <m/>
    <m/>
    <m/>
    <m/>
    <m/>
    <m/>
    <m/>
    <m/>
    <m/>
    <m/>
    <m/>
    <m/>
    <m/>
    <m/>
    <m/>
    <m/>
    <m/>
    <m/>
    <m/>
    <m/>
    <m/>
    <m/>
    <m/>
    <m/>
    <s v="DWIH"/>
    <s v="Marcio Weichert"/>
    <n v="10000"/>
    <m/>
    <m/>
    <m/>
    <n v="17160"/>
    <n v="10000"/>
    <n v="0"/>
    <n v="10000"/>
    <n v="7160"/>
    <n v="0.58275058275058278"/>
    <n v="0"/>
    <s v="Public Funding"/>
    <n v="0"/>
    <n v="10000"/>
    <n v="0"/>
    <n v="0"/>
    <n v="0"/>
    <e v="#DIV/0!"/>
    <e v="#DIV/0!"/>
    <n v="0"/>
    <n v="0"/>
    <n v="17160"/>
    <n v="0"/>
    <n v="0"/>
    <n v="0"/>
    <n v="10000"/>
    <n v="0"/>
    <n v="10000"/>
    <n v="0"/>
    <n v="10000"/>
    <n v="0"/>
    <n v="0"/>
    <n v="0"/>
    <n v="17160"/>
    <n v="10000"/>
    <n v="1"/>
    <n v="10000"/>
    <m/>
    <m/>
    <n v="3500"/>
    <m/>
    <m/>
    <m/>
    <n v="0"/>
    <n v="6500"/>
    <n v="6500"/>
  </r>
  <r>
    <x v="12"/>
    <s v="Study different AM routes for the mfg. of a UNIPAC component (digitally)"/>
    <x v="12"/>
    <x v="2"/>
    <n v="2"/>
    <n v="1"/>
    <x v="0"/>
    <x v="2"/>
    <s v="Waiting for another partner in Brazil to start the proposal preparation (possibly ISI Laser)"/>
    <d v="2021-09-03T00:00:00"/>
    <x v="0"/>
    <m/>
    <n v="6.29"/>
    <m/>
    <m/>
    <m/>
    <n v="2"/>
    <m/>
    <d v="2021-09-03T00:00:00"/>
    <m/>
    <d v="2021-09-13T00:00:00"/>
    <m/>
    <m/>
    <m/>
    <m/>
    <s v="IPK"/>
    <s v="Gustavo Reis"/>
    <m/>
    <n v="8000"/>
    <m/>
    <m/>
    <m/>
    <s v="ITA"/>
    <m/>
    <m/>
    <m/>
    <m/>
    <m/>
    <m/>
    <m/>
    <s v="ISI Laser"/>
    <s v="Prof. Gonzaga"/>
    <m/>
    <m/>
    <m/>
    <m/>
    <m/>
    <m/>
    <m/>
    <m/>
    <m/>
    <m/>
    <m/>
    <m/>
    <s v="UNIPAC"/>
    <s v="Emílio Miyoshi"/>
    <m/>
    <m/>
    <m/>
    <m/>
    <m/>
    <m/>
    <m/>
    <m/>
    <m/>
    <m/>
    <m/>
    <m/>
    <m/>
    <m/>
    <m/>
    <m/>
    <m/>
    <m/>
    <m/>
    <m/>
    <n v="8000"/>
    <n v="8000"/>
    <n v="8000"/>
    <n v="0"/>
    <n v="0"/>
    <n v="1"/>
    <n v="1"/>
    <s v="Industry"/>
    <n v="0"/>
    <n v="8000"/>
    <n v="0"/>
    <n v="0"/>
    <n v="0"/>
    <e v="#DIV/0!"/>
    <e v="#DIV/0!"/>
    <n v="0"/>
    <n v="0"/>
    <n v="8000"/>
    <n v="8000"/>
    <n v="0"/>
    <n v="8000"/>
    <n v="0"/>
    <n v="0"/>
    <n v="0"/>
    <n v="0"/>
    <n v="8000"/>
    <n v="0"/>
    <n v="0"/>
    <n v="0"/>
    <n v="8000"/>
    <n v="8000"/>
    <n v="0.1"/>
    <n v="800"/>
    <m/>
    <m/>
    <m/>
    <m/>
    <m/>
    <n v="0.2"/>
    <n v="160"/>
    <m/>
    <n v="160"/>
  </r>
  <r>
    <x v="13"/>
    <s v="Development of cost-effective ceramic tools for friction stir welding of steels and performance study of FSW joints during forming"/>
    <x v="13"/>
    <x v="3"/>
    <n v="8"/>
    <n v="8"/>
    <x v="0"/>
    <x v="2"/>
    <s v="CORNET Call BR and DE_x000a_DE: Fraunhofer IPK, FGK, SLV-BB_x000a_BR: ArcelorMittal, Randon and IPT (LEL)"/>
    <d v="2021-04-21T00:00:00"/>
    <x v="3"/>
    <m/>
    <n v="6.29"/>
    <s v="BM07"/>
    <m/>
    <m/>
    <n v="24"/>
    <m/>
    <d v="2021-04-21T00:00:00"/>
    <m/>
    <d v="2021-09-01T00:00:00"/>
    <m/>
    <m/>
    <m/>
    <m/>
    <s v="IPK"/>
    <s v="Gustavo Reis"/>
    <n v="250000"/>
    <m/>
    <m/>
    <m/>
    <m/>
    <s v="ITA"/>
    <m/>
    <m/>
    <m/>
    <m/>
    <m/>
    <m/>
    <m/>
    <s v="IPT"/>
    <s v="Daniel Pereira"/>
    <m/>
    <m/>
    <m/>
    <m/>
    <m/>
    <m/>
    <m/>
    <m/>
    <m/>
    <m/>
    <m/>
    <m/>
    <s v="AercelorMittal"/>
    <s v="Márcio Cunha"/>
    <n v="23847.376788553258"/>
    <m/>
    <s v="Randon"/>
    <s v="Joel Boaretto"/>
    <n v="23847.376788553258"/>
    <m/>
    <m/>
    <m/>
    <m/>
    <m/>
    <m/>
    <m/>
    <m/>
    <m/>
    <s v="AiF (IGF)"/>
    <s v="felix Rotter"/>
    <n v="250000"/>
    <m/>
    <m/>
    <m/>
    <n v="250000"/>
    <n v="250000"/>
    <n v="250000"/>
    <n v="0"/>
    <n v="0"/>
    <n v="1"/>
    <n v="1"/>
    <s v="Industry"/>
    <n v="250000"/>
    <n v="0"/>
    <n v="0"/>
    <n v="0"/>
    <n v="0"/>
    <e v="#DIV/0!"/>
    <e v="#DIV/0!"/>
    <n v="0"/>
    <n v="0"/>
    <n v="250000"/>
    <n v="250000"/>
    <n v="250000"/>
    <n v="0"/>
    <n v="0"/>
    <n v="0"/>
    <n v="0"/>
    <n v="250000"/>
    <n v="0"/>
    <n v="0"/>
    <n v="0"/>
    <n v="0"/>
    <n v="250000"/>
    <n v="250000"/>
    <n v="0.66"/>
    <n v="165000"/>
    <m/>
    <m/>
    <m/>
    <m/>
    <m/>
    <n v="0.2"/>
    <n v="33000"/>
    <m/>
    <n v="33000"/>
  </r>
  <r>
    <x v="14"/>
    <s v="Strategies for Digital Transformation of processes and equipments in microbreweries_x000a_Predictive maintenance (pumps, heaters, agitators, etc.)"/>
    <x v="14"/>
    <x v="0"/>
    <n v="6"/>
    <n v="6"/>
    <x v="0"/>
    <x v="2"/>
    <s v="CORNET Call BR and DE_x000a_DE: Fraunhofer IPK, VLB _x000a_BR: IFSP and Microbreweries"/>
    <d v="2021-08-01T00:00:00"/>
    <x v="3"/>
    <m/>
    <n v="6.32"/>
    <s v="BM07"/>
    <m/>
    <m/>
    <n v="24"/>
    <m/>
    <d v="2021-09-14T00:00:00"/>
    <m/>
    <d v="2021-11-01T00:00:00"/>
    <m/>
    <m/>
    <m/>
    <m/>
    <s v="IPK"/>
    <s v="David Domingos"/>
    <n v="250000"/>
    <m/>
    <m/>
    <m/>
    <m/>
    <s v="ITA"/>
    <m/>
    <m/>
    <m/>
    <m/>
    <m/>
    <m/>
    <m/>
    <m/>
    <m/>
    <m/>
    <m/>
    <m/>
    <m/>
    <m/>
    <m/>
    <m/>
    <m/>
    <m/>
    <m/>
    <m/>
    <m/>
    <s v="IFSP"/>
    <m/>
    <m/>
    <m/>
    <m/>
    <m/>
    <m/>
    <m/>
    <m/>
    <m/>
    <m/>
    <m/>
    <m/>
    <m/>
    <m/>
    <m/>
    <s v="AiF (IGF)"/>
    <s v="felix Rotter"/>
    <n v="250000"/>
    <m/>
    <m/>
    <m/>
    <n v="250000"/>
    <n v="250000"/>
    <n v="250000"/>
    <n v="0"/>
    <n v="0"/>
    <n v="1"/>
    <n v="1"/>
    <s v="Industry"/>
    <n v="250000"/>
    <n v="0"/>
    <n v="0"/>
    <n v="0"/>
    <n v="0"/>
    <e v="#DIV/0!"/>
    <e v="#DIV/0!"/>
    <n v="0"/>
    <n v="0"/>
    <n v="250000"/>
    <n v="250000"/>
    <n v="250000"/>
    <n v="0"/>
    <n v="0"/>
    <n v="0"/>
    <n v="0"/>
    <n v="250000"/>
    <n v="0"/>
    <n v="0"/>
    <n v="0"/>
    <n v="0"/>
    <n v="250000"/>
    <n v="250000"/>
    <n v="0.66"/>
    <n v="165000"/>
    <m/>
    <m/>
    <n v="132000"/>
    <m/>
    <m/>
    <n v="0.2"/>
    <n v="33000"/>
    <m/>
    <n v="33000"/>
  </r>
  <r>
    <x v="15"/>
    <s v="Business Model Development for Product &amp; Service Commercialization in the Field of Applied Research in Electrical Systems and Equipment in Latin America"/>
    <x v="15"/>
    <x v="1"/>
    <n v="1"/>
    <n v="1"/>
    <x v="0"/>
    <x v="2"/>
    <m/>
    <d v="2021-01-01T00:00:00"/>
    <x v="3"/>
    <m/>
    <m/>
    <m/>
    <m/>
    <m/>
    <n v="10"/>
    <m/>
    <d v="2021-01-01T00:00:00"/>
    <m/>
    <d v="2021-03-01T00:00:00"/>
    <d v="2021-10-29T00:00:00"/>
    <m/>
    <m/>
    <m/>
    <s v="IPK"/>
    <s v="David Domingos"/>
    <m/>
    <n v="290000"/>
    <m/>
    <m/>
    <m/>
    <s v="ITA"/>
    <m/>
    <m/>
    <m/>
    <m/>
    <m/>
    <m/>
    <m/>
    <m/>
    <m/>
    <m/>
    <m/>
    <m/>
    <m/>
    <m/>
    <m/>
    <m/>
    <m/>
    <m/>
    <m/>
    <m/>
    <m/>
    <s v="CEPEL"/>
    <s v="Maurício Barreto Lisboa"/>
    <n v="290000"/>
    <m/>
    <m/>
    <m/>
    <m/>
    <m/>
    <m/>
    <m/>
    <m/>
    <m/>
    <m/>
    <m/>
    <m/>
    <m/>
    <m/>
    <m/>
    <m/>
    <m/>
    <m/>
    <m/>
    <n v="290000"/>
    <n v="290000"/>
    <n v="290000"/>
    <n v="0"/>
    <n v="0"/>
    <n v="1"/>
    <n v="1"/>
    <s v="Industry"/>
    <n v="0"/>
    <n v="290000"/>
    <n v="0"/>
    <n v="0"/>
    <n v="0"/>
    <e v="#DIV/0!"/>
    <e v="#DIV/0!"/>
    <n v="0"/>
    <n v="0"/>
    <n v="290000"/>
    <n v="290000"/>
    <n v="0"/>
    <n v="290000"/>
    <n v="0"/>
    <n v="0"/>
    <n v="0"/>
    <n v="0"/>
    <n v="290000"/>
    <n v="0"/>
    <n v="0"/>
    <n v="0"/>
    <n v="290000"/>
    <n v="290000"/>
    <n v="0.5"/>
    <n v="145000"/>
    <m/>
    <n v="116000"/>
    <m/>
    <m/>
    <m/>
    <n v="0.2"/>
    <n v="29000"/>
    <m/>
    <n v="29000"/>
  </r>
  <r>
    <x v="16"/>
    <s v="Create initial target model for corporation"/>
    <x v="16"/>
    <x v="4"/>
    <n v="1"/>
    <n v="1"/>
    <x v="0"/>
    <x v="2"/>
    <m/>
    <d v="2021-10-01T00:00:00"/>
    <x v="0"/>
    <m/>
    <m/>
    <m/>
    <m/>
    <m/>
    <n v="6"/>
    <m/>
    <m/>
    <m/>
    <d v="2021-10-01T00:00:00"/>
    <m/>
    <m/>
    <m/>
    <m/>
    <s v="IPK"/>
    <s v="David Domingos"/>
    <m/>
    <n v="153360"/>
    <m/>
    <m/>
    <m/>
    <s v="ITA"/>
    <m/>
    <m/>
    <m/>
    <m/>
    <m/>
    <m/>
    <m/>
    <s v="ISI Embedded Systems"/>
    <s v="Paulo Violada"/>
    <m/>
    <m/>
    <m/>
    <m/>
    <m/>
    <m/>
    <m/>
    <m/>
    <m/>
    <m/>
    <m/>
    <m/>
    <s v="BUNGE"/>
    <s v="Renan Bonnard"/>
    <n v="153360"/>
    <m/>
    <m/>
    <m/>
    <m/>
    <m/>
    <m/>
    <m/>
    <m/>
    <m/>
    <m/>
    <m/>
    <m/>
    <m/>
    <m/>
    <m/>
    <m/>
    <m/>
    <m/>
    <m/>
    <n v="153360"/>
    <n v="153360"/>
    <n v="153360"/>
    <n v="0"/>
    <n v="0"/>
    <n v="1"/>
    <n v="1"/>
    <s v="Industry"/>
    <n v="0"/>
    <n v="153360"/>
    <n v="0"/>
    <n v="0"/>
    <n v="0"/>
    <e v="#DIV/0!"/>
    <e v="#DIV/0!"/>
    <n v="0"/>
    <n v="0"/>
    <n v="153360"/>
    <n v="153360"/>
    <n v="0"/>
    <n v="153360"/>
    <n v="0"/>
    <n v="0"/>
    <n v="0"/>
    <n v="0"/>
    <n v="153360"/>
    <n v="0"/>
    <n v="0"/>
    <n v="0"/>
    <n v="153360"/>
    <n v="153360"/>
    <n v="0.3"/>
    <n v="46008"/>
    <m/>
    <m/>
    <m/>
    <m/>
    <m/>
    <n v="0.2"/>
    <n v="9201.6"/>
    <m/>
    <n v="9201.6"/>
  </r>
  <r>
    <x v="17"/>
    <s v="Subprojeto Automação e Manufatura"/>
    <x v="17"/>
    <x v="5"/>
    <n v="1"/>
    <n v="0"/>
    <x v="2"/>
    <x v="1"/>
    <s v="Financial support approved. Waiting the agreement signature"/>
    <d v="2021-12-02T00:00:00"/>
    <x v="2"/>
    <s v="1. Early project acquisition"/>
    <m/>
    <m/>
    <m/>
    <m/>
    <m/>
    <m/>
    <m/>
    <m/>
    <m/>
    <m/>
    <m/>
    <m/>
    <m/>
    <s v="IPK"/>
    <m/>
    <m/>
    <m/>
    <m/>
    <m/>
    <m/>
    <s v="ITA"/>
    <s v="Wesley Oliveira"/>
    <s v="Ivan Rehder"/>
    <m/>
    <m/>
    <m/>
    <m/>
    <m/>
    <m/>
    <m/>
    <m/>
    <m/>
    <m/>
    <m/>
    <m/>
    <m/>
    <m/>
    <m/>
    <m/>
    <m/>
    <m/>
    <m/>
    <m/>
    <m/>
    <m/>
    <m/>
    <m/>
    <m/>
    <m/>
    <m/>
    <m/>
    <m/>
    <m/>
    <m/>
    <m/>
    <m/>
    <m/>
    <m/>
    <m/>
    <m/>
    <m/>
    <m/>
    <m/>
    <m/>
    <n v="0"/>
    <n v="0"/>
    <n v="0"/>
    <n v="0"/>
    <n v="0"/>
    <e v="#DIV/0!"/>
    <e v="#DIV/0!"/>
    <s v="Public Funding"/>
    <n v="0"/>
    <n v="0"/>
    <n v="0"/>
    <n v="0"/>
    <n v="0"/>
    <e v="#DIV/0!"/>
    <e v="#DIV/0!"/>
    <n v="0"/>
    <n v="0"/>
    <n v="0"/>
    <n v="0"/>
    <n v="0"/>
    <n v="0"/>
    <n v="0"/>
    <n v="0"/>
    <n v="0"/>
    <n v="0"/>
    <n v="0"/>
    <n v="0"/>
    <n v="0"/>
    <n v="0"/>
    <n v="0"/>
    <n v="0"/>
    <m/>
    <n v="0"/>
    <m/>
    <m/>
    <m/>
    <m/>
    <m/>
    <m/>
    <n v="0"/>
    <m/>
    <n v="0"/>
  </r>
  <r>
    <x v="18"/>
    <s v="Electric truck transmission system control"/>
    <x v="18"/>
    <x v="2"/>
    <n v="1"/>
    <n v="0"/>
    <x v="2"/>
    <x v="2"/>
    <m/>
    <d v="2021-11-09T00:00:00"/>
    <x v="2"/>
    <s v="2. Definition of the technical goals"/>
    <m/>
    <m/>
    <m/>
    <m/>
    <m/>
    <m/>
    <m/>
    <m/>
    <m/>
    <m/>
    <m/>
    <m/>
    <m/>
    <s v="IPK"/>
    <m/>
    <m/>
    <m/>
    <m/>
    <m/>
    <m/>
    <s v="ITA"/>
    <s v="Carlos Eguti"/>
    <s v="Ivan Rehder"/>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9"/>
    <s v="Barkhausen grinding burnout analysis."/>
    <x v="19"/>
    <x v="1"/>
    <n v="1"/>
    <n v="0"/>
    <x v="2"/>
    <x v="2"/>
    <s v="Falta elaborar a proposta técnica (Stand-by)"/>
    <d v="2021-11-09T00:00:00"/>
    <x v="5"/>
    <s v="1. Early project acquisition"/>
    <m/>
    <m/>
    <m/>
    <m/>
    <m/>
    <m/>
    <m/>
    <m/>
    <m/>
    <m/>
    <m/>
    <m/>
    <m/>
    <s v="IPK"/>
    <m/>
    <m/>
    <m/>
    <m/>
    <m/>
    <m/>
    <s v="ITA"/>
    <s v="Bruno Oliveira"/>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20"/>
    <s v="Wind epicycloidal train bench."/>
    <x v="20"/>
    <x v="1"/>
    <n v="1"/>
    <n v="0"/>
    <x v="2"/>
    <x v="2"/>
    <m/>
    <d v="2021-11-10T00:00:00"/>
    <x v="5"/>
    <s v="1. Early project acquisition"/>
    <m/>
    <m/>
    <m/>
    <m/>
    <m/>
    <m/>
    <m/>
    <m/>
    <m/>
    <m/>
    <m/>
    <m/>
    <m/>
    <s v="IPK"/>
    <m/>
    <m/>
    <m/>
    <m/>
    <m/>
    <m/>
    <s v="ITA"/>
    <s v="Ronnie Rego"/>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21"/>
    <s v="Bancada de rolamentos"/>
    <x v="21"/>
    <x v="2"/>
    <n v="1"/>
    <n v="0"/>
    <x v="2"/>
    <x v="2"/>
    <m/>
    <d v="2021-08-06T00:00:00"/>
    <x v="1"/>
    <s v="6. Proposal declined"/>
    <m/>
    <m/>
    <m/>
    <m/>
    <m/>
    <m/>
    <m/>
    <m/>
    <m/>
    <m/>
    <m/>
    <m/>
    <d v="2022-02-24T00:00:00"/>
    <s v="IPK"/>
    <m/>
    <m/>
    <m/>
    <m/>
    <m/>
    <m/>
    <s v="ITA"/>
    <s v="Rodrigo Metzger"/>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22"/>
    <s v="Desafio Inova Azul 2ª Ed."/>
    <x v="22"/>
    <x v="5"/>
    <n v="1"/>
    <n v="0"/>
    <x v="2"/>
    <x v="2"/>
    <m/>
    <d v="2021-11-25T00:00:00"/>
    <x v="2"/>
    <s v="1. Early project acquisition"/>
    <m/>
    <m/>
    <m/>
    <m/>
    <m/>
    <m/>
    <m/>
    <m/>
    <m/>
    <m/>
    <m/>
    <m/>
    <m/>
    <s v="IPK"/>
    <m/>
    <m/>
    <m/>
    <m/>
    <m/>
    <m/>
    <s v="ITA"/>
    <s v="Anderson Borille"/>
    <s v="Mateus Ferreira"/>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23"/>
    <s v="Evaluation of machinability improvement and cost reduction in new alloys"/>
    <x v="23"/>
    <x v="3"/>
    <n v="1"/>
    <n v="0"/>
    <x v="2"/>
    <x v="2"/>
    <m/>
    <d v="2021-09-14T00:00:00"/>
    <x v="5"/>
    <s v="1. Early project acquisition"/>
    <m/>
    <m/>
    <m/>
    <m/>
    <m/>
    <m/>
    <m/>
    <m/>
    <m/>
    <m/>
    <m/>
    <m/>
    <m/>
    <s v="IPK"/>
    <m/>
    <m/>
    <m/>
    <m/>
    <m/>
    <m/>
    <s v="ITA"/>
    <s v="Anderson Borille"/>
    <s v="André Canal"/>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24"/>
    <s v="Manufatura Avançada para viabilização da mobilidade elétrica de aeronaves"/>
    <x v="24"/>
    <x v="6"/>
    <n v="0"/>
    <n v="0"/>
    <x v="2"/>
    <x v="1"/>
    <m/>
    <d v="2021-10-15T00:00:00"/>
    <x v="3"/>
    <s v="4. Proposal submission and follow-up"/>
    <n v="6.58"/>
    <m/>
    <m/>
    <m/>
    <m/>
    <m/>
    <m/>
    <m/>
    <m/>
    <d v="2021-10-15T00:00:00"/>
    <m/>
    <m/>
    <m/>
    <s v="IPK"/>
    <m/>
    <m/>
    <m/>
    <m/>
    <m/>
    <m/>
    <s v="ITA"/>
    <s v="Ronnie Rego"/>
    <s v="Ronnie Rego"/>
    <m/>
    <m/>
    <m/>
    <n v="2507598.7841945291"/>
    <m/>
    <m/>
    <m/>
    <m/>
    <m/>
    <m/>
    <m/>
    <m/>
    <m/>
    <m/>
    <m/>
    <m/>
    <m/>
    <m/>
    <m/>
    <m/>
    <m/>
    <m/>
    <m/>
    <m/>
    <m/>
    <m/>
    <m/>
    <m/>
    <m/>
    <m/>
    <m/>
    <m/>
    <m/>
    <m/>
    <m/>
    <m/>
    <m/>
    <m/>
    <m/>
    <m/>
    <m/>
    <n v="0"/>
    <n v="0"/>
    <n v="0"/>
    <n v="0"/>
    <n v="0"/>
    <e v="#DIV/0!"/>
    <e v="#DIV/0!"/>
    <s v="Public Funding"/>
    <n v="0"/>
    <n v="0"/>
    <n v="2507598.7841945291"/>
    <n v="0"/>
    <n v="2507598.7841945291"/>
    <n v="0"/>
    <s v="Public Funding"/>
    <n v="0"/>
    <n v="2507598.7841945291"/>
    <n v="2507598.7841945291"/>
    <n v="0"/>
    <n v="0"/>
    <n v="0"/>
    <n v="2507598.7841945291"/>
    <n v="0"/>
    <n v="2507598.7841945291"/>
    <n v="0"/>
    <n v="2507598.7841945291"/>
    <n v="0"/>
    <n v="0"/>
    <n v="0"/>
    <n v="2507598.7841945291"/>
    <n v="0"/>
    <m/>
    <n v="0"/>
    <m/>
    <m/>
    <m/>
    <m/>
    <m/>
    <m/>
    <n v="0"/>
    <m/>
    <n v="0"/>
  </r>
  <r>
    <x v="25"/>
    <s v="Nb stamping tools"/>
    <x v="25"/>
    <x v="2"/>
    <n v="3"/>
    <n v="0"/>
    <x v="2"/>
    <x v="1"/>
    <s v="Was not submitted in to ROTA2030"/>
    <d v="2021-09-14T00:00:00"/>
    <x v="1"/>
    <s v="6. Proposal declined"/>
    <m/>
    <m/>
    <m/>
    <m/>
    <m/>
    <m/>
    <d v="2021-09-14T00:00:00"/>
    <m/>
    <d v="2022-02-07T00:00:00"/>
    <m/>
    <m/>
    <m/>
    <d v="2022-05-26T00:00:00"/>
    <s v="IPK"/>
    <m/>
    <m/>
    <m/>
    <m/>
    <m/>
    <m/>
    <s v="ITA"/>
    <s v="Alfredo Faria "/>
    <s v="André Lima"/>
    <m/>
    <m/>
    <m/>
    <m/>
    <m/>
    <m/>
    <m/>
    <m/>
    <m/>
    <m/>
    <m/>
    <m/>
    <m/>
    <m/>
    <m/>
    <m/>
    <m/>
    <m/>
    <m/>
    <m/>
    <m/>
    <m/>
    <m/>
    <m/>
    <m/>
    <m/>
    <m/>
    <m/>
    <m/>
    <m/>
    <m/>
    <m/>
    <m/>
    <m/>
    <m/>
    <m/>
    <m/>
    <m/>
    <m/>
    <m/>
    <m/>
    <n v="0"/>
    <n v="0"/>
    <n v="0"/>
    <n v="0"/>
    <n v="0"/>
    <e v="#DIV/0!"/>
    <e v="#DIV/0!"/>
    <s v="Public Funding"/>
    <n v="0"/>
    <n v="0"/>
    <n v="0"/>
    <n v="0"/>
    <n v="0"/>
    <e v="#DIV/0!"/>
    <e v="#DIV/0!"/>
    <n v="0"/>
    <n v="0"/>
    <n v="0"/>
    <n v="0"/>
    <n v="0"/>
    <n v="0"/>
    <n v="0"/>
    <n v="0"/>
    <n v="0"/>
    <n v="0"/>
    <n v="0"/>
    <n v="0"/>
    <n v="0"/>
    <n v="0"/>
    <n v="0"/>
    <n v="0"/>
    <m/>
    <n v="0"/>
    <m/>
    <m/>
    <m/>
    <m/>
    <m/>
    <m/>
    <n v="0"/>
    <m/>
    <n v="0"/>
  </r>
  <r>
    <x v="26"/>
    <s v="Structural analysis"/>
    <x v="5"/>
    <x v="4"/>
    <n v="1"/>
    <n v="0"/>
    <x v="1"/>
    <x v="2"/>
    <m/>
    <d v="2021-08-02T00:00:00"/>
    <x v="2"/>
    <s v="1. Early project acquisition"/>
    <m/>
    <m/>
    <m/>
    <m/>
    <m/>
    <m/>
    <m/>
    <m/>
    <m/>
    <m/>
    <m/>
    <m/>
    <m/>
    <s v="IPK"/>
    <m/>
    <m/>
    <m/>
    <m/>
    <m/>
    <m/>
    <s v="ITA"/>
    <s v="Alfredo Faria "/>
    <s v="André Lima"/>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27"/>
    <s v="Artificial intelligence for the design of residual stress."/>
    <x v="26"/>
    <x v="3"/>
    <m/>
    <m/>
    <x v="3"/>
    <x v="1"/>
    <m/>
    <d v="2021-04-14T00:00:00"/>
    <x v="0"/>
    <s v="2. Definition of the technical goals"/>
    <m/>
    <m/>
    <m/>
    <m/>
    <m/>
    <m/>
    <m/>
    <m/>
    <d v="2021-12-01T00:00:00"/>
    <m/>
    <m/>
    <m/>
    <m/>
    <s v="IPK"/>
    <m/>
    <m/>
    <m/>
    <m/>
    <m/>
    <m/>
    <s v="ITA"/>
    <s v="Carla Cunha"/>
    <s v="Angelo Carvalho"/>
    <m/>
    <m/>
    <m/>
    <m/>
    <m/>
    <m/>
    <m/>
    <m/>
    <m/>
    <m/>
    <m/>
    <m/>
    <m/>
    <m/>
    <m/>
    <m/>
    <m/>
    <m/>
    <m/>
    <m/>
    <m/>
    <m/>
    <m/>
    <m/>
    <m/>
    <m/>
    <m/>
    <m/>
    <m/>
    <m/>
    <m/>
    <m/>
    <m/>
    <m/>
    <m/>
    <m/>
    <m/>
    <m/>
    <m/>
    <m/>
    <m/>
    <n v="0"/>
    <n v="0"/>
    <n v="0"/>
    <n v="0"/>
    <n v="0"/>
    <e v="#DIV/0!"/>
    <e v="#DIV/0!"/>
    <s v="Public Funding"/>
    <n v="0"/>
    <n v="0"/>
    <n v="0"/>
    <n v="0"/>
    <n v="0"/>
    <e v="#DIV/0!"/>
    <e v="#DIV/0!"/>
    <n v="0"/>
    <n v="0"/>
    <n v="0"/>
    <n v="0"/>
    <n v="0"/>
    <n v="0"/>
    <n v="0"/>
    <n v="0"/>
    <n v="0"/>
    <n v="0"/>
    <n v="0"/>
    <n v="0"/>
    <n v="0"/>
    <n v="0"/>
    <n v="0"/>
    <n v="0"/>
    <m/>
    <n v="0"/>
    <m/>
    <m/>
    <m/>
    <m/>
    <m/>
    <m/>
    <n v="0"/>
    <m/>
    <n v="0"/>
  </r>
  <r>
    <x v="28"/>
    <s v="Gearbox for electric tractor."/>
    <x v="27"/>
    <x v="4"/>
    <n v="5"/>
    <n v="0"/>
    <x v="2"/>
    <x v="2"/>
    <m/>
    <d v="2021-08-02T00:00:00"/>
    <x v="1"/>
    <s v="6. Proposal declined"/>
    <m/>
    <m/>
    <m/>
    <m/>
    <m/>
    <m/>
    <m/>
    <m/>
    <d v="2021-09-09T00:00:00"/>
    <m/>
    <m/>
    <m/>
    <m/>
    <s v="IPK"/>
    <m/>
    <m/>
    <m/>
    <m/>
    <m/>
    <m/>
    <s v="ITA"/>
    <s v="Angelo Carvalho"/>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29"/>
    <s v="Inclusionary Cleaning for Automotive Product Manufacturing."/>
    <x v="28"/>
    <x v="3"/>
    <n v="2"/>
    <n v="0"/>
    <x v="2"/>
    <x v="2"/>
    <m/>
    <d v="2021-06-10T00:00:00"/>
    <x v="0"/>
    <s v="2. Definition of the technical goals"/>
    <n v="6.36"/>
    <s v="BM04B"/>
    <m/>
    <m/>
    <m/>
    <m/>
    <m/>
    <m/>
    <d v="2021-10-21T00:00:00"/>
    <m/>
    <m/>
    <m/>
    <m/>
    <s v="IPK"/>
    <m/>
    <m/>
    <m/>
    <m/>
    <m/>
    <m/>
    <s v="ITA"/>
    <s v="Tiago Colombo"/>
    <s v="Angelo Carvalho"/>
    <m/>
    <n v="78616.352201257861"/>
    <m/>
    <n v="117924.52830188679"/>
    <m/>
    <m/>
    <m/>
    <m/>
    <m/>
    <m/>
    <m/>
    <m/>
    <m/>
    <m/>
    <m/>
    <m/>
    <m/>
    <m/>
    <m/>
    <m/>
    <m/>
    <n v="78616.352201257861"/>
    <m/>
    <m/>
    <m/>
    <m/>
    <m/>
    <m/>
    <m/>
    <m/>
    <m/>
    <m/>
    <m/>
    <m/>
    <m/>
    <s v="EMBRAPII"/>
    <m/>
    <n v="117924.52830188679"/>
    <m/>
    <m/>
    <m/>
    <n v="0"/>
    <n v="0"/>
    <n v="0"/>
    <n v="0"/>
    <n v="0"/>
    <e v="#DIV/0!"/>
    <e v="#DIV/0!"/>
    <s v="Industry"/>
    <n v="0"/>
    <n v="0"/>
    <n v="196540.88050314464"/>
    <n v="78616.352201257861"/>
    <n v="117924.52830188679"/>
    <n v="0.4"/>
    <s v="Public Funding"/>
    <n v="0"/>
    <n v="196540.88050314464"/>
    <n v="196540.88050314464"/>
    <n v="78616.352201257861"/>
    <n v="0"/>
    <n v="78616.352201257861"/>
    <n v="117924.52830188679"/>
    <n v="0"/>
    <n v="117924.52830188679"/>
    <n v="0"/>
    <n v="196540.88050314464"/>
    <n v="0"/>
    <n v="0"/>
    <n v="0"/>
    <n v="196540.88050314464"/>
    <n v="0"/>
    <m/>
    <n v="0"/>
    <m/>
    <m/>
    <m/>
    <m/>
    <m/>
    <m/>
    <n v="0"/>
    <m/>
    <n v="0"/>
  </r>
  <r>
    <x v="30"/>
    <s v="Desafio Inova Azul 2ª Ed."/>
    <x v="22"/>
    <x v="5"/>
    <n v="1"/>
    <n v="0"/>
    <x v="2"/>
    <x v="2"/>
    <m/>
    <m/>
    <x v="1"/>
    <s v="6. Proposal declined"/>
    <m/>
    <m/>
    <m/>
    <m/>
    <m/>
    <m/>
    <m/>
    <m/>
    <m/>
    <m/>
    <m/>
    <m/>
    <m/>
    <s v="IPK"/>
    <m/>
    <m/>
    <m/>
    <m/>
    <m/>
    <m/>
    <s v="ITA"/>
    <s v="Anderson Borille"/>
    <s v="Mateus Ferreira"/>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31"/>
    <s v="Engineering Research Center for the Aerial Mobility of the Future “Cel. Ozires Silva” (ERC-AMFOS)"/>
    <x v="17"/>
    <x v="5"/>
    <n v="1"/>
    <n v="0"/>
    <x v="2"/>
    <x v="2"/>
    <s v="Financial support approved. Waiting the agreement signature"/>
    <d v="2021-03-01T00:00:00"/>
    <x v="3"/>
    <s v="4. Proposal submission and follow-up"/>
    <m/>
    <m/>
    <m/>
    <m/>
    <m/>
    <m/>
    <d v="2021-03-01T00:00:00"/>
    <m/>
    <d v="2021-06-30T00:00:00"/>
    <d v="2021-10-01T00:00:00"/>
    <m/>
    <m/>
    <m/>
    <s v="IPK"/>
    <m/>
    <m/>
    <m/>
    <m/>
    <m/>
    <m/>
    <s v="ITA"/>
    <s v="Emília Vilanni "/>
    <s v="Ivan Rehder"/>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32"/>
    <s v="Automação para Cervejaria 4.0"/>
    <x v="29"/>
    <x v="0"/>
    <n v="1"/>
    <n v="0"/>
    <x v="2"/>
    <x v="0"/>
    <m/>
    <d v="2021-03-15T00:00:00"/>
    <x v="1"/>
    <s v="6. Proposal declined"/>
    <m/>
    <m/>
    <m/>
    <m/>
    <m/>
    <m/>
    <m/>
    <m/>
    <m/>
    <m/>
    <m/>
    <m/>
    <m/>
    <s v="IPK"/>
    <m/>
    <m/>
    <m/>
    <m/>
    <m/>
    <m/>
    <s v="ITA"/>
    <s v="Wesley Oliveira / Eguti"/>
    <s v="Ivan Rehder"/>
    <m/>
    <m/>
    <m/>
    <m/>
    <m/>
    <m/>
    <m/>
    <m/>
    <m/>
    <m/>
    <m/>
    <m/>
    <m/>
    <m/>
    <m/>
    <m/>
    <m/>
    <m/>
    <m/>
    <m/>
    <m/>
    <m/>
    <m/>
    <m/>
    <m/>
    <m/>
    <m/>
    <m/>
    <m/>
    <m/>
    <m/>
    <m/>
    <m/>
    <m/>
    <m/>
    <m/>
    <m/>
    <m/>
    <m/>
    <m/>
    <m/>
    <n v="0"/>
    <n v="0"/>
    <n v="0"/>
    <n v="0"/>
    <n v="0"/>
    <e v="#DIV/0!"/>
    <e v="#DIV/0!"/>
    <n v="0"/>
    <n v="0"/>
    <n v="0"/>
    <n v="0"/>
    <n v="0"/>
    <n v="0"/>
    <e v="#DIV/0!"/>
    <e v="#DIV/0!"/>
    <n v="0"/>
    <n v="0"/>
    <n v="0"/>
    <n v="0"/>
    <n v="0"/>
    <n v="0"/>
    <n v="0"/>
    <n v="0"/>
    <n v="0"/>
    <n v="0"/>
    <n v="0"/>
    <n v="0"/>
    <n v="0"/>
    <n v="0"/>
    <n v="0"/>
    <n v="0"/>
    <m/>
    <n v="0"/>
    <m/>
    <m/>
    <m/>
    <m/>
    <m/>
    <m/>
    <n v="0"/>
    <m/>
    <n v="0"/>
  </r>
  <r>
    <x v="33"/>
    <s v="NVH emission analysis of pump drivetrain system"/>
    <x v="30"/>
    <x v="0"/>
    <n v="1"/>
    <n v="0"/>
    <x v="2"/>
    <x v="2"/>
    <m/>
    <d v="2021-05-19T00:00:00"/>
    <x v="5"/>
    <s v="6. Proposal declined"/>
    <m/>
    <m/>
    <m/>
    <m/>
    <m/>
    <m/>
    <m/>
    <d v="2021-12-02T00:00:00"/>
    <d v="2021-06-17T00:00:00"/>
    <m/>
    <m/>
    <m/>
    <m/>
    <s v="IPK"/>
    <m/>
    <m/>
    <m/>
    <m/>
    <m/>
    <m/>
    <s v="ITA"/>
    <s v="Tiago Colombo"/>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34"/>
    <s v="Development of powder metallurgy gears, transmission and electric motor with resource efficiency improvement."/>
    <x v="31"/>
    <x v="2"/>
    <n v="3"/>
    <n v="0"/>
    <x v="2"/>
    <x v="2"/>
    <m/>
    <d v="2021-04-27T00:00:00"/>
    <x v="0"/>
    <s v="2. Definition of the technical goals"/>
    <m/>
    <s v="BM04B"/>
    <m/>
    <m/>
    <m/>
    <m/>
    <m/>
    <m/>
    <d v="2021-08-26T00:00:00"/>
    <m/>
    <m/>
    <m/>
    <m/>
    <s v="IPK"/>
    <m/>
    <m/>
    <m/>
    <m/>
    <m/>
    <m/>
    <s v="ITA"/>
    <s v="Guilherme Santos"/>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35"/>
    <s v="Soft magnetical components for e-mobility"/>
    <x v="32"/>
    <x v="2"/>
    <n v="1"/>
    <n v="0"/>
    <x v="2"/>
    <x v="2"/>
    <m/>
    <d v="2021-04-27T00:00:00"/>
    <x v="1"/>
    <s v="6. Proposal declined"/>
    <m/>
    <s v="BM04B"/>
    <m/>
    <m/>
    <m/>
    <m/>
    <m/>
    <m/>
    <m/>
    <m/>
    <m/>
    <m/>
    <d v="2021-08-10T00:00:00"/>
    <s v="IPK"/>
    <m/>
    <m/>
    <m/>
    <m/>
    <m/>
    <m/>
    <s v="ITA"/>
    <s v="Ronnie Rego"/>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36"/>
    <m/>
    <x v="33"/>
    <x v="2"/>
    <n v="1"/>
    <n v="0"/>
    <x v="2"/>
    <x v="2"/>
    <m/>
    <d v="2021-04-27T00:00:00"/>
    <x v="5"/>
    <s v="6. Proposal declined"/>
    <m/>
    <s v="BM04B"/>
    <m/>
    <m/>
    <m/>
    <m/>
    <m/>
    <d v="2021-12-02T00:00:00"/>
    <m/>
    <m/>
    <m/>
    <m/>
    <m/>
    <s v="IPK"/>
    <m/>
    <m/>
    <m/>
    <m/>
    <m/>
    <m/>
    <s v="ITA"/>
    <s v="Ronnie Rego"/>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37"/>
    <s v="Superfinishing is a feasibility study, which aims to compare different types of superfinishing processes, polish grinding and isotropic finishing, in gear manufacturing chain."/>
    <x v="34"/>
    <x v="2"/>
    <n v="5"/>
    <n v="0"/>
    <x v="2"/>
    <x v="2"/>
    <s v="Sponsered by Engrena ITA"/>
    <m/>
    <x v="4"/>
    <s v="5. Project running"/>
    <m/>
    <m/>
    <m/>
    <m/>
    <m/>
    <m/>
    <m/>
    <m/>
    <d v="2021-04-08T00:00:00"/>
    <d v="2021-04-14T00:00:00"/>
    <d v="2021-05-06T00:00:00"/>
    <m/>
    <m/>
    <s v="IPK"/>
    <m/>
    <m/>
    <m/>
    <m/>
    <m/>
    <m/>
    <s v="ITA"/>
    <s v="Gilberto Martins"/>
    <s v="Angelo Carvalho"/>
    <n v="0"/>
    <n v="0"/>
    <n v="0"/>
    <n v="0"/>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38"/>
    <s v="Novel bio-based ingredients with antibacterial, antifungal and antiviral properties"/>
    <x v="13"/>
    <x v="7"/>
    <n v="1"/>
    <n v="2"/>
    <x v="0"/>
    <x v="1"/>
    <s v="Draft submitted"/>
    <d v="2020-12-01T00:00:00"/>
    <x v="1"/>
    <m/>
    <n v="6.72"/>
    <m/>
    <m/>
    <d v="2022-01-01T00:00:00"/>
    <n v="18"/>
    <d v="2024-06-30T00:00:00"/>
    <d v="2020-12-01T00:00:00"/>
    <m/>
    <d v="2021-01-01T00:00:00"/>
    <d v="2021-03-17T00:00:00"/>
    <m/>
    <m/>
    <m/>
    <s v="IPK"/>
    <s v="David Domingos"/>
    <m/>
    <m/>
    <n v="250000"/>
    <m/>
    <m/>
    <s v="ITA"/>
    <m/>
    <m/>
    <m/>
    <m/>
    <m/>
    <m/>
    <m/>
    <s v="IPT BioNano"/>
    <s v="Natalia Cerize"/>
    <m/>
    <m/>
    <m/>
    <n v="297619.04761904763"/>
    <m/>
    <s v="Fraunhofer IGB"/>
    <s v="Susanne Zibek"/>
    <m/>
    <m/>
    <n v="250000"/>
    <m/>
    <m/>
    <m/>
    <m/>
    <m/>
    <m/>
    <m/>
    <m/>
    <m/>
    <m/>
    <m/>
    <m/>
    <m/>
    <m/>
    <m/>
    <m/>
    <m/>
    <m/>
    <s v="BMBF"/>
    <m/>
    <n v="500000"/>
    <s v="FINEP"/>
    <m/>
    <n v="297619.04761904763"/>
    <n v="250000"/>
    <n v="250000"/>
    <n v="0"/>
    <n v="250000"/>
    <n v="0"/>
    <n v="1"/>
    <n v="0"/>
    <s v="Public Funding"/>
    <n v="250000"/>
    <n v="0"/>
    <n v="0"/>
    <n v="0"/>
    <n v="0"/>
    <e v="#DIV/0!"/>
    <e v="#DIV/0!"/>
    <n v="0"/>
    <n v="0"/>
    <n v="250000"/>
    <n v="0"/>
    <n v="0"/>
    <n v="0"/>
    <n v="250000"/>
    <n v="250000"/>
    <n v="0"/>
    <n v="250000"/>
    <n v="0"/>
    <n v="547619.04761904757"/>
    <n v="547619.04761904757"/>
    <n v="0"/>
    <n v="797619.04761904757"/>
    <n v="250000"/>
    <n v="0.1"/>
    <n v="25000"/>
    <m/>
    <m/>
    <m/>
    <m/>
    <m/>
    <n v="0.2"/>
    <n v="5000"/>
    <m/>
    <n v="5000"/>
  </r>
  <r>
    <x v="39"/>
    <s v="Additive manufacturing of metal-polymer gears."/>
    <x v="35"/>
    <x v="3"/>
    <n v="5"/>
    <n v="7"/>
    <x v="2"/>
    <x v="2"/>
    <s v="EMBRAPII + CORNET"/>
    <d v="2021-03-05T00:00:00"/>
    <x v="3"/>
    <s v="4. Proposal submission and follow-up"/>
    <n v="5.3"/>
    <s v="BM04B"/>
    <m/>
    <m/>
    <m/>
    <m/>
    <d v="2021-03-05T00:00:00"/>
    <m/>
    <d v="2021-10-05T00:00:00"/>
    <d v="2022-03-30T00:00:00"/>
    <m/>
    <m/>
    <m/>
    <s v="IPK"/>
    <m/>
    <m/>
    <m/>
    <m/>
    <m/>
    <m/>
    <s v="ITA"/>
    <s v="Guilherme Guimarães"/>
    <s v="Angelo Carvalho"/>
    <m/>
    <n v="50943.396226415098"/>
    <n v="275000"/>
    <n v="76415.09433962265"/>
    <n v="26037.735849056604"/>
    <m/>
    <m/>
    <m/>
    <m/>
    <m/>
    <m/>
    <m/>
    <m/>
    <m/>
    <m/>
    <m/>
    <m/>
    <m/>
    <m/>
    <m/>
    <m/>
    <n v="50943.396226415098"/>
    <m/>
    <m/>
    <m/>
    <m/>
    <m/>
    <m/>
    <m/>
    <m/>
    <m/>
    <m/>
    <m/>
    <m/>
    <m/>
    <s v="EMBRAPII, FVA"/>
    <m/>
    <n v="351415.09433962265"/>
    <m/>
    <m/>
    <m/>
    <n v="0"/>
    <n v="0"/>
    <n v="0"/>
    <n v="0"/>
    <n v="0"/>
    <e v="#DIV/0!"/>
    <e v="#DIV/0!"/>
    <s v="Industry"/>
    <n v="0"/>
    <n v="0"/>
    <n v="402358.49056603777"/>
    <n v="50943.396226415098"/>
    <n v="351415.09433962265"/>
    <n v="0.12661195779601406"/>
    <s v="Public Funding"/>
    <n v="275000"/>
    <n v="127358.49056603774"/>
    <n v="402358.49056603777"/>
    <n v="50943.396226415098"/>
    <n v="0"/>
    <n v="50943.396226415098"/>
    <n v="351415.09433962265"/>
    <n v="275000"/>
    <n v="76415.09433962265"/>
    <n v="275000"/>
    <n v="127358.49056603774"/>
    <n v="0"/>
    <n v="0"/>
    <n v="0"/>
    <n v="402358.49056603777"/>
    <n v="0"/>
    <m/>
    <n v="0"/>
    <m/>
    <m/>
    <m/>
    <m/>
    <m/>
    <m/>
    <n v="0"/>
    <m/>
    <n v="0"/>
  </r>
  <r>
    <x v="40"/>
    <s v="4 days training in Laser Hybrid Welding Technology at the facilities of Fraunhofer IPK for up to 5 employees "/>
    <x v="36"/>
    <x v="3"/>
    <n v="1"/>
    <n v="1"/>
    <x v="0"/>
    <x v="2"/>
    <s v="Proposal submitted by Powermig to FINEP. Waiting for approval for subsequent hiring of IPK"/>
    <d v="2020-11-01T00:00:00"/>
    <x v="4"/>
    <m/>
    <m/>
    <m/>
    <m/>
    <m/>
    <n v="1"/>
    <m/>
    <d v="2020-11-01T00:00:00"/>
    <m/>
    <d v="2020-12-01T00:00:00"/>
    <d v="2022-03-22T00:00:00"/>
    <d v="2022-06-14T00:00:00"/>
    <m/>
    <m/>
    <s v="IPK"/>
    <s v="David Domingos"/>
    <m/>
    <n v="29000"/>
    <m/>
    <m/>
    <m/>
    <s v="ITA"/>
    <m/>
    <m/>
    <m/>
    <m/>
    <m/>
    <m/>
    <m/>
    <m/>
    <m/>
    <m/>
    <m/>
    <m/>
    <m/>
    <m/>
    <m/>
    <m/>
    <m/>
    <m/>
    <m/>
    <m/>
    <m/>
    <s v="Powermig"/>
    <s v="Mairon Marques"/>
    <n v="29000"/>
    <m/>
    <m/>
    <m/>
    <m/>
    <m/>
    <m/>
    <m/>
    <m/>
    <m/>
    <m/>
    <m/>
    <m/>
    <m/>
    <s v="FINEP"/>
    <m/>
    <m/>
    <m/>
    <m/>
    <m/>
    <n v="29000"/>
    <n v="29000"/>
    <n v="29000"/>
    <n v="0"/>
    <n v="0"/>
    <n v="1"/>
    <n v="1"/>
    <s v="Industry"/>
    <n v="0"/>
    <n v="29000"/>
    <n v="0"/>
    <n v="0"/>
    <n v="0"/>
    <e v="#DIV/0!"/>
    <e v="#DIV/0!"/>
    <n v="0"/>
    <n v="0"/>
    <n v="29000"/>
    <n v="29000"/>
    <n v="0"/>
    <n v="29000"/>
    <n v="0"/>
    <n v="0"/>
    <n v="0"/>
    <n v="0"/>
    <n v="29000"/>
    <n v="0"/>
    <n v="0"/>
    <n v="0"/>
    <n v="29000"/>
    <n v="29000"/>
    <n v="1"/>
    <n v="29000"/>
    <m/>
    <m/>
    <m/>
    <m/>
    <m/>
    <n v="0.2"/>
    <n v="5800"/>
    <m/>
    <n v="5800"/>
  </r>
  <r>
    <x v="41"/>
    <m/>
    <x v="37"/>
    <x v="0"/>
    <n v="1"/>
    <m/>
    <x v="2"/>
    <x v="2"/>
    <m/>
    <d v="2020-11-03T00:00:00"/>
    <x v="1"/>
    <s v="6. Proposal declined"/>
    <n v="6.7"/>
    <s v="BM02"/>
    <m/>
    <m/>
    <m/>
    <m/>
    <d v="2020-11-03T00:00:00"/>
    <m/>
    <m/>
    <m/>
    <m/>
    <m/>
    <d v="2021-03-12T00:00:00"/>
    <s v="IPK"/>
    <m/>
    <m/>
    <m/>
    <m/>
    <m/>
    <m/>
    <s v="ITA"/>
    <s v="Wesley Oliveira "/>
    <s v="Ivan Rehder"/>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42"/>
    <s v="Co-Creation Strategy &amp; Industry 4.0 Roadmapping"/>
    <x v="38"/>
    <x v="3"/>
    <n v="1"/>
    <n v="1"/>
    <x v="0"/>
    <x v="2"/>
    <m/>
    <d v="2020-10-01T00:00:00"/>
    <x v="1"/>
    <m/>
    <m/>
    <m/>
    <m/>
    <d v="2021-03-01T00:00:00"/>
    <n v="6"/>
    <m/>
    <m/>
    <d v="2021-05-27T00:00:00"/>
    <d v="2020-10-01T00:00:00"/>
    <m/>
    <m/>
    <m/>
    <m/>
    <s v="IPK"/>
    <s v="David Domingos"/>
    <m/>
    <n v="231000"/>
    <m/>
    <m/>
    <m/>
    <s v="ITA"/>
    <m/>
    <m/>
    <m/>
    <m/>
    <m/>
    <m/>
    <m/>
    <m/>
    <m/>
    <m/>
    <m/>
    <m/>
    <m/>
    <m/>
    <m/>
    <m/>
    <m/>
    <m/>
    <m/>
    <m/>
    <m/>
    <s v="Ciser"/>
    <s v="Rafael König"/>
    <n v="231000"/>
    <m/>
    <m/>
    <m/>
    <m/>
    <m/>
    <m/>
    <m/>
    <m/>
    <m/>
    <m/>
    <m/>
    <m/>
    <m/>
    <m/>
    <m/>
    <m/>
    <m/>
    <m/>
    <m/>
    <n v="231000"/>
    <n v="231000"/>
    <n v="231000"/>
    <n v="0"/>
    <n v="0"/>
    <n v="1"/>
    <n v="1"/>
    <s v="Industry"/>
    <n v="0"/>
    <n v="231000"/>
    <n v="0"/>
    <n v="0"/>
    <n v="0"/>
    <e v="#DIV/0!"/>
    <e v="#DIV/0!"/>
    <n v="0"/>
    <n v="0"/>
    <n v="231000"/>
    <n v="231000"/>
    <n v="0"/>
    <n v="231000"/>
    <n v="0"/>
    <n v="0"/>
    <n v="0"/>
    <n v="0"/>
    <n v="231000"/>
    <n v="0"/>
    <n v="0"/>
    <n v="0"/>
    <n v="231000"/>
    <n v="231000"/>
    <n v="0.1"/>
    <n v="23100"/>
    <m/>
    <m/>
    <m/>
    <m/>
    <m/>
    <n v="0.2"/>
    <n v="4620"/>
    <n v="0"/>
    <n v="4620"/>
  </r>
  <r>
    <x v="43"/>
    <s v="2nd Challenge IGM AEA for advanced manufacturing "/>
    <x v="39"/>
    <x v="2"/>
    <n v="2"/>
    <m/>
    <x v="2"/>
    <x v="2"/>
    <s v="(Confirm business model)"/>
    <d v="2020-10-13T00:00:00"/>
    <x v="4"/>
    <s v="5. Project running"/>
    <n v="6.38"/>
    <m/>
    <m/>
    <m/>
    <m/>
    <m/>
    <d v="2020-07-20T00:00:00"/>
    <m/>
    <d v="2020-09-21T00:00:00"/>
    <d v="2021-01-16T00:00:00"/>
    <m/>
    <m/>
    <m/>
    <s v="IPK"/>
    <m/>
    <m/>
    <m/>
    <m/>
    <m/>
    <m/>
    <s v="ITA"/>
    <s v="Mateus Ferreira"/>
    <s v="Mateus Ferreira"/>
    <m/>
    <n v="11433.385579937305"/>
    <m/>
    <m/>
    <m/>
    <m/>
    <m/>
    <m/>
    <m/>
    <m/>
    <m/>
    <m/>
    <m/>
    <m/>
    <m/>
    <m/>
    <m/>
    <m/>
    <m/>
    <m/>
    <m/>
    <m/>
    <m/>
    <m/>
    <m/>
    <m/>
    <m/>
    <m/>
    <m/>
    <m/>
    <m/>
    <m/>
    <m/>
    <m/>
    <m/>
    <m/>
    <m/>
    <m/>
    <m/>
    <m/>
    <m/>
    <n v="0"/>
    <n v="0"/>
    <n v="0"/>
    <n v="0"/>
    <n v="0"/>
    <e v="#DIV/0!"/>
    <e v="#DIV/0!"/>
    <s v="Industry"/>
    <n v="0"/>
    <n v="0"/>
    <n v="11433.385579937305"/>
    <n v="11433.385579937305"/>
    <n v="0"/>
    <n v="1"/>
    <s v="Industry"/>
    <n v="0"/>
    <n v="11433.385579937305"/>
    <n v="11433.385579937305"/>
    <n v="11433.385579937305"/>
    <n v="0"/>
    <n v="11433.385579937305"/>
    <n v="0"/>
    <n v="0"/>
    <n v="0"/>
    <n v="0"/>
    <n v="11433.385579937305"/>
    <n v="0"/>
    <n v="0"/>
    <n v="0"/>
    <n v="11433.385579937305"/>
    <n v="0"/>
    <m/>
    <n v="0"/>
    <m/>
    <m/>
    <m/>
    <m/>
    <m/>
    <m/>
    <n v="0"/>
    <m/>
    <n v="0"/>
  </r>
  <r>
    <x v="44"/>
    <s v="Acquision and structuration for the venturi builder model correlated with the axis IV of Rota 2030"/>
    <x v="7"/>
    <x v="2"/>
    <m/>
    <m/>
    <x v="2"/>
    <x v="1"/>
    <m/>
    <d v="2020-10-13T00:00:00"/>
    <x v="3"/>
    <s v="4. Proposal submission and follow-up"/>
    <m/>
    <m/>
    <m/>
    <m/>
    <m/>
    <m/>
    <m/>
    <m/>
    <d v="2020-10-13T00:00:00"/>
    <d v="2021-01-29T00:00:00"/>
    <m/>
    <m/>
    <m/>
    <s v="IPK"/>
    <m/>
    <m/>
    <m/>
    <m/>
    <m/>
    <m/>
    <s v="ITA"/>
    <s v="Anderson Borille"/>
    <s v="Mateus Ferreira"/>
    <m/>
    <m/>
    <m/>
    <m/>
    <m/>
    <m/>
    <m/>
    <m/>
    <m/>
    <m/>
    <m/>
    <m/>
    <m/>
    <m/>
    <m/>
    <m/>
    <m/>
    <m/>
    <m/>
    <m/>
    <m/>
    <m/>
    <m/>
    <m/>
    <m/>
    <m/>
    <m/>
    <m/>
    <m/>
    <m/>
    <m/>
    <m/>
    <m/>
    <m/>
    <m/>
    <m/>
    <m/>
    <m/>
    <m/>
    <m/>
    <m/>
    <n v="0"/>
    <n v="0"/>
    <n v="0"/>
    <n v="0"/>
    <n v="0"/>
    <e v="#DIV/0!"/>
    <e v="#DIV/0!"/>
    <s v="Public Funding"/>
    <n v="0"/>
    <n v="0"/>
    <n v="0"/>
    <n v="0"/>
    <n v="0"/>
    <e v="#DIV/0!"/>
    <e v="#DIV/0!"/>
    <n v="0"/>
    <n v="0"/>
    <n v="0"/>
    <n v="0"/>
    <n v="0"/>
    <n v="0"/>
    <n v="0"/>
    <n v="0"/>
    <n v="0"/>
    <n v="0"/>
    <n v="0"/>
    <n v="0"/>
    <n v="0"/>
    <n v="0"/>
    <n v="0"/>
    <n v="0"/>
    <m/>
    <n v="0"/>
    <m/>
    <m/>
    <m/>
    <m/>
    <m/>
    <m/>
    <n v="0"/>
    <m/>
    <n v="0"/>
  </r>
  <r>
    <x v="45"/>
    <m/>
    <x v="40"/>
    <x v="0"/>
    <m/>
    <m/>
    <x v="2"/>
    <x v="2"/>
    <m/>
    <d v="2020-09-02T00:00:00"/>
    <x v="1"/>
    <s v="6. Proposal declined"/>
    <m/>
    <m/>
    <m/>
    <m/>
    <m/>
    <m/>
    <d v="2020-10-13T00:00:00"/>
    <m/>
    <m/>
    <m/>
    <m/>
    <m/>
    <d v="2020-12-16T00:00:00"/>
    <s v="IPK"/>
    <m/>
    <m/>
    <m/>
    <m/>
    <m/>
    <m/>
    <s v="ITA"/>
    <s v="Mateus Ferreira"/>
    <s v="Mateus Ferreira"/>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46"/>
    <s v="Development of equipments of additive manufacturing for automative applications."/>
    <x v="41"/>
    <x v="3"/>
    <n v="2"/>
    <n v="0"/>
    <x v="2"/>
    <x v="2"/>
    <s v="Co-execution of UFSC, EMBRAPII"/>
    <d v="2020-10-13T00:00:00"/>
    <x v="0"/>
    <s v="3. Analysis of resources"/>
    <n v="6.7"/>
    <s v="BM04B"/>
    <m/>
    <m/>
    <m/>
    <m/>
    <d v="2020-10-13T00:00:00"/>
    <m/>
    <d v="2020-11-03T00:00:00"/>
    <m/>
    <m/>
    <m/>
    <m/>
    <s v="IPK"/>
    <m/>
    <m/>
    <m/>
    <m/>
    <m/>
    <m/>
    <s v="ITA"/>
    <s v="Lucas Robatto"/>
    <s v="Angelo Carvalho"/>
    <m/>
    <n v="171940.29850746269"/>
    <m/>
    <n v="143283.58208955225"/>
    <m/>
    <m/>
    <m/>
    <m/>
    <m/>
    <m/>
    <m/>
    <m/>
    <m/>
    <m/>
    <m/>
    <m/>
    <m/>
    <m/>
    <m/>
    <s v="ALKIMAT"/>
    <m/>
    <n v="171940.29850746269"/>
    <m/>
    <m/>
    <m/>
    <m/>
    <m/>
    <m/>
    <m/>
    <m/>
    <m/>
    <m/>
    <m/>
    <m/>
    <m/>
    <s v="EMBRAPII"/>
    <m/>
    <n v="143283.58208955225"/>
    <m/>
    <m/>
    <m/>
    <n v="0"/>
    <n v="0"/>
    <n v="0"/>
    <n v="0"/>
    <n v="0"/>
    <e v="#DIV/0!"/>
    <e v="#DIV/0!"/>
    <s v="Industry"/>
    <n v="0"/>
    <n v="0"/>
    <n v="315223.88059701491"/>
    <n v="171940.29850746269"/>
    <n v="143283.58208955225"/>
    <n v="0.54545454545454553"/>
    <s v="Industry"/>
    <n v="0"/>
    <n v="315223.88059701491"/>
    <n v="315223.88059701491"/>
    <n v="171940.29850746269"/>
    <n v="0"/>
    <n v="171940.29850746269"/>
    <n v="143283.58208955225"/>
    <n v="0"/>
    <n v="143283.58208955225"/>
    <n v="0"/>
    <n v="315223.88059701491"/>
    <n v="0"/>
    <n v="0"/>
    <n v="0"/>
    <n v="315223.88059701491"/>
    <n v="0"/>
    <m/>
    <n v="0"/>
    <m/>
    <m/>
    <m/>
    <m/>
    <m/>
    <m/>
    <n v="0"/>
    <m/>
    <n v="0"/>
  </r>
  <r>
    <x v="47"/>
    <m/>
    <x v="7"/>
    <x v="2"/>
    <n v="1"/>
    <n v="1"/>
    <x v="2"/>
    <x v="1"/>
    <s v="Alliance with IPT-SP and IPT-Aachen"/>
    <d v="2020-08-20T00:00:00"/>
    <x v="4"/>
    <s v="5. Project running"/>
    <n v="6.7"/>
    <s v="BM01B"/>
    <m/>
    <m/>
    <n v="5"/>
    <m/>
    <m/>
    <m/>
    <d v="2020-09-15T00:00:00"/>
    <d v="2020-11-13T00:00:00"/>
    <d v="2021-04-05T00:00:00"/>
    <m/>
    <m/>
    <s v="IPK"/>
    <m/>
    <m/>
    <m/>
    <m/>
    <m/>
    <m/>
    <s v="ITA"/>
    <s v="Gabriel Vargas"/>
    <s v="André Canal"/>
    <m/>
    <m/>
    <m/>
    <n v="20597.014925373132"/>
    <m/>
    <m/>
    <m/>
    <m/>
    <m/>
    <m/>
    <m/>
    <m/>
    <m/>
    <m/>
    <m/>
    <m/>
    <m/>
    <m/>
    <m/>
    <m/>
    <m/>
    <m/>
    <m/>
    <m/>
    <m/>
    <m/>
    <m/>
    <m/>
    <m/>
    <m/>
    <m/>
    <m/>
    <m/>
    <m/>
    <m/>
    <m/>
    <m/>
    <m/>
    <m/>
    <m/>
    <m/>
    <n v="0"/>
    <n v="0"/>
    <n v="0"/>
    <n v="0"/>
    <n v="0"/>
    <e v="#DIV/0!"/>
    <e v="#DIV/0!"/>
    <s v="Public Funding"/>
    <n v="0"/>
    <n v="0"/>
    <n v="20597.014925373132"/>
    <n v="0"/>
    <n v="20597.014925373132"/>
    <n v="0"/>
    <s v="Public Funding"/>
    <n v="0"/>
    <n v="20597.014925373132"/>
    <n v="20597.014925373132"/>
    <n v="0"/>
    <n v="0"/>
    <n v="0"/>
    <n v="20597.014925373132"/>
    <n v="0"/>
    <n v="20597.014925373132"/>
    <n v="0"/>
    <n v="20597.014925373132"/>
    <n v="0"/>
    <n v="0"/>
    <n v="0"/>
    <n v="20597.014925373132"/>
    <n v="0"/>
    <m/>
    <n v="0"/>
    <m/>
    <m/>
    <m/>
    <m/>
    <m/>
    <m/>
    <n v="0"/>
    <m/>
    <n v="0"/>
  </r>
  <r>
    <x v="48"/>
    <s v="Mapping of addictive manufacturing for spare parts"/>
    <x v="42"/>
    <x v="1"/>
    <n v="3"/>
    <n v="0"/>
    <x v="2"/>
    <x v="1"/>
    <s v="Insert Public Funding"/>
    <d v="2020-08-20T00:00:00"/>
    <x v="1"/>
    <s v="6. Proposal declined"/>
    <n v="6.7"/>
    <s v="BM01A"/>
    <m/>
    <m/>
    <n v="18"/>
    <m/>
    <m/>
    <m/>
    <d v="2020-09-02T00:00:00"/>
    <d v="2020-09-11T00:00:00"/>
    <m/>
    <m/>
    <d v="2020-12-01T00:00:00"/>
    <s v="IPK"/>
    <m/>
    <m/>
    <m/>
    <m/>
    <m/>
    <m/>
    <s v="ITA"/>
    <s v="Lucas Robatto"/>
    <s v="Lucas Robatto"/>
    <m/>
    <m/>
    <m/>
    <n v="118544.02089552238"/>
    <m/>
    <m/>
    <m/>
    <m/>
    <m/>
    <m/>
    <m/>
    <m/>
    <m/>
    <m/>
    <m/>
    <m/>
    <m/>
    <m/>
    <m/>
    <m/>
    <m/>
    <m/>
    <m/>
    <m/>
    <m/>
    <m/>
    <m/>
    <m/>
    <m/>
    <m/>
    <m/>
    <m/>
    <m/>
    <m/>
    <m/>
    <m/>
    <m/>
    <m/>
    <m/>
    <m/>
    <m/>
    <n v="0"/>
    <n v="0"/>
    <n v="0"/>
    <n v="0"/>
    <n v="0"/>
    <e v="#DIV/0!"/>
    <e v="#DIV/0!"/>
    <s v="Public Funding"/>
    <n v="0"/>
    <n v="0"/>
    <n v="118544.02089552238"/>
    <n v="0"/>
    <n v="118544.02089552238"/>
    <n v="0"/>
    <s v="Public Funding"/>
    <n v="0"/>
    <n v="118544.02089552238"/>
    <n v="118544.02089552238"/>
    <n v="0"/>
    <n v="0"/>
    <n v="0"/>
    <n v="118544.02089552238"/>
    <n v="0"/>
    <n v="118544.02089552238"/>
    <n v="0"/>
    <n v="118544.02089552238"/>
    <n v="0"/>
    <n v="0"/>
    <n v="0"/>
    <n v="118544.02089552238"/>
    <n v="0"/>
    <m/>
    <n v="0"/>
    <m/>
    <m/>
    <m/>
    <m/>
    <m/>
    <m/>
    <n v="0"/>
    <m/>
    <n v="0"/>
  </r>
  <r>
    <x v="49"/>
    <s v="Support developing a Roadmap for implementing i4.0 solutions/applications in IoT and Predictive Maintenance"/>
    <x v="43"/>
    <x v="4"/>
    <n v="1"/>
    <n v="1"/>
    <x v="0"/>
    <x v="2"/>
    <m/>
    <d v="2020-03-05T00:00:00"/>
    <x v="1"/>
    <s v="6. Proposal declined"/>
    <m/>
    <s v="BM01C"/>
    <m/>
    <m/>
    <n v="5"/>
    <m/>
    <d v="2020-03-05T00:00:00"/>
    <m/>
    <d v="2020-08-01T00:00:00"/>
    <m/>
    <m/>
    <m/>
    <m/>
    <s v="IPK"/>
    <s v="David Domingos"/>
    <m/>
    <n v="15000"/>
    <m/>
    <m/>
    <m/>
    <s v="ITA"/>
    <m/>
    <m/>
    <m/>
    <m/>
    <m/>
    <m/>
    <m/>
    <m/>
    <m/>
    <m/>
    <m/>
    <m/>
    <m/>
    <m/>
    <m/>
    <m/>
    <m/>
    <m/>
    <m/>
    <m/>
    <m/>
    <s v="Bayer Crop Science"/>
    <s v="Lucas Arrais_x000a_André Fukugauti"/>
    <m/>
    <m/>
    <m/>
    <m/>
    <m/>
    <m/>
    <m/>
    <m/>
    <m/>
    <m/>
    <m/>
    <m/>
    <m/>
    <m/>
    <m/>
    <m/>
    <m/>
    <m/>
    <m/>
    <m/>
    <n v="15000"/>
    <n v="15000"/>
    <n v="15000"/>
    <n v="0"/>
    <n v="0"/>
    <n v="1"/>
    <n v="1"/>
    <s v="Industry"/>
    <n v="0"/>
    <n v="15000"/>
    <n v="0"/>
    <n v="0"/>
    <n v="0"/>
    <e v="#DIV/0!"/>
    <e v="#DIV/0!"/>
    <n v="0"/>
    <n v="0"/>
    <n v="15000"/>
    <n v="15000"/>
    <n v="0"/>
    <n v="15000"/>
    <n v="0"/>
    <n v="0"/>
    <n v="0"/>
    <n v="0"/>
    <n v="15000"/>
    <n v="0"/>
    <n v="0"/>
    <n v="0"/>
    <n v="15000"/>
    <n v="15000"/>
    <n v="0.1"/>
    <n v="1500"/>
    <m/>
    <m/>
    <m/>
    <m/>
    <m/>
    <n v="0.2"/>
    <n v="300"/>
    <n v="0"/>
    <n v="300"/>
  </r>
  <r>
    <x v="50"/>
    <m/>
    <x v="44"/>
    <x v="3"/>
    <m/>
    <m/>
    <x v="0"/>
    <x v="1"/>
    <m/>
    <d v="2018-02-01T00:00:00"/>
    <x v="1"/>
    <m/>
    <m/>
    <m/>
    <m/>
    <m/>
    <m/>
    <m/>
    <m/>
    <m/>
    <m/>
    <m/>
    <m/>
    <m/>
    <d v="2021-05-27T00:00:00"/>
    <s v="IPK"/>
    <s v="Marian Schlüter"/>
    <m/>
    <m/>
    <n v="400000"/>
    <m/>
    <m/>
    <s v="ITA"/>
    <m/>
    <m/>
    <m/>
    <m/>
    <m/>
    <m/>
    <m/>
    <m/>
    <m/>
    <m/>
    <m/>
    <m/>
    <m/>
    <m/>
    <m/>
    <m/>
    <m/>
    <m/>
    <m/>
    <m/>
    <m/>
    <s v="botspot"/>
    <s v="René Strien"/>
    <m/>
    <m/>
    <m/>
    <m/>
    <m/>
    <m/>
    <m/>
    <m/>
    <m/>
    <m/>
    <m/>
    <m/>
    <m/>
    <m/>
    <s v="IBB Berlin"/>
    <m/>
    <n v="400000"/>
    <m/>
    <m/>
    <m/>
    <n v="400000"/>
    <n v="400000"/>
    <n v="0"/>
    <n v="400000"/>
    <n v="0"/>
    <n v="1"/>
    <n v="0"/>
    <s v="Public Funding"/>
    <n v="400000"/>
    <n v="0"/>
    <n v="0"/>
    <n v="0"/>
    <n v="0"/>
    <e v="#DIV/0!"/>
    <e v="#DIV/0!"/>
    <n v="0"/>
    <n v="0"/>
    <n v="400000"/>
    <n v="0"/>
    <n v="0"/>
    <n v="0"/>
    <n v="400000"/>
    <n v="400000"/>
    <n v="0"/>
    <n v="400000"/>
    <n v="0"/>
    <n v="0"/>
    <n v="0"/>
    <n v="0"/>
    <n v="400000"/>
    <n v="400000"/>
    <n v="0.01"/>
    <n v="4000"/>
    <m/>
    <m/>
    <m/>
    <m/>
    <m/>
    <n v="0.2"/>
    <n v="800"/>
    <n v="0"/>
    <n v="800"/>
  </r>
  <r>
    <x v="51"/>
    <s v="Cooperation with Sweden in data science applied to Health and Aeronautics Sector"/>
    <x v="45"/>
    <x v="5"/>
    <m/>
    <m/>
    <x v="2"/>
    <x v="1"/>
    <m/>
    <m/>
    <x v="1"/>
    <s v="6. Proposal declined"/>
    <m/>
    <s v="Only Public Funding"/>
    <m/>
    <m/>
    <m/>
    <m/>
    <m/>
    <m/>
    <m/>
    <d v="2020-04-23T00:00:00"/>
    <m/>
    <m/>
    <d v="2021-03-12T00:00:00"/>
    <s v="IPK"/>
    <m/>
    <m/>
    <m/>
    <m/>
    <m/>
    <m/>
    <s v="ITA"/>
    <s v="Emília Vilanni "/>
    <s v="Ivan Rehder"/>
    <m/>
    <m/>
    <m/>
    <m/>
    <m/>
    <m/>
    <m/>
    <m/>
    <m/>
    <m/>
    <m/>
    <m/>
    <m/>
    <m/>
    <m/>
    <m/>
    <m/>
    <m/>
    <m/>
    <m/>
    <m/>
    <m/>
    <m/>
    <m/>
    <m/>
    <m/>
    <m/>
    <m/>
    <m/>
    <m/>
    <m/>
    <m/>
    <m/>
    <m/>
    <m/>
    <m/>
    <m/>
    <m/>
    <m/>
    <m/>
    <m/>
    <n v="0"/>
    <n v="0"/>
    <n v="0"/>
    <n v="0"/>
    <n v="0"/>
    <e v="#DIV/0!"/>
    <e v="#DIV/0!"/>
    <s v="Public Funding"/>
    <n v="0"/>
    <n v="0"/>
    <n v="0"/>
    <n v="0"/>
    <n v="0"/>
    <e v="#DIV/0!"/>
    <e v="#DIV/0!"/>
    <n v="0"/>
    <n v="0"/>
    <n v="0"/>
    <n v="0"/>
    <n v="0"/>
    <n v="0"/>
    <n v="0"/>
    <n v="0"/>
    <n v="0"/>
    <n v="0"/>
    <n v="0"/>
    <n v="0"/>
    <n v="0"/>
    <n v="0"/>
    <n v="0"/>
    <n v="0"/>
    <m/>
    <n v="0"/>
    <m/>
    <m/>
    <m/>
    <m/>
    <m/>
    <m/>
    <n v="0"/>
    <m/>
    <n v="0"/>
  </r>
  <r>
    <x v="52"/>
    <s v="Integration of the processes of drillind and sealing (ACROSS)"/>
    <x v="17"/>
    <x v="5"/>
    <m/>
    <m/>
    <x v="2"/>
    <x v="2"/>
    <m/>
    <m/>
    <x v="1"/>
    <s v="6. Proposal declined"/>
    <m/>
    <m/>
    <m/>
    <m/>
    <n v="12"/>
    <m/>
    <m/>
    <m/>
    <m/>
    <m/>
    <m/>
    <m/>
    <d v="2019-10-07T00:00:00"/>
    <s v="IPK"/>
    <s v="N/A"/>
    <n v="0"/>
    <n v="0"/>
    <n v="0"/>
    <n v="0"/>
    <n v="0"/>
    <s v="ITA"/>
    <s v="Emília Vilanni "/>
    <s v="Weslley Oliveira / Aline Matheus "/>
    <n v="0"/>
    <m/>
    <n v="0"/>
    <n v="71429"/>
    <n v="0"/>
    <s v="N/A"/>
    <s v="N/A"/>
    <n v="0"/>
    <n v="0"/>
    <n v="0"/>
    <n v="0"/>
    <n v="0"/>
    <s v="N/A"/>
    <s v="N/A"/>
    <n v="0"/>
    <n v="0"/>
    <n v="0"/>
    <n v="0"/>
    <n v="0"/>
    <s v="EMBRAER"/>
    <m/>
    <n v="71429"/>
    <n v="0"/>
    <s v="N/A"/>
    <s v="N/A"/>
    <n v="0"/>
    <n v="0"/>
    <s v="N/A"/>
    <s v="N/A"/>
    <n v="0"/>
    <n v="0"/>
    <s v="N/A"/>
    <s v="N/A"/>
    <n v="0"/>
    <n v="0"/>
    <s v="N/A"/>
    <s v="N/A"/>
    <n v="0"/>
    <s v="N/A"/>
    <s v="N/A"/>
    <n v="0"/>
    <n v="0"/>
    <n v="0"/>
    <n v="0"/>
    <n v="0"/>
    <n v="0"/>
    <e v="#DIV/0!"/>
    <e v="#DIV/0!"/>
    <s v="Industry"/>
    <n v="0"/>
    <n v="0"/>
    <n v="71429"/>
    <n v="0"/>
    <n v="71429"/>
    <n v="0"/>
    <s v="Public Funding"/>
    <n v="0"/>
    <n v="71429"/>
    <n v="71429"/>
    <n v="0"/>
    <n v="0"/>
    <n v="0"/>
    <n v="71429"/>
    <n v="0"/>
    <n v="71429"/>
    <n v="0"/>
    <n v="71429"/>
    <n v="0"/>
    <n v="0"/>
    <n v="0"/>
    <n v="71429"/>
    <n v="0"/>
    <n v="0"/>
    <n v="0"/>
    <m/>
    <m/>
    <m/>
    <m/>
    <m/>
    <n v="0"/>
    <n v="0"/>
    <n v="0"/>
    <n v="0"/>
  </r>
  <r>
    <x v="53"/>
    <m/>
    <x v="46"/>
    <x v="2"/>
    <m/>
    <m/>
    <x v="1"/>
    <x v="2"/>
    <m/>
    <m/>
    <x v="1"/>
    <s v="6. Proposal declined"/>
    <m/>
    <m/>
    <m/>
    <m/>
    <m/>
    <m/>
    <m/>
    <m/>
    <m/>
    <m/>
    <m/>
    <m/>
    <d v="2019-07-11T00:00:00"/>
    <s v="IPK"/>
    <m/>
    <m/>
    <m/>
    <m/>
    <m/>
    <m/>
    <s v="ITA"/>
    <s v="Givan Macedo"/>
    <s v="Tédni Goulart  / Givan Macedo "/>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n v="0"/>
    <n v="0"/>
  </r>
  <r>
    <x v="54"/>
    <m/>
    <x v="47"/>
    <x v="0"/>
    <m/>
    <m/>
    <x v="0"/>
    <x v="1"/>
    <m/>
    <m/>
    <x v="1"/>
    <m/>
    <m/>
    <m/>
    <m/>
    <m/>
    <m/>
    <m/>
    <m/>
    <m/>
    <m/>
    <m/>
    <m/>
    <m/>
    <m/>
    <s v="IPK"/>
    <m/>
    <m/>
    <m/>
    <n v="900000"/>
    <m/>
    <m/>
    <s v="ITA"/>
    <m/>
    <m/>
    <m/>
    <m/>
    <m/>
    <m/>
    <m/>
    <m/>
    <m/>
    <m/>
    <m/>
    <m/>
    <m/>
    <m/>
    <m/>
    <m/>
    <m/>
    <m/>
    <m/>
    <m/>
    <m/>
    <m/>
    <m/>
    <m/>
    <m/>
    <m/>
    <m/>
    <m/>
    <m/>
    <m/>
    <m/>
    <m/>
    <m/>
    <m/>
    <m/>
    <m/>
    <m/>
    <s v="H2020"/>
    <m/>
    <n v="900000"/>
    <m/>
    <m/>
    <m/>
    <n v="900000"/>
    <n v="900000"/>
    <n v="0"/>
    <n v="900000"/>
    <n v="0"/>
    <n v="1"/>
    <n v="0"/>
    <s v="Public Funding"/>
    <n v="900000"/>
    <n v="0"/>
    <n v="0"/>
    <n v="0"/>
    <n v="0"/>
    <e v="#DIV/0!"/>
    <e v="#DIV/0!"/>
    <n v="0"/>
    <n v="0"/>
    <n v="900000"/>
    <n v="0"/>
    <n v="0"/>
    <n v="0"/>
    <n v="900000"/>
    <n v="900000"/>
    <n v="0"/>
    <n v="900000"/>
    <n v="0"/>
    <n v="0"/>
    <n v="0"/>
    <n v="0"/>
    <n v="900000"/>
    <n v="900000"/>
    <n v="0"/>
    <n v="0"/>
    <m/>
    <m/>
    <m/>
    <m/>
    <m/>
    <m/>
    <n v="0"/>
    <n v="0"/>
    <n v="0"/>
  </r>
  <r>
    <x v="55"/>
    <m/>
    <x v="48"/>
    <x v="0"/>
    <m/>
    <m/>
    <x v="2"/>
    <x v="1"/>
    <m/>
    <m/>
    <x v="1"/>
    <s v="6. Proposal declined"/>
    <m/>
    <m/>
    <m/>
    <m/>
    <m/>
    <m/>
    <m/>
    <m/>
    <m/>
    <m/>
    <m/>
    <m/>
    <d v="2019-10-07T00:00:00"/>
    <s v="IPK"/>
    <m/>
    <m/>
    <m/>
    <m/>
    <m/>
    <m/>
    <s v="ITA"/>
    <s v="Anderson Borille"/>
    <s v="Ronnie Rego"/>
    <m/>
    <m/>
    <m/>
    <n v="65000"/>
    <m/>
    <m/>
    <m/>
    <m/>
    <m/>
    <m/>
    <m/>
    <m/>
    <m/>
    <m/>
    <m/>
    <m/>
    <m/>
    <m/>
    <m/>
    <m/>
    <m/>
    <m/>
    <m/>
    <m/>
    <m/>
    <m/>
    <m/>
    <m/>
    <m/>
    <m/>
    <m/>
    <m/>
    <m/>
    <m/>
    <m/>
    <s v="MDIC"/>
    <m/>
    <n v="65000"/>
    <m/>
    <m/>
    <m/>
    <n v="0"/>
    <n v="0"/>
    <n v="0"/>
    <n v="0"/>
    <n v="0"/>
    <e v="#DIV/0!"/>
    <e v="#DIV/0!"/>
    <s v="Public Funding"/>
    <n v="0"/>
    <n v="0"/>
    <n v="65000"/>
    <n v="0"/>
    <n v="65000"/>
    <n v="0"/>
    <s v="Public Funding"/>
    <n v="0"/>
    <n v="65000"/>
    <n v="65000"/>
    <n v="0"/>
    <n v="0"/>
    <n v="0"/>
    <n v="65000"/>
    <n v="0"/>
    <n v="65000"/>
    <n v="0"/>
    <n v="65000"/>
    <n v="0"/>
    <n v="0"/>
    <n v="0"/>
    <n v="65000"/>
    <n v="0"/>
    <m/>
    <n v="0"/>
    <m/>
    <m/>
    <m/>
    <m/>
    <m/>
    <m/>
    <n v="0"/>
    <n v="0"/>
    <n v="0"/>
  </r>
  <r>
    <x v="56"/>
    <s v="Evaluation of structures integrity by drones "/>
    <x v="49"/>
    <x v="8"/>
    <n v="1"/>
    <n v="0"/>
    <x v="2"/>
    <x v="1"/>
    <m/>
    <m/>
    <x v="4"/>
    <s v="5. Project running"/>
    <m/>
    <m/>
    <m/>
    <m/>
    <n v="30"/>
    <m/>
    <m/>
    <m/>
    <m/>
    <m/>
    <d v="2019-09-11T00:00:00"/>
    <m/>
    <m/>
    <s v="IPK"/>
    <m/>
    <m/>
    <m/>
    <m/>
    <m/>
    <m/>
    <s v="ITA"/>
    <s v="Carlos Eguti"/>
    <s v="Weslley Oliveira / Aline Matheus "/>
    <m/>
    <m/>
    <m/>
    <n v="1090208.9953840089"/>
    <m/>
    <m/>
    <m/>
    <m/>
    <m/>
    <m/>
    <m/>
    <m/>
    <m/>
    <m/>
    <m/>
    <m/>
    <m/>
    <m/>
    <m/>
    <s v="PETROBRAS"/>
    <m/>
    <m/>
    <m/>
    <m/>
    <m/>
    <m/>
    <m/>
    <m/>
    <m/>
    <m/>
    <m/>
    <m/>
    <m/>
    <m/>
    <m/>
    <s v="ANP"/>
    <m/>
    <m/>
    <m/>
    <m/>
    <m/>
    <n v="0"/>
    <n v="0"/>
    <n v="0"/>
    <n v="0"/>
    <n v="0"/>
    <e v="#DIV/0!"/>
    <e v="#DIV/0!"/>
    <s v="Public Funding"/>
    <n v="0"/>
    <n v="0"/>
    <n v="1090208.9953840089"/>
    <n v="0"/>
    <n v="1090208.9953840089"/>
    <n v="0"/>
    <s v="Public Funding"/>
    <n v="0"/>
    <n v="1090208.9953840089"/>
    <n v="1090208.9953840089"/>
    <n v="0"/>
    <n v="0"/>
    <n v="0"/>
    <n v="1090208.9953840089"/>
    <n v="0"/>
    <n v="1090208.9953840089"/>
    <n v="0"/>
    <n v="1090208.9953840089"/>
    <n v="0"/>
    <n v="0"/>
    <n v="0"/>
    <n v="1090208.9953840089"/>
    <n v="0"/>
    <m/>
    <n v="0"/>
    <m/>
    <m/>
    <m/>
    <m/>
    <m/>
    <m/>
    <n v="0"/>
    <m/>
    <n v="0"/>
  </r>
  <r>
    <x v="57"/>
    <s v="Virtual reality"/>
    <x v="5"/>
    <x v="4"/>
    <n v="1"/>
    <n v="0"/>
    <x v="2"/>
    <x v="2"/>
    <m/>
    <d v="2019-08-19T00:00:00"/>
    <x v="1"/>
    <s v="6. Proposal declined"/>
    <m/>
    <m/>
    <m/>
    <m/>
    <m/>
    <m/>
    <d v="2019-10-07T00:00:00"/>
    <m/>
    <m/>
    <m/>
    <m/>
    <m/>
    <d v="2020-04-30T00:00:00"/>
    <s v="IPK"/>
    <m/>
    <m/>
    <m/>
    <m/>
    <m/>
    <m/>
    <s v="ITA"/>
    <s v="Aline Matheus"/>
    <s v="Weslley Oliveira / Aline Matheus "/>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58"/>
    <s v="Welding process simulation, structural analysis "/>
    <x v="49"/>
    <x v="8"/>
    <n v="1"/>
    <n v="0"/>
    <x v="2"/>
    <x v="1"/>
    <m/>
    <m/>
    <x v="1"/>
    <s v="6. Proposal declined"/>
    <n v="4.3110999999999997"/>
    <m/>
    <m/>
    <m/>
    <n v="12"/>
    <m/>
    <m/>
    <m/>
    <m/>
    <m/>
    <m/>
    <m/>
    <d v="2020-10-13T00:00:00"/>
    <s v="IPK"/>
    <m/>
    <m/>
    <m/>
    <m/>
    <m/>
    <m/>
    <s v="ITA"/>
    <s v="Carlos Eguti"/>
    <s v="Weslley Oliveira / Aline Matheus "/>
    <m/>
    <m/>
    <m/>
    <n v="231959.36072000186"/>
    <m/>
    <m/>
    <m/>
    <m/>
    <m/>
    <m/>
    <m/>
    <m/>
    <m/>
    <m/>
    <m/>
    <m/>
    <m/>
    <m/>
    <m/>
    <s v="PETROBRAS"/>
    <m/>
    <m/>
    <m/>
    <m/>
    <m/>
    <m/>
    <m/>
    <m/>
    <m/>
    <m/>
    <m/>
    <m/>
    <m/>
    <m/>
    <m/>
    <s v="ANP"/>
    <m/>
    <m/>
    <m/>
    <m/>
    <m/>
    <n v="0"/>
    <n v="0"/>
    <n v="0"/>
    <n v="0"/>
    <n v="0"/>
    <e v="#DIV/0!"/>
    <e v="#DIV/0!"/>
    <s v="Public Funding"/>
    <n v="0"/>
    <n v="0"/>
    <n v="231959.36072000186"/>
    <n v="0"/>
    <n v="231959.36072000186"/>
    <n v="0"/>
    <s v="Public Funding"/>
    <n v="0"/>
    <n v="231959.36072000186"/>
    <n v="231959.36072000186"/>
    <n v="0"/>
    <n v="0"/>
    <n v="0"/>
    <n v="231959.36072000186"/>
    <n v="0"/>
    <n v="231959.36072000186"/>
    <n v="0"/>
    <n v="231959.36072000186"/>
    <n v="0"/>
    <n v="0"/>
    <n v="0"/>
    <n v="231959.36072000186"/>
    <n v="0"/>
    <m/>
    <n v="0"/>
    <m/>
    <m/>
    <m/>
    <m/>
    <m/>
    <m/>
    <n v="0"/>
    <m/>
    <n v="0"/>
  </r>
  <r>
    <x v="59"/>
    <s v="Strategic process planning and mapping to identify and transpose all phases of a product's lifecycle into a full MBD unified model (Integration of simulation tools from various areas of the product development cycle and deployment of a unified Virutal platform"/>
    <x v="50"/>
    <x v="5"/>
    <n v="1"/>
    <n v="0"/>
    <x v="2"/>
    <x v="2"/>
    <s v="Check with Janete"/>
    <m/>
    <x v="5"/>
    <s v="5. Project running"/>
    <n v="4.3099999999999996"/>
    <m/>
    <m/>
    <m/>
    <n v="18"/>
    <m/>
    <m/>
    <m/>
    <m/>
    <m/>
    <m/>
    <m/>
    <m/>
    <s v="IPK"/>
    <m/>
    <m/>
    <m/>
    <m/>
    <m/>
    <m/>
    <s v="ITA"/>
    <s v="Anderson Borille "/>
    <s v="Janete Moreira"/>
    <m/>
    <n v="166297.11751662972"/>
    <m/>
    <m/>
    <m/>
    <m/>
    <m/>
    <m/>
    <m/>
    <m/>
    <m/>
    <m/>
    <m/>
    <m/>
    <m/>
    <m/>
    <m/>
    <m/>
    <m/>
    <s v="AKAER"/>
    <m/>
    <n v="173969.52054000139"/>
    <m/>
    <m/>
    <m/>
    <m/>
    <m/>
    <m/>
    <m/>
    <m/>
    <m/>
    <m/>
    <m/>
    <m/>
    <m/>
    <m/>
    <m/>
    <m/>
    <m/>
    <m/>
    <m/>
    <n v="0"/>
    <n v="0"/>
    <n v="0"/>
    <n v="0"/>
    <n v="0"/>
    <e v="#DIV/0!"/>
    <e v="#DIV/0!"/>
    <s v="Industry"/>
    <n v="0"/>
    <n v="0"/>
    <n v="166297.11751662972"/>
    <n v="166297.11751662972"/>
    <n v="0"/>
    <n v="1"/>
    <s v="Industry"/>
    <n v="0"/>
    <n v="166297.11751662972"/>
    <n v="166297.11751662972"/>
    <n v="166297.11751662972"/>
    <n v="0"/>
    <n v="166297.11751662972"/>
    <n v="0"/>
    <n v="0"/>
    <n v="0"/>
    <n v="0"/>
    <n v="166297.11751662972"/>
    <n v="0"/>
    <n v="0"/>
    <n v="0"/>
    <n v="166297.11751662972"/>
    <n v="0"/>
    <m/>
    <n v="0"/>
    <m/>
    <m/>
    <m/>
    <m/>
    <m/>
    <m/>
    <n v="0"/>
    <m/>
    <n v="0"/>
  </r>
  <r>
    <x v="60"/>
    <s v="AKTIVITÄT VON 3D-GEDRUCKTEN BIOLOGISCHEN MATERIALIEN"/>
    <x v="51"/>
    <x v="0"/>
    <n v="2"/>
    <m/>
    <x v="0"/>
    <x v="1"/>
    <s v="Proposal was not submitted"/>
    <d v="2017-10-01T00:00:00"/>
    <x v="1"/>
    <m/>
    <m/>
    <m/>
    <m/>
    <m/>
    <m/>
    <m/>
    <m/>
    <m/>
    <m/>
    <m/>
    <m/>
    <m/>
    <m/>
    <s v="IPK"/>
    <s v="David Domingos"/>
    <m/>
    <m/>
    <n v="400000"/>
    <m/>
    <m/>
    <s v="ITA"/>
    <m/>
    <m/>
    <m/>
    <m/>
    <m/>
    <m/>
    <m/>
    <m/>
    <m/>
    <m/>
    <m/>
    <m/>
    <m/>
    <m/>
    <m/>
    <m/>
    <m/>
    <m/>
    <m/>
    <m/>
    <m/>
    <s v="Raab Photonik"/>
    <s v="Dr. Raab"/>
    <m/>
    <m/>
    <m/>
    <m/>
    <m/>
    <m/>
    <m/>
    <m/>
    <m/>
    <m/>
    <m/>
    <m/>
    <m/>
    <m/>
    <s v="IBB Berlin "/>
    <m/>
    <n v="400000"/>
    <m/>
    <m/>
    <m/>
    <n v="400000"/>
    <n v="400000"/>
    <n v="0"/>
    <n v="400000"/>
    <n v="0"/>
    <n v="1"/>
    <n v="0"/>
    <s v="Public Funding"/>
    <n v="400000"/>
    <n v="0"/>
    <n v="0"/>
    <n v="0"/>
    <n v="0"/>
    <e v="#DIV/0!"/>
    <e v="#DIV/0!"/>
    <n v="0"/>
    <n v="0"/>
    <n v="400000"/>
    <n v="0"/>
    <n v="0"/>
    <n v="0"/>
    <n v="400000"/>
    <n v="400000"/>
    <n v="0"/>
    <n v="400000"/>
    <n v="0"/>
    <n v="0"/>
    <n v="0"/>
    <n v="0"/>
    <n v="400000"/>
    <n v="400000"/>
    <n v="0"/>
    <n v="0"/>
    <m/>
    <m/>
    <m/>
    <m/>
    <m/>
    <n v="0.2"/>
    <n v="0"/>
    <m/>
    <n v="0"/>
  </r>
  <r>
    <x v="61"/>
    <s v="Development of additive manufacturing for the automative tooling sector"/>
    <x v="7"/>
    <x v="2"/>
    <n v="30"/>
    <n v="1"/>
    <x v="1"/>
    <x v="2"/>
    <s v="R2030 - Linha 4 - Programm (iii) - Disruptive R&amp;D."/>
    <d v="2019-02-01T00:00:00"/>
    <x v="4"/>
    <s v="5. Project running"/>
    <n v="6.19"/>
    <s v="BM01A"/>
    <m/>
    <m/>
    <n v="36"/>
    <m/>
    <m/>
    <m/>
    <d v="2020-04-20T00:00:00"/>
    <d v="2020-08-17T00:00:00"/>
    <d v="2020-12-15T00:00:00"/>
    <m/>
    <m/>
    <s v="IPK"/>
    <s v="Gustavo Reis"/>
    <m/>
    <n v="150000"/>
    <m/>
    <m/>
    <m/>
    <s v="ITA"/>
    <s v="Ronnie Rego"/>
    <s v="Lucas Robatto"/>
    <m/>
    <m/>
    <m/>
    <n v="241518.57835218092"/>
    <m/>
    <s v="SENAI Joinville"/>
    <s v="Henrique Oliveira"/>
    <m/>
    <m/>
    <m/>
    <n v="242326.33279483035"/>
    <m/>
    <s v="IPT"/>
    <s v="Moysés Lima"/>
    <m/>
    <m/>
    <m/>
    <n v="242326.33279483035"/>
    <m/>
    <s v="Multiple"/>
    <m/>
    <m/>
    <m/>
    <m/>
    <m/>
    <m/>
    <m/>
    <m/>
    <m/>
    <m/>
    <m/>
    <m/>
    <m/>
    <m/>
    <m/>
    <s v="R2030 / IPT"/>
    <m/>
    <n v="969305.33117932139"/>
    <m/>
    <m/>
    <m/>
    <n v="150000"/>
    <n v="150000"/>
    <n v="150000"/>
    <n v="0"/>
    <n v="0"/>
    <n v="1"/>
    <n v="1"/>
    <s v="Industry"/>
    <n v="0"/>
    <n v="150000"/>
    <n v="241518.57835218092"/>
    <n v="0"/>
    <n v="241518.57835218092"/>
    <n v="0"/>
    <s v="Public Funding"/>
    <n v="0"/>
    <n v="241518.57835218092"/>
    <n v="391518.57835218089"/>
    <n v="150000"/>
    <n v="0"/>
    <n v="150000"/>
    <n v="241518.57835218092"/>
    <n v="0"/>
    <n v="241518.57835218092"/>
    <n v="0"/>
    <n v="391518.57835218089"/>
    <n v="484652.6655896607"/>
    <n v="484652.6655896607"/>
    <n v="0"/>
    <n v="876171.24394184165"/>
    <n v="150000"/>
    <n v="1"/>
    <n v="150000"/>
    <m/>
    <m/>
    <m/>
    <m/>
    <m/>
    <n v="0.2"/>
    <n v="30000"/>
    <m/>
    <n v="30000"/>
  </r>
  <r>
    <x v="62"/>
    <s v="Development of an additive manufacturing chain for metal-polymer gears "/>
    <x v="52"/>
    <x v="3"/>
    <n v="3"/>
    <n v="0"/>
    <x v="2"/>
    <x v="2"/>
    <s v="ITA is directly funded by Gerdau. Braskem is cofunding the project by paying the executor partner ALKIMAT (R$ 400 k)"/>
    <m/>
    <x v="4"/>
    <s v="5. Project running"/>
    <n v="4.51"/>
    <m/>
    <m/>
    <m/>
    <n v="14"/>
    <m/>
    <m/>
    <m/>
    <m/>
    <m/>
    <d v="2019-09-09T00:00:00"/>
    <m/>
    <m/>
    <s v="IPK"/>
    <m/>
    <m/>
    <m/>
    <m/>
    <m/>
    <m/>
    <s v="ITA"/>
    <s v="Lucas Robatto"/>
    <s v="Lucas Robatto"/>
    <m/>
    <n v="77605.321507760542"/>
    <m/>
    <m/>
    <m/>
    <m/>
    <m/>
    <m/>
    <m/>
    <m/>
    <m/>
    <m/>
    <m/>
    <m/>
    <m/>
    <m/>
    <m/>
    <m/>
    <m/>
    <s v="Gerdau"/>
    <m/>
    <n v="77605.321507760542"/>
    <m/>
    <s v="GERDAU"/>
    <m/>
    <m/>
    <m/>
    <m/>
    <m/>
    <m/>
    <m/>
    <m/>
    <m/>
    <m/>
    <m/>
    <m/>
    <m/>
    <m/>
    <m/>
    <m/>
    <m/>
    <n v="0"/>
    <n v="0"/>
    <n v="0"/>
    <n v="0"/>
    <n v="0"/>
    <e v="#DIV/0!"/>
    <e v="#DIV/0!"/>
    <s v="Industry"/>
    <n v="0"/>
    <n v="0"/>
    <n v="77605.321507760542"/>
    <n v="77605.321507760542"/>
    <n v="0"/>
    <n v="1"/>
    <s v="Industry"/>
    <n v="0"/>
    <n v="77605.321507760542"/>
    <n v="77605.321507760542"/>
    <n v="77605.321507760542"/>
    <n v="0"/>
    <n v="77605.321507760542"/>
    <n v="0"/>
    <n v="0"/>
    <n v="0"/>
    <n v="0"/>
    <n v="77605.321507760542"/>
    <n v="0"/>
    <n v="0"/>
    <n v="0"/>
    <n v="77605.321507760542"/>
    <n v="0"/>
    <m/>
    <n v="0"/>
    <m/>
    <m/>
    <m/>
    <m/>
    <m/>
    <m/>
    <n v="0"/>
    <m/>
    <n v="0"/>
  </r>
  <r>
    <x v="63"/>
    <s v="Evaluation of machinability of materials by turning process"/>
    <x v="53"/>
    <x v="3"/>
    <n v="1"/>
    <n v="0"/>
    <x v="2"/>
    <x v="2"/>
    <m/>
    <m/>
    <x v="1"/>
    <s v="6. Proposal declined"/>
    <m/>
    <m/>
    <m/>
    <m/>
    <n v="4"/>
    <m/>
    <m/>
    <m/>
    <m/>
    <d v="2019-09-09T00:00:00"/>
    <m/>
    <m/>
    <d v="2020-01-27T00:00:00"/>
    <s v="IPK"/>
    <m/>
    <m/>
    <m/>
    <m/>
    <m/>
    <m/>
    <s v="ITA"/>
    <s v="Givan Macedo"/>
    <s v="Tédni Goulart  / Givan Macedo "/>
    <m/>
    <m/>
    <m/>
    <n v="40580.202268562549"/>
    <m/>
    <m/>
    <m/>
    <m/>
    <m/>
    <m/>
    <m/>
    <m/>
    <m/>
    <m/>
    <m/>
    <m/>
    <m/>
    <m/>
    <m/>
    <s v="ArcelorMittal"/>
    <m/>
    <n v="40580.202268562549"/>
    <m/>
    <m/>
    <m/>
    <m/>
    <m/>
    <m/>
    <m/>
    <m/>
    <m/>
    <m/>
    <m/>
    <m/>
    <m/>
    <m/>
    <m/>
    <m/>
    <m/>
    <m/>
    <m/>
    <n v="0"/>
    <n v="0"/>
    <n v="0"/>
    <n v="0"/>
    <n v="0"/>
    <e v="#DIV/0!"/>
    <e v="#DIV/0!"/>
    <s v="Industry"/>
    <n v="0"/>
    <n v="0"/>
    <n v="40580.202268562549"/>
    <n v="0"/>
    <n v="40580.202268562549"/>
    <n v="0"/>
    <s v="Public Funding"/>
    <n v="0"/>
    <n v="40580.202268562549"/>
    <n v="40580.202268562549"/>
    <n v="0"/>
    <n v="0"/>
    <n v="0"/>
    <n v="40580.202268562549"/>
    <n v="0"/>
    <n v="40580.202268562549"/>
    <n v="0"/>
    <n v="40580.202268562549"/>
    <n v="0"/>
    <n v="0"/>
    <n v="0"/>
    <n v="40580.202268562549"/>
    <n v="0"/>
    <m/>
    <n v="0"/>
    <m/>
    <m/>
    <m/>
    <m/>
    <m/>
    <m/>
    <n v="0"/>
    <m/>
    <n v="0"/>
  </r>
  <r>
    <x v="64"/>
    <m/>
    <x v="54"/>
    <x v="0"/>
    <m/>
    <m/>
    <x v="1"/>
    <x v="1"/>
    <m/>
    <m/>
    <x v="1"/>
    <s v="6. Proposal declined"/>
    <m/>
    <m/>
    <m/>
    <m/>
    <m/>
    <m/>
    <m/>
    <m/>
    <m/>
    <m/>
    <m/>
    <m/>
    <d v="2019-10-07T00:00:00"/>
    <s v="IPK"/>
    <m/>
    <m/>
    <m/>
    <n v="400000"/>
    <m/>
    <m/>
    <s v="ITA"/>
    <s v="Ronnie Rego"/>
    <s v="Ronnie Rego"/>
    <m/>
    <m/>
    <n v="299570"/>
    <m/>
    <m/>
    <m/>
    <m/>
    <m/>
    <m/>
    <m/>
    <m/>
    <m/>
    <m/>
    <m/>
    <m/>
    <m/>
    <m/>
    <m/>
    <m/>
    <m/>
    <m/>
    <m/>
    <m/>
    <m/>
    <m/>
    <m/>
    <m/>
    <m/>
    <m/>
    <m/>
    <m/>
    <m/>
    <m/>
    <m/>
    <m/>
    <s v="BMBF"/>
    <m/>
    <n v="699570"/>
    <m/>
    <m/>
    <m/>
    <n v="400000"/>
    <n v="400000"/>
    <n v="0"/>
    <n v="400000"/>
    <n v="0"/>
    <n v="1"/>
    <n v="0"/>
    <s v="Public Funding"/>
    <n v="400000"/>
    <n v="0"/>
    <n v="299570"/>
    <n v="0"/>
    <n v="299570"/>
    <n v="0"/>
    <s v="Public Funding"/>
    <n v="299570"/>
    <n v="0"/>
    <n v="699570"/>
    <n v="0"/>
    <n v="0"/>
    <n v="0"/>
    <n v="699570"/>
    <n v="699570"/>
    <n v="0"/>
    <n v="699570"/>
    <n v="0"/>
    <n v="0"/>
    <n v="0"/>
    <n v="0"/>
    <n v="699570"/>
    <n v="400000"/>
    <n v="0"/>
    <n v="0"/>
    <m/>
    <m/>
    <m/>
    <m/>
    <m/>
    <m/>
    <n v="0"/>
    <n v="0"/>
    <n v="0"/>
  </r>
  <r>
    <x v="65"/>
    <s v="Detection of mineral deposits in high pressure water pipes"/>
    <x v="49"/>
    <x v="8"/>
    <n v="1"/>
    <n v="0"/>
    <x v="2"/>
    <x v="1"/>
    <m/>
    <m/>
    <x v="1"/>
    <s v="6. Proposal declined"/>
    <n v="4.3110999999999997"/>
    <m/>
    <m/>
    <m/>
    <n v="24"/>
    <m/>
    <m/>
    <m/>
    <m/>
    <d v="2019-09-11T00:00:00"/>
    <m/>
    <m/>
    <d v="2020-10-13T00:00:00"/>
    <s v="IPK"/>
    <m/>
    <m/>
    <m/>
    <m/>
    <m/>
    <m/>
    <s v="ITA"/>
    <s v="Carlos Eguti"/>
    <s v="Weslley Oliveira / Aline Matheus "/>
    <m/>
    <m/>
    <m/>
    <n v="278351.23286400223"/>
    <m/>
    <m/>
    <m/>
    <m/>
    <m/>
    <m/>
    <m/>
    <m/>
    <m/>
    <m/>
    <m/>
    <m/>
    <m/>
    <m/>
    <m/>
    <s v="PETROBRAS"/>
    <m/>
    <m/>
    <m/>
    <m/>
    <m/>
    <m/>
    <m/>
    <m/>
    <m/>
    <m/>
    <m/>
    <m/>
    <m/>
    <m/>
    <m/>
    <s v="ANP"/>
    <m/>
    <m/>
    <m/>
    <m/>
    <m/>
    <n v="0"/>
    <n v="0"/>
    <n v="0"/>
    <n v="0"/>
    <n v="0"/>
    <e v="#DIV/0!"/>
    <e v="#DIV/0!"/>
    <s v="Public Funding"/>
    <n v="0"/>
    <n v="0"/>
    <n v="278351.23286400223"/>
    <n v="0"/>
    <n v="278351.23286400223"/>
    <n v="0"/>
    <s v="Public Funding"/>
    <n v="0"/>
    <n v="278351.23286400223"/>
    <n v="278351.23286400223"/>
    <n v="0"/>
    <n v="0"/>
    <n v="0"/>
    <n v="278351.23286400223"/>
    <n v="0"/>
    <n v="278351.23286400223"/>
    <n v="0"/>
    <n v="278351.23286400223"/>
    <n v="0"/>
    <n v="0"/>
    <n v="0"/>
    <n v="278351.23286400223"/>
    <n v="0"/>
    <m/>
    <n v="0"/>
    <m/>
    <m/>
    <m/>
    <m/>
    <m/>
    <m/>
    <n v="0"/>
    <m/>
    <n v="0"/>
  </r>
  <r>
    <x v="66"/>
    <s v="Desafio Inova Azul"/>
    <x v="22"/>
    <x v="5"/>
    <n v="1"/>
    <m/>
    <x v="2"/>
    <x v="2"/>
    <s v="(Project budget is converted in awarding tickets for the winners of the ITA Challenge)"/>
    <d v="2020-05-19T00:00:00"/>
    <x v="6"/>
    <s v="5. Project running"/>
    <m/>
    <m/>
    <m/>
    <m/>
    <m/>
    <m/>
    <m/>
    <m/>
    <d v="2020-05-19T00:00:00"/>
    <m/>
    <d v="2020-06-14T00:00:00"/>
    <d v="2020-08-14T00:00:00"/>
    <m/>
    <s v="IPK"/>
    <m/>
    <m/>
    <m/>
    <m/>
    <m/>
    <m/>
    <s v="ITA"/>
    <s v="Mateus Ferreira"/>
    <s v="Mateus Ferreira"/>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67"/>
    <m/>
    <x v="55"/>
    <x v="7"/>
    <m/>
    <m/>
    <x v="2"/>
    <x v="2"/>
    <m/>
    <m/>
    <x v="1"/>
    <s v="6. Proposal declined"/>
    <m/>
    <m/>
    <m/>
    <m/>
    <n v="4"/>
    <m/>
    <m/>
    <m/>
    <m/>
    <m/>
    <m/>
    <m/>
    <d v="2019-10-07T00:00:00"/>
    <s v="IPK"/>
    <m/>
    <m/>
    <m/>
    <m/>
    <m/>
    <m/>
    <s v="ITA"/>
    <s v="Natália D'Ávila"/>
    <s v="Fábio Sena / Natália D´Ávila "/>
    <m/>
    <m/>
    <m/>
    <n v="14762"/>
    <m/>
    <m/>
    <m/>
    <m/>
    <m/>
    <m/>
    <m/>
    <m/>
    <m/>
    <m/>
    <m/>
    <m/>
    <m/>
    <m/>
    <m/>
    <s v="Petrofer"/>
    <m/>
    <n v="14762"/>
    <m/>
    <m/>
    <m/>
    <m/>
    <m/>
    <m/>
    <m/>
    <m/>
    <m/>
    <m/>
    <m/>
    <m/>
    <m/>
    <m/>
    <m/>
    <m/>
    <m/>
    <m/>
    <m/>
    <n v="0"/>
    <n v="0"/>
    <n v="0"/>
    <n v="0"/>
    <n v="0"/>
    <e v="#DIV/0!"/>
    <e v="#DIV/0!"/>
    <s v="Industry"/>
    <n v="0"/>
    <n v="0"/>
    <n v="14762"/>
    <n v="0"/>
    <n v="14762"/>
    <n v="0"/>
    <s v="Public Funding"/>
    <n v="0"/>
    <n v="14762"/>
    <n v="14762"/>
    <n v="0"/>
    <n v="0"/>
    <n v="0"/>
    <n v="14762"/>
    <n v="0"/>
    <n v="14762"/>
    <n v="0"/>
    <n v="14762"/>
    <n v="0"/>
    <n v="0"/>
    <n v="0"/>
    <n v="14762"/>
    <n v="0"/>
    <m/>
    <n v="0"/>
    <m/>
    <m/>
    <m/>
    <m/>
    <m/>
    <m/>
    <n v="0"/>
    <n v="0"/>
    <n v="0"/>
  </r>
  <r>
    <x v="68"/>
    <m/>
    <x v="56"/>
    <x v="3"/>
    <n v="1"/>
    <m/>
    <x v="1"/>
    <x v="2"/>
    <s v="9000 EUR were moved from IPK to ITA for the collaboration (TBC)"/>
    <d v="2019-08-01T00:00:00"/>
    <x v="6"/>
    <s v="5. Project running"/>
    <n v="6.7"/>
    <s v="BM01C"/>
    <m/>
    <m/>
    <m/>
    <m/>
    <d v="2019-08-01T00:00:00"/>
    <m/>
    <d v="2019-08-15T00:00:00"/>
    <d v="2019-10-22T00:00:00"/>
    <d v="2019-12-12T00:00:00"/>
    <m/>
    <m/>
    <s v="IPK"/>
    <s v="D. Domingos_x000a_Jan-Patrick Cap"/>
    <m/>
    <n v="59000"/>
    <m/>
    <m/>
    <m/>
    <s v="ITA"/>
    <s v="Gabriel Vargas"/>
    <s v="Ronnie Rego"/>
    <m/>
    <n v="2388.0597014925374"/>
    <m/>
    <m/>
    <m/>
    <m/>
    <m/>
    <m/>
    <m/>
    <m/>
    <m/>
    <m/>
    <m/>
    <m/>
    <m/>
    <m/>
    <m/>
    <m/>
    <m/>
    <s v="Bovenau"/>
    <s v="André Odebrecht"/>
    <n v="59000"/>
    <m/>
    <m/>
    <m/>
    <m/>
    <m/>
    <m/>
    <m/>
    <m/>
    <m/>
    <m/>
    <m/>
    <m/>
    <m/>
    <m/>
    <m/>
    <m/>
    <m/>
    <m/>
    <m/>
    <n v="59000"/>
    <n v="59000"/>
    <n v="59000"/>
    <n v="0"/>
    <n v="0"/>
    <n v="1"/>
    <n v="1"/>
    <s v="Industry"/>
    <n v="0"/>
    <n v="59000"/>
    <n v="2388.0597014925374"/>
    <n v="2388.0597014925374"/>
    <n v="0"/>
    <n v="1"/>
    <s v="Industry"/>
    <n v="0"/>
    <n v="2388.0597014925374"/>
    <n v="61388.059701492537"/>
    <n v="61388.059701492537"/>
    <n v="0"/>
    <n v="61388.059701492537"/>
    <n v="0"/>
    <n v="0"/>
    <n v="0"/>
    <n v="0"/>
    <n v="61388.059701492537"/>
    <n v="0"/>
    <n v="0"/>
    <n v="0"/>
    <n v="61388.059701492537"/>
    <n v="59000"/>
    <n v="1"/>
    <n v="59000"/>
    <m/>
    <n v="47200"/>
    <m/>
    <m/>
    <m/>
    <n v="0.2"/>
    <n v="11800"/>
    <m/>
    <n v="11800"/>
  </r>
  <r>
    <x v="69"/>
    <s v="Gearing optimization for electric tool"/>
    <x v="57"/>
    <x v="3"/>
    <n v="1"/>
    <n v="0"/>
    <x v="2"/>
    <x v="2"/>
    <m/>
    <m/>
    <x v="1"/>
    <s v="6. Proposal declined"/>
    <m/>
    <m/>
    <m/>
    <m/>
    <n v="15"/>
    <m/>
    <m/>
    <m/>
    <d v="2019-08-19T00:00:00"/>
    <m/>
    <m/>
    <m/>
    <d v="2020-04-02T00:00:00"/>
    <s v="IPK"/>
    <m/>
    <m/>
    <m/>
    <m/>
    <m/>
    <m/>
    <s v="ITA"/>
    <s v="Ronnie Rego"/>
    <s v="Ronnie Rego"/>
    <m/>
    <n v="74226.995430400595"/>
    <m/>
    <m/>
    <m/>
    <m/>
    <m/>
    <m/>
    <m/>
    <m/>
    <m/>
    <m/>
    <m/>
    <m/>
    <m/>
    <m/>
    <m/>
    <m/>
    <m/>
    <s v="Bosch"/>
    <m/>
    <n v="74226.995430400595"/>
    <m/>
    <m/>
    <m/>
    <m/>
    <m/>
    <m/>
    <m/>
    <m/>
    <m/>
    <m/>
    <m/>
    <m/>
    <m/>
    <m/>
    <m/>
    <m/>
    <m/>
    <m/>
    <m/>
    <n v="0"/>
    <n v="0"/>
    <n v="0"/>
    <n v="0"/>
    <n v="0"/>
    <e v="#DIV/0!"/>
    <e v="#DIV/0!"/>
    <s v="Industry"/>
    <n v="0"/>
    <n v="0"/>
    <n v="74226.995430400595"/>
    <n v="74226.995430400595"/>
    <n v="0"/>
    <n v="1"/>
    <s v="Industry"/>
    <n v="0"/>
    <n v="74226.995430400595"/>
    <n v="74226.995430400595"/>
    <n v="74226.995430400595"/>
    <n v="0"/>
    <n v="74226.995430400595"/>
    <n v="0"/>
    <n v="0"/>
    <n v="0"/>
    <n v="0"/>
    <n v="74226.995430400595"/>
    <n v="0"/>
    <n v="0"/>
    <n v="0"/>
    <n v="74226.995430400595"/>
    <n v="0"/>
    <m/>
    <n v="0"/>
    <m/>
    <m/>
    <m/>
    <m/>
    <m/>
    <m/>
    <n v="0"/>
    <m/>
    <n v="0"/>
  </r>
  <r>
    <x v="70"/>
    <s v="Start of project postponed to September 2020 due to COVID-19"/>
    <x v="38"/>
    <x v="3"/>
    <n v="1"/>
    <m/>
    <x v="1"/>
    <x v="2"/>
    <m/>
    <m/>
    <x v="1"/>
    <s v="6. Proposal declined"/>
    <m/>
    <s v="BM01C"/>
    <m/>
    <m/>
    <n v="6"/>
    <m/>
    <m/>
    <m/>
    <m/>
    <d v="2019-12-01T00:00:00"/>
    <m/>
    <m/>
    <d v="2021-05-27T00:00:00"/>
    <s v="IPK"/>
    <s v="David Domingos"/>
    <m/>
    <n v="54000"/>
    <m/>
    <m/>
    <m/>
    <m/>
    <s v="Ronnie Rego"/>
    <s v="Ronnie Rego"/>
    <m/>
    <m/>
    <m/>
    <m/>
    <m/>
    <m/>
    <m/>
    <m/>
    <m/>
    <m/>
    <m/>
    <m/>
    <m/>
    <m/>
    <m/>
    <m/>
    <m/>
    <m/>
    <m/>
    <s v="Ciser"/>
    <s v="Renato de Fiore"/>
    <n v="54000"/>
    <m/>
    <m/>
    <m/>
    <m/>
    <m/>
    <m/>
    <m/>
    <m/>
    <m/>
    <m/>
    <m/>
    <m/>
    <m/>
    <m/>
    <m/>
    <m/>
    <m/>
    <m/>
    <m/>
    <n v="54000"/>
    <n v="54000"/>
    <n v="54000"/>
    <n v="0"/>
    <n v="0"/>
    <n v="1"/>
    <n v="1"/>
    <s v="Industry"/>
    <n v="0"/>
    <n v="54000"/>
    <n v="0"/>
    <n v="0"/>
    <n v="0"/>
    <e v="#DIV/0!"/>
    <e v="#DIV/0!"/>
    <n v="0"/>
    <n v="0"/>
    <n v="54000"/>
    <n v="54000"/>
    <n v="0"/>
    <n v="54000"/>
    <n v="0"/>
    <n v="0"/>
    <n v="0"/>
    <n v="0"/>
    <n v="54000"/>
    <n v="0"/>
    <n v="0"/>
    <n v="0"/>
    <n v="54000"/>
    <n v="54000"/>
    <n v="0.5"/>
    <n v="27000"/>
    <m/>
    <m/>
    <m/>
    <m/>
    <m/>
    <n v="0.15"/>
    <n v="4050"/>
    <n v="0"/>
    <n v="4050"/>
  </r>
  <r>
    <x v="71"/>
    <s v="Augmented Reality in Aeronautics"/>
    <x v="58"/>
    <x v="5"/>
    <m/>
    <m/>
    <x v="2"/>
    <x v="1"/>
    <m/>
    <m/>
    <x v="1"/>
    <s v="6. Proposal declined"/>
    <m/>
    <m/>
    <m/>
    <m/>
    <n v="24"/>
    <m/>
    <m/>
    <m/>
    <m/>
    <m/>
    <m/>
    <m/>
    <d v="2020-04-30T00:00:00"/>
    <s v="IPK"/>
    <s v="N/A"/>
    <n v="0"/>
    <n v="0"/>
    <n v="0"/>
    <n v="0"/>
    <n v="0"/>
    <s v="ITA"/>
    <s v="Emília Vilanni "/>
    <s v="Weslley Oliveira / Aline Matheus "/>
    <n v="0"/>
    <m/>
    <n v="0"/>
    <n v="0"/>
    <n v="0"/>
    <s v="N/A"/>
    <s v="N/A"/>
    <n v="0"/>
    <n v="0"/>
    <n v="0"/>
    <n v="0"/>
    <n v="0"/>
    <s v="N/A"/>
    <s v="N/A"/>
    <n v="0"/>
    <n v="0"/>
    <n v="0"/>
    <n v="0"/>
    <n v="0"/>
    <s v="N/A"/>
    <s v="N/A"/>
    <n v="0"/>
    <n v="0"/>
    <s v="N/A"/>
    <s v="N/A"/>
    <n v="0"/>
    <n v="0"/>
    <s v="N/A"/>
    <s v="N/A"/>
    <n v="0"/>
    <n v="0"/>
    <s v="N/A"/>
    <s v="N/A"/>
    <n v="0"/>
    <n v="0"/>
    <s v="FAPESP"/>
    <m/>
    <n v="45238"/>
    <s v="N/A"/>
    <s v="N/A"/>
    <n v="0"/>
    <n v="0"/>
    <n v="0"/>
    <n v="0"/>
    <n v="0"/>
    <n v="0"/>
    <e v="#DIV/0!"/>
    <e v="#DIV/0!"/>
    <s v="Public Funding"/>
    <n v="0"/>
    <n v="0"/>
    <n v="0"/>
    <n v="0"/>
    <n v="0"/>
    <e v="#DIV/0!"/>
    <e v="#DIV/0!"/>
    <n v="0"/>
    <n v="0"/>
    <n v="0"/>
    <n v="0"/>
    <n v="0"/>
    <n v="0"/>
    <n v="0"/>
    <n v="0"/>
    <n v="0"/>
    <n v="0"/>
    <n v="0"/>
    <n v="0"/>
    <n v="0"/>
    <n v="0"/>
    <n v="0"/>
    <n v="0"/>
    <n v="0"/>
    <n v="0"/>
    <m/>
    <m/>
    <m/>
    <m/>
    <m/>
    <n v="0"/>
    <n v="0"/>
    <n v="0"/>
    <n v="0"/>
  </r>
  <r>
    <x v="72"/>
    <s v="Develop and certify brazilian die and mold companies, according to international automotive standards"/>
    <x v="7"/>
    <x v="2"/>
    <n v="10"/>
    <n v="1"/>
    <x v="1"/>
    <x v="2"/>
    <m/>
    <d v="2016-01-01T00:00:00"/>
    <x v="1"/>
    <s v="6. Proposal declined"/>
    <n v="6.7"/>
    <s v="BM01B"/>
    <m/>
    <d v="2020-10-01T00:00:00"/>
    <n v="48"/>
    <d v="2024-09-30T00:00:00"/>
    <d v="2016-01-01T00:00:00"/>
    <m/>
    <d v="2020-04-15T00:00:00"/>
    <d v="2021-03-10T00:00:00"/>
    <m/>
    <m/>
    <d v="2021-05-11T00:00:00"/>
    <s v="IPK"/>
    <s v="David Domingos"/>
    <m/>
    <n v="1200000"/>
    <m/>
    <m/>
    <m/>
    <s v="ITA"/>
    <s v="Gabriel Vargas"/>
    <s v="André Canal"/>
    <m/>
    <m/>
    <m/>
    <n v="276119.40298507462"/>
    <m/>
    <s v="SENAI-MG"/>
    <s v="André Zanatta"/>
    <m/>
    <m/>
    <m/>
    <m/>
    <m/>
    <m/>
    <m/>
    <m/>
    <m/>
    <m/>
    <m/>
    <m/>
    <s v="Abinfer"/>
    <s v="C. Dihllmann"/>
    <m/>
    <m/>
    <m/>
    <m/>
    <m/>
    <m/>
    <m/>
    <m/>
    <m/>
    <m/>
    <m/>
    <m/>
    <m/>
    <m/>
    <s v="R2030 / IPT"/>
    <m/>
    <n v="1200000"/>
    <m/>
    <m/>
    <m/>
    <n v="1200000"/>
    <n v="1200000"/>
    <n v="1200000"/>
    <n v="0"/>
    <n v="0"/>
    <n v="1"/>
    <n v="1"/>
    <s v="Industry"/>
    <n v="0"/>
    <n v="1200000"/>
    <n v="276119.40298507462"/>
    <n v="0"/>
    <n v="276119.40298507462"/>
    <n v="0"/>
    <s v="Public Funding"/>
    <n v="0"/>
    <n v="276119.40298507462"/>
    <n v="1476119.4029850746"/>
    <n v="1200000"/>
    <n v="0"/>
    <n v="1200000"/>
    <n v="276119.40298507462"/>
    <n v="0"/>
    <n v="276119.40298507462"/>
    <n v="0"/>
    <n v="1476119.4029850746"/>
    <n v="0"/>
    <n v="0"/>
    <n v="0"/>
    <n v="1476119.4029850746"/>
    <n v="1200000"/>
    <n v="0.25"/>
    <n v="300000"/>
    <m/>
    <m/>
    <m/>
    <m/>
    <m/>
    <m/>
    <n v="100000"/>
    <m/>
    <n v="100000"/>
  </r>
  <r>
    <x v="73"/>
    <s v="CORNET Call BR and DE_x000a_DE: Fraunhofer IPK_x000a_BR: Maxion and IPT (LEL)"/>
    <x v="33"/>
    <x v="3"/>
    <n v="3"/>
    <n v="2"/>
    <x v="0"/>
    <x v="2"/>
    <s v="Project declined at the first attempt and resubmitted on 29.03.2021"/>
    <d v="2019-07-01T00:00:00"/>
    <x v="4"/>
    <m/>
    <m/>
    <m/>
    <m/>
    <d v="2020-09-01T00:00:00"/>
    <n v="18"/>
    <m/>
    <d v="2019-07-01T00:00:00"/>
    <m/>
    <d v="2019-12-10T00:00:00"/>
    <d v="2020-09-30T00:00:00"/>
    <d v="2021-08-01T00:00:00"/>
    <m/>
    <m/>
    <s v="IPK"/>
    <s v="Tobias Neuwald"/>
    <n v="250000"/>
    <m/>
    <m/>
    <m/>
    <m/>
    <m/>
    <m/>
    <m/>
    <m/>
    <m/>
    <m/>
    <m/>
    <m/>
    <m/>
    <m/>
    <m/>
    <m/>
    <m/>
    <m/>
    <m/>
    <m/>
    <m/>
    <m/>
    <m/>
    <m/>
    <m/>
    <m/>
    <s v="Maxion"/>
    <m/>
    <m/>
    <m/>
    <m/>
    <m/>
    <m/>
    <m/>
    <m/>
    <m/>
    <m/>
    <m/>
    <m/>
    <m/>
    <m/>
    <m/>
    <s v="AiF (IGF)"/>
    <s v="felix Rotter"/>
    <n v="250000"/>
    <m/>
    <m/>
    <m/>
    <n v="250000"/>
    <n v="250000"/>
    <n v="250000"/>
    <n v="0"/>
    <n v="0"/>
    <n v="1"/>
    <n v="1"/>
    <s v="Industry"/>
    <n v="250000"/>
    <n v="0"/>
    <n v="0"/>
    <n v="0"/>
    <n v="0"/>
    <e v="#DIV/0!"/>
    <e v="#DIV/0!"/>
    <n v="0"/>
    <n v="0"/>
    <n v="250000"/>
    <n v="250000"/>
    <n v="250000"/>
    <n v="0"/>
    <n v="0"/>
    <n v="0"/>
    <n v="0"/>
    <n v="250000"/>
    <n v="0"/>
    <n v="0"/>
    <n v="0"/>
    <n v="0"/>
    <n v="250000"/>
    <n v="250000"/>
    <n v="1"/>
    <n v="250000"/>
    <m/>
    <m/>
    <m/>
    <m/>
    <m/>
    <n v="0.2"/>
    <n v="50000"/>
    <m/>
    <n v="50000"/>
  </r>
  <r>
    <x v="74"/>
    <s v="To be defined"/>
    <x v="59"/>
    <x v="2"/>
    <n v="1"/>
    <n v="0"/>
    <x v="2"/>
    <x v="2"/>
    <m/>
    <d v="2019-09-09T00:00:00"/>
    <x v="1"/>
    <s v="6. Proposal declined"/>
    <m/>
    <m/>
    <m/>
    <m/>
    <m/>
    <m/>
    <m/>
    <m/>
    <d v="2020-01-27T00:00:00"/>
    <m/>
    <m/>
    <m/>
    <d v="2020-04-30T00:00:00"/>
    <s v="IPK"/>
    <m/>
    <m/>
    <m/>
    <m/>
    <m/>
    <m/>
    <s v="ITA"/>
    <s v="Tédni Goulart"/>
    <s v="Tédni Goulart  / Givan Macedo "/>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75"/>
    <m/>
    <x v="47"/>
    <x v="0"/>
    <m/>
    <m/>
    <x v="0"/>
    <x v="1"/>
    <s v="Proposal was declined on 24.12.2019 and resubmitted on 19.02.2020"/>
    <m/>
    <x v="1"/>
    <m/>
    <m/>
    <m/>
    <m/>
    <d v="2021-01-01T00:00:00"/>
    <n v="24"/>
    <m/>
    <m/>
    <m/>
    <d v="2019-12-24T00:00:00"/>
    <d v="2020-02-19T00:00:00"/>
    <m/>
    <m/>
    <d v="2020-04-16T00:00:00"/>
    <s v="IPK"/>
    <s v="Gustavo Reis"/>
    <m/>
    <m/>
    <n v="937360"/>
    <m/>
    <m/>
    <s v="ITA"/>
    <m/>
    <m/>
    <m/>
    <m/>
    <m/>
    <m/>
    <m/>
    <m/>
    <m/>
    <m/>
    <m/>
    <m/>
    <m/>
    <m/>
    <m/>
    <m/>
    <m/>
    <m/>
    <m/>
    <m/>
    <m/>
    <m/>
    <m/>
    <m/>
    <m/>
    <m/>
    <m/>
    <m/>
    <m/>
    <m/>
    <m/>
    <m/>
    <m/>
    <m/>
    <m/>
    <m/>
    <m/>
    <s v="H2020"/>
    <m/>
    <m/>
    <m/>
    <m/>
    <m/>
    <n v="937360"/>
    <n v="937360"/>
    <n v="0"/>
    <n v="937360"/>
    <n v="0"/>
    <n v="1"/>
    <n v="0"/>
    <s v="Public Funding"/>
    <n v="937360"/>
    <n v="0"/>
    <n v="0"/>
    <n v="0"/>
    <n v="0"/>
    <e v="#DIV/0!"/>
    <e v="#DIV/0!"/>
    <n v="0"/>
    <n v="0"/>
    <n v="937360"/>
    <n v="0"/>
    <n v="0"/>
    <n v="0"/>
    <n v="937360"/>
    <n v="937360"/>
    <n v="0"/>
    <n v="937360"/>
    <n v="0"/>
    <n v="0"/>
    <n v="0"/>
    <n v="0"/>
    <n v="937360"/>
    <n v="937360"/>
    <n v="0"/>
    <n v="0"/>
    <m/>
    <m/>
    <m/>
    <m/>
    <m/>
    <n v="0.2"/>
    <n v="0"/>
    <n v="0"/>
    <n v="0"/>
  </r>
  <r>
    <x v="76"/>
    <s v="Engrena ITA Phase 3: FAPESP co-funding"/>
    <x v="58"/>
    <x v="0"/>
    <n v="20"/>
    <n v="0"/>
    <x v="2"/>
    <x v="1"/>
    <s v="Related BR Corporations: Engrena ITA members."/>
    <m/>
    <x v="1"/>
    <s v="6. Proposal declined"/>
    <n v="6.7"/>
    <s v="BM04B"/>
    <m/>
    <m/>
    <n v="36"/>
    <m/>
    <m/>
    <m/>
    <m/>
    <d v="2019-12-13T00:00:00"/>
    <m/>
    <m/>
    <d v="2021-02-24T00:00:00"/>
    <s v="IPK"/>
    <m/>
    <m/>
    <m/>
    <m/>
    <m/>
    <m/>
    <s v="ITA"/>
    <s v="Angelo Carvalho"/>
    <s v="Angelo Carvalho"/>
    <m/>
    <n v="58208.955223880599"/>
    <m/>
    <n v="58208.955223880599"/>
    <m/>
    <m/>
    <m/>
    <m/>
    <m/>
    <m/>
    <m/>
    <m/>
    <m/>
    <m/>
    <m/>
    <m/>
    <m/>
    <m/>
    <m/>
    <m/>
    <m/>
    <m/>
    <m/>
    <m/>
    <m/>
    <m/>
    <m/>
    <m/>
    <m/>
    <m/>
    <m/>
    <m/>
    <m/>
    <m/>
    <m/>
    <m/>
    <m/>
    <m/>
    <m/>
    <m/>
    <m/>
    <n v="0"/>
    <n v="0"/>
    <n v="0"/>
    <n v="0"/>
    <n v="0"/>
    <e v="#DIV/0!"/>
    <e v="#DIV/0!"/>
    <s v="Public Funding"/>
    <n v="0"/>
    <n v="0"/>
    <n v="116417.9104477612"/>
    <n v="58208.955223880599"/>
    <n v="58208.955223880599"/>
    <n v="0.5"/>
    <s v="Industry"/>
    <n v="0"/>
    <n v="116417.9104477612"/>
    <n v="116417.9104477612"/>
    <n v="58208.955223880599"/>
    <n v="0"/>
    <n v="58208.955223880599"/>
    <n v="58208.955223880599"/>
    <n v="0"/>
    <n v="58208.955223880599"/>
    <n v="0"/>
    <n v="116417.9104477612"/>
    <n v="0"/>
    <n v="0"/>
    <n v="0"/>
    <n v="116417.9104477612"/>
    <n v="0"/>
    <m/>
    <n v="0"/>
    <m/>
    <m/>
    <m/>
    <m/>
    <m/>
    <m/>
    <n v="0"/>
    <m/>
    <n v="0"/>
  </r>
  <r>
    <x v="77"/>
    <m/>
    <x v="60"/>
    <x v="0"/>
    <n v="2"/>
    <n v="2"/>
    <x v="0"/>
    <x v="2"/>
    <s v="CORNET Call BR and DE_x000a_DE: Fraunhofer IPK and IGB _x000a_BR: Natura and IPT"/>
    <d v="2019-03-01T00:00:00"/>
    <x v="1"/>
    <m/>
    <m/>
    <m/>
    <m/>
    <d v="2020-09-01T00:00:00"/>
    <n v="24"/>
    <m/>
    <m/>
    <m/>
    <d v="2019-08-20T00:00:00"/>
    <d v="2020-05-13T00:00:00"/>
    <m/>
    <m/>
    <d v="2020-08-12T00:00:00"/>
    <s v="IPK"/>
    <s v="Katrin Huth-Herms"/>
    <n v="250000"/>
    <m/>
    <m/>
    <m/>
    <m/>
    <m/>
    <m/>
    <m/>
    <m/>
    <m/>
    <m/>
    <m/>
    <m/>
    <s v="IPT"/>
    <s v="Natália Cerize"/>
    <m/>
    <m/>
    <m/>
    <m/>
    <m/>
    <s v="Fraunhofer IGB"/>
    <s v="Susanne Zibek"/>
    <m/>
    <m/>
    <n v="250000"/>
    <m/>
    <m/>
    <s v="Natura"/>
    <s v="Franciele de Oliveira"/>
    <m/>
    <m/>
    <m/>
    <m/>
    <m/>
    <m/>
    <m/>
    <m/>
    <m/>
    <m/>
    <m/>
    <m/>
    <m/>
    <m/>
    <s v="AiF"/>
    <s v="felix Rotter"/>
    <n v="250000"/>
    <m/>
    <m/>
    <m/>
    <n v="250000"/>
    <n v="250000"/>
    <n v="250000"/>
    <n v="0"/>
    <n v="0"/>
    <n v="1"/>
    <n v="1"/>
    <s v="Industry"/>
    <n v="250000"/>
    <n v="0"/>
    <n v="0"/>
    <n v="0"/>
    <n v="0"/>
    <e v="#DIV/0!"/>
    <e v="#DIV/0!"/>
    <n v="0"/>
    <n v="0"/>
    <n v="250000"/>
    <n v="250000"/>
    <n v="250000"/>
    <n v="0"/>
    <n v="0"/>
    <n v="0"/>
    <n v="0"/>
    <n v="250000"/>
    <n v="0"/>
    <n v="250000"/>
    <n v="250000"/>
    <n v="0"/>
    <n v="500000"/>
    <n v="250000"/>
    <n v="0"/>
    <n v="0"/>
    <m/>
    <m/>
    <m/>
    <m/>
    <m/>
    <n v="0.2"/>
    <n v="0"/>
    <m/>
    <n v="0"/>
  </r>
  <r>
    <x v="78"/>
    <s v="Advanced Manufacturing - Joint FAPESP Financing"/>
    <x v="17"/>
    <x v="5"/>
    <n v="1"/>
    <n v="0"/>
    <x v="2"/>
    <x v="2"/>
    <m/>
    <d v="2019-08-19T00:00:00"/>
    <x v="1"/>
    <s v="6. Proposal declined"/>
    <m/>
    <m/>
    <m/>
    <m/>
    <m/>
    <m/>
    <m/>
    <m/>
    <m/>
    <m/>
    <m/>
    <m/>
    <d v="2020-11-03T00:00:00"/>
    <s v="IPK"/>
    <m/>
    <m/>
    <m/>
    <m/>
    <m/>
    <m/>
    <s v="ITA"/>
    <s v="Wesley Oliveira "/>
    <s v="Weslley Oliveira / Aline Matheus "/>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79"/>
    <s v="Development and construction of a drone for painting locals of difficult human access"/>
    <x v="49"/>
    <x v="8"/>
    <n v="1"/>
    <n v="0"/>
    <x v="2"/>
    <x v="1"/>
    <m/>
    <m/>
    <x v="4"/>
    <s v="5. Project running"/>
    <m/>
    <m/>
    <m/>
    <m/>
    <n v="36"/>
    <m/>
    <m/>
    <m/>
    <m/>
    <m/>
    <d v="2019-09-11T00:00:00"/>
    <m/>
    <m/>
    <s v="IPK"/>
    <m/>
    <m/>
    <m/>
    <m/>
    <m/>
    <m/>
    <s v="ITA"/>
    <s v="Carlos Eguti"/>
    <s v="Weslley Oliveira / Aline Matheus "/>
    <m/>
    <m/>
    <m/>
    <n v="1043817.1232400084"/>
    <m/>
    <m/>
    <m/>
    <m/>
    <m/>
    <m/>
    <m/>
    <m/>
    <m/>
    <m/>
    <m/>
    <m/>
    <m/>
    <m/>
    <m/>
    <s v="PETROBRAS"/>
    <m/>
    <m/>
    <m/>
    <m/>
    <m/>
    <m/>
    <m/>
    <m/>
    <m/>
    <m/>
    <m/>
    <m/>
    <m/>
    <m/>
    <m/>
    <s v="ANP"/>
    <m/>
    <m/>
    <m/>
    <m/>
    <m/>
    <n v="0"/>
    <n v="0"/>
    <n v="0"/>
    <n v="0"/>
    <n v="0"/>
    <e v="#DIV/0!"/>
    <e v="#DIV/0!"/>
    <s v="Public Funding"/>
    <n v="0"/>
    <n v="0"/>
    <n v="1043817.1232400084"/>
    <n v="0"/>
    <n v="1043817.1232400084"/>
    <n v="0"/>
    <s v="Public Funding"/>
    <n v="0"/>
    <n v="1043817.1232400084"/>
    <n v="1043817.1232400084"/>
    <n v="0"/>
    <n v="0"/>
    <n v="0"/>
    <n v="1043817.1232400084"/>
    <n v="0"/>
    <n v="1043817.1232400084"/>
    <n v="0"/>
    <n v="1043817.1232400084"/>
    <n v="0"/>
    <n v="0"/>
    <n v="0"/>
    <n v="1043817.1232400084"/>
    <n v="0"/>
    <m/>
    <n v="0"/>
    <m/>
    <m/>
    <m/>
    <m/>
    <m/>
    <m/>
    <n v="0"/>
    <m/>
    <n v="0"/>
  </r>
  <r>
    <x v="80"/>
    <s v="Stamping demonstrator for a reinforcement B pillar (ROTA 2030, line IV, axis IV)"/>
    <x v="7"/>
    <x v="2"/>
    <n v="19"/>
    <m/>
    <x v="2"/>
    <x v="1"/>
    <m/>
    <m/>
    <x v="4"/>
    <s v="5. Project running"/>
    <m/>
    <s v="BM04B"/>
    <m/>
    <m/>
    <n v="24"/>
    <m/>
    <m/>
    <m/>
    <d v="2020-07-08T00:00:00"/>
    <d v="2020-08-05T00:00:00"/>
    <d v="2020-12-12T00:00:00"/>
    <m/>
    <m/>
    <s v="IPK"/>
    <m/>
    <m/>
    <m/>
    <m/>
    <m/>
    <m/>
    <s v="ITA"/>
    <s v="Emília Vilanni "/>
    <s v="Weslley Oliveira / Aline Matheus "/>
    <m/>
    <m/>
    <m/>
    <n v="0"/>
    <m/>
    <m/>
    <m/>
    <m/>
    <m/>
    <m/>
    <m/>
    <m/>
    <m/>
    <m/>
    <m/>
    <m/>
    <m/>
    <m/>
    <m/>
    <m/>
    <m/>
    <m/>
    <m/>
    <m/>
    <m/>
    <m/>
    <m/>
    <m/>
    <m/>
    <m/>
    <m/>
    <m/>
    <m/>
    <m/>
    <m/>
    <m/>
    <m/>
    <m/>
    <m/>
    <m/>
    <m/>
    <n v="0"/>
    <n v="0"/>
    <n v="0"/>
    <n v="0"/>
    <n v="0"/>
    <e v="#DIV/0!"/>
    <e v="#DIV/0!"/>
    <s v="Public Funding"/>
    <n v="0"/>
    <n v="0"/>
    <n v="0"/>
    <n v="0"/>
    <n v="0"/>
    <e v="#DIV/0!"/>
    <e v="#DIV/0!"/>
    <n v="0"/>
    <n v="0"/>
    <n v="0"/>
    <n v="0"/>
    <n v="0"/>
    <n v="0"/>
    <n v="0"/>
    <n v="0"/>
    <n v="0"/>
    <n v="0"/>
    <n v="0"/>
    <n v="0"/>
    <n v="0"/>
    <n v="0"/>
    <n v="0"/>
    <n v="0"/>
    <m/>
    <n v="0"/>
    <m/>
    <m/>
    <m/>
    <m/>
    <m/>
    <m/>
    <n v="0"/>
    <m/>
    <n v="0"/>
  </r>
  <r>
    <x v="81"/>
    <s v="Stamping demonstrator for a class A surface (ROTA 2030, line IV, axis IV)"/>
    <x v="7"/>
    <x v="2"/>
    <n v="21"/>
    <m/>
    <x v="2"/>
    <x v="2"/>
    <m/>
    <d v="2020-05-21T00:00:00"/>
    <x v="4"/>
    <s v="5. Project running"/>
    <n v="6.38"/>
    <s v="BM04B"/>
    <m/>
    <m/>
    <n v="24"/>
    <m/>
    <m/>
    <m/>
    <d v="2020-06-10T00:00:00"/>
    <d v="2020-08-05T00:00:00"/>
    <d v="2020-12-12T00:00:00"/>
    <m/>
    <m/>
    <s v="IPK"/>
    <m/>
    <m/>
    <m/>
    <m/>
    <m/>
    <m/>
    <s v="ITA"/>
    <s v="Emília Vilanni "/>
    <s v="Weslley Oliveira / Aline Matheus "/>
    <m/>
    <m/>
    <m/>
    <n v="470219.43573667714"/>
    <m/>
    <m/>
    <m/>
    <m/>
    <m/>
    <m/>
    <m/>
    <m/>
    <m/>
    <m/>
    <m/>
    <m/>
    <m/>
    <m/>
    <m/>
    <m/>
    <m/>
    <m/>
    <m/>
    <m/>
    <m/>
    <m/>
    <m/>
    <m/>
    <m/>
    <m/>
    <m/>
    <m/>
    <m/>
    <m/>
    <m/>
    <m/>
    <m/>
    <m/>
    <m/>
    <m/>
    <m/>
    <n v="0"/>
    <n v="0"/>
    <n v="0"/>
    <n v="0"/>
    <n v="0"/>
    <e v="#DIV/0!"/>
    <e v="#DIV/0!"/>
    <s v="Industry"/>
    <n v="0"/>
    <n v="0"/>
    <n v="470219.43573667714"/>
    <n v="0"/>
    <n v="470219.43573667714"/>
    <n v="0"/>
    <s v="Public Funding"/>
    <n v="0"/>
    <n v="470219.43573667714"/>
    <n v="470219.43573667714"/>
    <n v="0"/>
    <n v="0"/>
    <n v="0"/>
    <n v="470219.43573667714"/>
    <n v="0"/>
    <n v="470219.43573667714"/>
    <n v="0"/>
    <n v="470219.43573667714"/>
    <n v="0"/>
    <n v="0"/>
    <n v="0"/>
    <n v="470219.43573667714"/>
    <n v="0"/>
    <m/>
    <n v="0"/>
    <m/>
    <m/>
    <m/>
    <m/>
    <m/>
    <m/>
    <n v="0"/>
    <m/>
    <n v="0"/>
  </r>
  <r>
    <x v="82"/>
    <m/>
    <x v="58"/>
    <x v="0"/>
    <m/>
    <m/>
    <x v="2"/>
    <x v="1"/>
    <m/>
    <m/>
    <x v="4"/>
    <s v="5. Project running"/>
    <m/>
    <m/>
    <m/>
    <m/>
    <n v="24"/>
    <m/>
    <m/>
    <m/>
    <m/>
    <m/>
    <d v="2018-12-08T00:00:00"/>
    <m/>
    <m/>
    <s v="IPK"/>
    <m/>
    <m/>
    <m/>
    <m/>
    <m/>
    <m/>
    <s v="ITA"/>
    <s v="André Luiz Oliveira"/>
    <s v="Nathianne Moura / Artur Cantisano "/>
    <m/>
    <m/>
    <m/>
    <n v="27425.668622857276"/>
    <m/>
    <m/>
    <m/>
    <m/>
    <m/>
    <m/>
    <m/>
    <m/>
    <m/>
    <m/>
    <m/>
    <m/>
    <m/>
    <m/>
    <m/>
    <m/>
    <m/>
    <m/>
    <m/>
    <m/>
    <m/>
    <m/>
    <m/>
    <m/>
    <m/>
    <m/>
    <m/>
    <m/>
    <m/>
    <m/>
    <m/>
    <s v="FAPESP"/>
    <m/>
    <n v="27425.668622857276"/>
    <m/>
    <m/>
    <m/>
    <n v="0"/>
    <n v="0"/>
    <n v="0"/>
    <n v="0"/>
    <n v="0"/>
    <e v="#DIV/0!"/>
    <e v="#DIV/0!"/>
    <s v="Public Funding"/>
    <n v="0"/>
    <n v="0"/>
    <n v="27425.668622857276"/>
    <n v="0"/>
    <n v="27425.668622857276"/>
    <n v="0"/>
    <s v="Public Funding"/>
    <n v="0"/>
    <n v="27425.668622857276"/>
    <n v="27425.668622857276"/>
    <n v="0"/>
    <n v="0"/>
    <n v="0"/>
    <n v="27425.668622857276"/>
    <n v="0"/>
    <n v="27425.668622857276"/>
    <n v="0"/>
    <n v="27425.668622857276"/>
    <n v="0"/>
    <n v="0"/>
    <n v="0"/>
    <n v="27425.668622857276"/>
    <n v="0"/>
    <m/>
    <n v="0"/>
    <m/>
    <m/>
    <m/>
    <m/>
    <m/>
    <m/>
    <n v="0"/>
    <n v="0"/>
    <n v="0"/>
  </r>
  <r>
    <x v="83"/>
    <m/>
    <x v="61"/>
    <x v="0"/>
    <m/>
    <m/>
    <x v="2"/>
    <x v="2"/>
    <m/>
    <m/>
    <x v="6"/>
    <s v="5. Project running"/>
    <m/>
    <m/>
    <m/>
    <m/>
    <m/>
    <m/>
    <m/>
    <m/>
    <m/>
    <m/>
    <m/>
    <d v="2019-10-31T00:00:00"/>
    <m/>
    <s v="IPK"/>
    <s v="N/A"/>
    <n v="0"/>
    <n v="0"/>
    <n v="0"/>
    <n v="0"/>
    <n v="0"/>
    <s v="ITA"/>
    <s v="Janete Moreira"/>
    <s v="Ronnie Rego"/>
    <n v="0"/>
    <m/>
    <n v="0"/>
    <n v="23095"/>
    <n v="0"/>
    <s v="N/A"/>
    <s v="N/A"/>
    <n v="0"/>
    <n v="0"/>
    <n v="0"/>
    <n v="0"/>
    <n v="0"/>
    <s v="N/A"/>
    <s v="N/A"/>
    <n v="0"/>
    <n v="0"/>
    <n v="0"/>
    <n v="0"/>
    <n v="0"/>
    <s v="CBMM"/>
    <m/>
    <n v="23095"/>
    <n v="0"/>
    <s v="N/A"/>
    <s v="N/A"/>
    <n v="0"/>
    <n v="0"/>
    <s v="N/A"/>
    <s v="N/A"/>
    <n v="0"/>
    <n v="0"/>
    <s v="N/A"/>
    <s v="N/A"/>
    <n v="0"/>
    <n v="0"/>
    <s v="N/A"/>
    <s v="N/A"/>
    <n v="0"/>
    <s v="N/A"/>
    <s v="N/A"/>
    <n v="0"/>
    <n v="0"/>
    <n v="0"/>
    <n v="0"/>
    <n v="0"/>
    <n v="0"/>
    <e v="#DIV/0!"/>
    <e v="#DIV/0!"/>
    <s v="Industry"/>
    <n v="0"/>
    <n v="0"/>
    <n v="23095"/>
    <n v="0"/>
    <n v="23095"/>
    <n v="0"/>
    <s v="Public Funding"/>
    <n v="0"/>
    <n v="23095"/>
    <n v="23095"/>
    <n v="0"/>
    <n v="0"/>
    <n v="0"/>
    <n v="23095"/>
    <n v="0"/>
    <n v="23095"/>
    <n v="0"/>
    <n v="23095"/>
    <n v="0"/>
    <n v="0"/>
    <n v="0"/>
    <n v="23095"/>
    <n v="0"/>
    <n v="0"/>
    <n v="0"/>
    <m/>
    <m/>
    <m/>
    <m/>
    <m/>
    <n v="0"/>
    <n v="0"/>
    <n v="0"/>
    <n v="0"/>
  </r>
  <r>
    <x v="84"/>
    <m/>
    <x v="17"/>
    <x v="5"/>
    <m/>
    <m/>
    <x v="0"/>
    <x v="2"/>
    <m/>
    <m/>
    <x v="1"/>
    <m/>
    <m/>
    <m/>
    <m/>
    <m/>
    <m/>
    <m/>
    <m/>
    <m/>
    <m/>
    <m/>
    <m/>
    <m/>
    <d v="2019-09-01T00:00:00"/>
    <s v="IPK"/>
    <m/>
    <m/>
    <n v="76000"/>
    <m/>
    <m/>
    <m/>
    <s v="ITA"/>
    <m/>
    <m/>
    <m/>
    <m/>
    <m/>
    <m/>
    <m/>
    <m/>
    <m/>
    <m/>
    <m/>
    <m/>
    <m/>
    <m/>
    <m/>
    <m/>
    <m/>
    <m/>
    <m/>
    <m/>
    <m/>
    <s v="EMBRAER"/>
    <m/>
    <n v="76000"/>
    <m/>
    <m/>
    <m/>
    <m/>
    <m/>
    <m/>
    <m/>
    <m/>
    <m/>
    <m/>
    <m/>
    <m/>
    <m/>
    <m/>
    <m/>
    <m/>
    <m/>
    <m/>
    <m/>
    <n v="76000"/>
    <n v="76000"/>
    <n v="76000"/>
    <n v="0"/>
    <n v="0"/>
    <n v="1"/>
    <n v="1"/>
    <s v="Industry"/>
    <n v="0"/>
    <n v="76000"/>
    <n v="0"/>
    <n v="0"/>
    <n v="0"/>
    <e v="#DIV/0!"/>
    <e v="#DIV/0!"/>
    <n v="0"/>
    <n v="0"/>
    <n v="76000"/>
    <n v="76000"/>
    <n v="0"/>
    <n v="76000"/>
    <n v="0"/>
    <n v="0"/>
    <n v="0"/>
    <n v="0"/>
    <n v="76000"/>
    <n v="0"/>
    <n v="0"/>
    <n v="0"/>
    <n v="76000"/>
    <n v="76000"/>
    <n v="0"/>
    <n v="0"/>
    <m/>
    <m/>
    <m/>
    <m/>
    <m/>
    <n v="0.2"/>
    <n v="0"/>
    <n v="0"/>
    <n v="0"/>
  </r>
  <r>
    <x v="85"/>
    <s v="Coated Gears for efficiency"/>
    <x v="62"/>
    <x v="3"/>
    <m/>
    <m/>
    <x v="2"/>
    <x v="2"/>
    <m/>
    <m/>
    <x v="1"/>
    <s v="6. Proposal declined"/>
    <m/>
    <m/>
    <m/>
    <m/>
    <n v="24"/>
    <m/>
    <m/>
    <m/>
    <d v="2019-10-07T00:00:00"/>
    <m/>
    <m/>
    <m/>
    <d v="2019-10-29T00:00:00"/>
    <s v="IPK"/>
    <m/>
    <m/>
    <m/>
    <m/>
    <m/>
    <m/>
    <s v="ITA"/>
    <s v="Nathianne Moura"/>
    <s v="Nathianne Moura / Artur Cantisano "/>
    <m/>
    <m/>
    <m/>
    <n v="124762"/>
    <m/>
    <m/>
    <m/>
    <m/>
    <m/>
    <m/>
    <m/>
    <m/>
    <m/>
    <m/>
    <m/>
    <m/>
    <m/>
    <m/>
    <m/>
    <s v="SENAI-MG"/>
    <m/>
    <n v="124762"/>
    <m/>
    <m/>
    <m/>
    <m/>
    <m/>
    <m/>
    <m/>
    <m/>
    <m/>
    <m/>
    <m/>
    <m/>
    <m/>
    <m/>
    <m/>
    <m/>
    <m/>
    <m/>
    <m/>
    <n v="0"/>
    <n v="0"/>
    <n v="0"/>
    <n v="0"/>
    <n v="0"/>
    <e v="#DIV/0!"/>
    <e v="#DIV/0!"/>
    <s v="Industry"/>
    <n v="0"/>
    <n v="0"/>
    <n v="124762"/>
    <n v="0"/>
    <n v="124762"/>
    <n v="0"/>
    <s v="Public Funding"/>
    <n v="0"/>
    <n v="124762"/>
    <n v="124762"/>
    <n v="0"/>
    <n v="0"/>
    <n v="0"/>
    <n v="124762"/>
    <n v="0"/>
    <n v="124762"/>
    <n v="0"/>
    <n v="124762"/>
    <n v="0"/>
    <n v="0"/>
    <n v="0"/>
    <n v="124762"/>
    <n v="0"/>
    <m/>
    <n v="0"/>
    <m/>
    <m/>
    <m/>
    <m/>
    <m/>
    <m/>
    <n v="0"/>
    <n v="0"/>
    <n v="0"/>
  </r>
  <r>
    <x v="86"/>
    <m/>
    <x v="11"/>
    <x v="0"/>
    <m/>
    <m/>
    <x v="1"/>
    <x v="1"/>
    <m/>
    <m/>
    <x v="6"/>
    <s v="5. Project running"/>
    <m/>
    <m/>
    <m/>
    <m/>
    <n v="3"/>
    <m/>
    <m/>
    <m/>
    <m/>
    <m/>
    <d v="2019-01-01T00:00:00"/>
    <d v="2019-04-30T00:00:00"/>
    <m/>
    <s v="IPK"/>
    <m/>
    <m/>
    <m/>
    <n v="8400"/>
    <m/>
    <m/>
    <s v="ITA"/>
    <m/>
    <m/>
    <m/>
    <m/>
    <m/>
    <m/>
    <m/>
    <m/>
    <m/>
    <m/>
    <m/>
    <m/>
    <m/>
    <m/>
    <m/>
    <m/>
    <m/>
    <m/>
    <m/>
    <m/>
    <m/>
    <m/>
    <m/>
    <m/>
    <m/>
    <m/>
    <m/>
    <m/>
    <m/>
    <m/>
    <m/>
    <m/>
    <m/>
    <m/>
    <m/>
    <m/>
    <m/>
    <s v="DWIH"/>
    <m/>
    <n v="8400"/>
    <m/>
    <m/>
    <m/>
    <n v="8400"/>
    <n v="8400"/>
    <n v="0"/>
    <n v="8400"/>
    <n v="0"/>
    <n v="1"/>
    <n v="0"/>
    <s v="Public Funding"/>
    <n v="8400"/>
    <n v="0"/>
    <n v="0"/>
    <n v="0"/>
    <n v="0"/>
    <e v="#DIV/0!"/>
    <e v="#DIV/0!"/>
    <n v="0"/>
    <n v="0"/>
    <n v="8400"/>
    <n v="0"/>
    <n v="0"/>
    <n v="0"/>
    <n v="8400"/>
    <n v="8400"/>
    <n v="0"/>
    <n v="8400"/>
    <n v="0"/>
    <n v="0"/>
    <n v="0"/>
    <n v="0"/>
    <n v="8400"/>
    <n v="8400"/>
    <n v="1"/>
    <n v="8400"/>
    <m/>
    <m/>
    <n v="8400"/>
    <m/>
    <m/>
    <m/>
    <n v="0"/>
    <n v="4000"/>
    <n v="4000"/>
  </r>
  <r>
    <x v="87"/>
    <s v="Open Lab"/>
    <x v="22"/>
    <x v="5"/>
    <n v="1"/>
    <n v="0"/>
    <x v="2"/>
    <x v="2"/>
    <s v="(Azul budget for academic projects has been freezed due to the coronavirus crisis)"/>
    <m/>
    <x v="1"/>
    <s v="6. Proposal declined"/>
    <m/>
    <m/>
    <m/>
    <m/>
    <m/>
    <m/>
    <d v="2019-10-07T00:00:00"/>
    <m/>
    <m/>
    <m/>
    <m/>
    <m/>
    <m/>
    <s v="IPK"/>
    <m/>
    <m/>
    <m/>
    <m/>
    <m/>
    <m/>
    <s v="ITA"/>
    <s v="Mateus Ferreira"/>
    <s v="Mateus Ferreira"/>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88"/>
    <s v="Manufacturing Aspects in Wearness of Chain Bearing Crows"/>
    <x v="63"/>
    <x v="3"/>
    <m/>
    <m/>
    <x v="2"/>
    <x v="2"/>
    <m/>
    <m/>
    <x v="1"/>
    <s v="6. Proposal declined"/>
    <m/>
    <m/>
    <m/>
    <m/>
    <n v="12"/>
    <m/>
    <m/>
    <m/>
    <m/>
    <m/>
    <m/>
    <m/>
    <d v="2019-10-07T00:00:00"/>
    <s v="IPK"/>
    <m/>
    <m/>
    <m/>
    <m/>
    <m/>
    <m/>
    <s v="ITA"/>
    <s v="Angelo Carvalho"/>
    <s v="Nathianne Moura / Artur Cantisano "/>
    <m/>
    <m/>
    <m/>
    <n v="60714"/>
    <m/>
    <m/>
    <m/>
    <m/>
    <m/>
    <m/>
    <m/>
    <m/>
    <m/>
    <m/>
    <m/>
    <m/>
    <m/>
    <m/>
    <m/>
    <s v="EBFVAZ"/>
    <m/>
    <n v="60714"/>
    <m/>
    <m/>
    <m/>
    <m/>
    <m/>
    <m/>
    <m/>
    <m/>
    <m/>
    <m/>
    <m/>
    <m/>
    <m/>
    <m/>
    <m/>
    <m/>
    <m/>
    <m/>
    <m/>
    <n v="0"/>
    <n v="0"/>
    <n v="0"/>
    <n v="0"/>
    <n v="0"/>
    <e v="#DIV/0!"/>
    <e v="#DIV/0!"/>
    <s v="Industry"/>
    <n v="0"/>
    <n v="0"/>
    <n v="60714"/>
    <n v="0"/>
    <n v="60714"/>
    <n v="0"/>
    <s v="Public Funding"/>
    <n v="0"/>
    <n v="60714"/>
    <n v="60714"/>
    <n v="0"/>
    <n v="0"/>
    <n v="0"/>
    <n v="60714"/>
    <n v="0"/>
    <n v="60714"/>
    <n v="0"/>
    <n v="60714"/>
    <n v="0"/>
    <n v="0"/>
    <n v="0"/>
    <n v="60714"/>
    <n v="0"/>
    <m/>
    <n v="0"/>
    <m/>
    <m/>
    <m/>
    <m/>
    <m/>
    <m/>
    <n v="0"/>
    <n v="0"/>
    <n v="0"/>
  </r>
  <r>
    <x v="89"/>
    <m/>
    <x v="17"/>
    <x v="5"/>
    <m/>
    <m/>
    <x v="0"/>
    <x v="2"/>
    <m/>
    <m/>
    <x v="1"/>
    <m/>
    <m/>
    <m/>
    <m/>
    <m/>
    <m/>
    <m/>
    <m/>
    <m/>
    <m/>
    <m/>
    <m/>
    <m/>
    <d v="2021-05-27T00:00:00"/>
    <s v="IPK"/>
    <m/>
    <m/>
    <n v="65000"/>
    <m/>
    <m/>
    <m/>
    <m/>
    <m/>
    <m/>
    <m/>
    <m/>
    <m/>
    <m/>
    <m/>
    <m/>
    <m/>
    <m/>
    <m/>
    <m/>
    <m/>
    <m/>
    <m/>
    <m/>
    <m/>
    <m/>
    <m/>
    <m/>
    <m/>
    <s v="EMBRAER"/>
    <m/>
    <n v="65000"/>
    <m/>
    <m/>
    <m/>
    <m/>
    <m/>
    <m/>
    <m/>
    <m/>
    <m/>
    <m/>
    <m/>
    <m/>
    <m/>
    <m/>
    <m/>
    <m/>
    <m/>
    <m/>
    <m/>
    <n v="65000"/>
    <n v="65000"/>
    <n v="65000"/>
    <n v="0"/>
    <n v="0"/>
    <n v="1"/>
    <n v="1"/>
    <s v="Industry"/>
    <n v="0"/>
    <n v="65000"/>
    <n v="0"/>
    <n v="0"/>
    <n v="0"/>
    <e v="#DIV/0!"/>
    <e v="#DIV/0!"/>
    <n v="0"/>
    <n v="0"/>
    <n v="65000"/>
    <n v="65000"/>
    <n v="0"/>
    <n v="65000"/>
    <n v="0"/>
    <n v="0"/>
    <n v="0"/>
    <n v="0"/>
    <n v="65000"/>
    <n v="0"/>
    <n v="0"/>
    <n v="0"/>
    <n v="65000"/>
    <n v="65000"/>
    <n v="0.01"/>
    <n v="650"/>
    <m/>
    <m/>
    <m/>
    <m/>
    <m/>
    <n v="0.2"/>
    <n v="130"/>
    <n v="0"/>
    <n v="130"/>
  </r>
  <r>
    <x v="90"/>
    <s v="Phase 2: Experimental and numerical verification of the new powertrain solution for wind turbine."/>
    <x v="64"/>
    <x v="1"/>
    <n v="1"/>
    <n v="0"/>
    <x v="2"/>
    <x v="2"/>
    <m/>
    <d v="2018-07-01T00:00:00"/>
    <x v="1"/>
    <s v="6. Proposal declined"/>
    <n v="6.7"/>
    <s v="BM02"/>
    <m/>
    <m/>
    <n v="24"/>
    <m/>
    <m/>
    <m/>
    <d v="2021-04-07T00:00:00"/>
    <m/>
    <m/>
    <m/>
    <m/>
    <s v="IPK"/>
    <m/>
    <m/>
    <m/>
    <m/>
    <m/>
    <m/>
    <s v="ITA"/>
    <s v="Angelo Carvalho"/>
    <s v="Angelo Carvalho"/>
    <m/>
    <m/>
    <m/>
    <m/>
    <m/>
    <m/>
    <m/>
    <m/>
    <m/>
    <m/>
    <m/>
    <m/>
    <m/>
    <m/>
    <m/>
    <m/>
    <m/>
    <m/>
    <m/>
    <s v="Eolic Future"/>
    <m/>
    <m/>
    <m/>
    <m/>
    <m/>
    <m/>
    <m/>
    <m/>
    <m/>
    <m/>
    <m/>
    <m/>
    <m/>
    <m/>
    <m/>
    <m/>
    <m/>
    <m/>
    <m/>
    <m/>
    <m/>
    <n v="0"/>
    <n v="0"/>
    <n v="0"/>
    <n v="0"/>
    <n v="0"/>
    <e v="#DIV/0!"/>
    <e v="#DIV/0!"/>
    <s v="Industry"/>
    <n v="0"/>
    <n v="0"/>
    <n v="0"/>
    <n v="0"/>
    <n v="0"/>
    <e v="#DIV/0!"/>
    <e v="#DIV/0!"/>
    <n v="0"/>
    <n v="0"/>
    <n v="0"/>
    <n v="0"/>
    <n v="0"/>
    <n v="0"/>
    <n v="0"/>
    <n v="0"/>
    <n v="0"/>
    <n v="0"/>
    <n v="0"/>
    <n v="0"/>
    <n v="0"/>
    <n v="0"/>
    <n v="0"/>
    <n v="0"/>
    <m/>
    <n v="0"/>
    <m/>
    <m/>
    <m/>
    <m/>
    <m/>
    <m/>
    <n v="0"/>
    <m/>
    <n v="0"/>
  </r>
  <r>
    <x v="91"/>
    <m/>
    <x v="65"/>
    <x v="0"/>
    <n v="1"/>
    <n v="1"/>
    <x v="0"/>
    <x v="2"/>
    <m/>
    <d v="2019-10-30T00:00:00"/>
    <x v="4"/>
    <m/>
    <m/>
    <m/>
    <m/>
    <d v="2020-06-01T00:00:00"/>
    <n v="60"/>
    <d v="2025-05-31T00:00:00"/>
    <m/>
    <m/>
    <m/>
    <d v="2019-11-30T00:00:00"/>
    <d v="2020-11-01T00:00:00"/>
    <m/>
    <m/>
    <s v="IPK"/>
    <s v="David Domingos"/>
    <m/>
    <n v="3000000"/>
    <m/>
    <m/>
    <m/>
    <m/>
    <m/>
    <m/>
    <m/>
    <m/>
    <m/>
    <m/>
    <m/>
    <m/>
    <m/>
    <m/>
    <m/>
    <m/>
    <m/>
    <m/>
    <m/>
    <m/>
    <m/>
    <m/>
    <m/>
    <m/>
    <m/>
    <s v="SENAI - DN"/>
    <s v="Gustavo Leal"/>
    <n v="3000000"/>
    <m/>
    <m/>
    <m/>
    <m/>
    <m/>
    <m/>
    <m/>
    <m/>
    <m/>
    <m/>
    <m/>
    <m/>
    <m/>
    <m/>
    <m/>
    <m/>
    <m/>
    <m/>
    <m/>
    <n v="3000000"/>
    <n v="3000000"/>
    <n v="3000000"/>
    <n v="0"/>
    <n v="0"/>
    <n v="1"/>
    <n v="1"/>
    <s v="Industry"/>
    <n v="0"/>
    <n v="3000000"/>
    <n v="0"/>
    <n v="0"/>
    <n v="0"/>
    <e v="#DIV/0!"/>
    <e v="#DIV/0!"/>
    <n v="0"/>
    <n v="0"/>
    <n v="3000000"/>
    <n v="3000000"/>
    <n v="0"/>
    <n v="3000000"/>
    <n v="0"/>
    <n v="0"/>
    <n v="0"/>
    <n v="0"/>
    <n v="3000000"/>
    <n v="0"/>
    <n v="0"/>
    <n v="0"/>
    <n v="3000000"/>
    <n v="3000000"/>
    <n v="1"/>
    <n v="3000000"/>
    <m/>
    <m/>
    <m/>
    <m/>
    <m/>
    <n v="0"/>
    <n v="0"/>
    <n v="45000"/>
    <n v="45000"/>
  </r>
  <r>
    <x v="92"/>
    <m/>
    <x v="58"/>
    <x v="0"/>
    <m/>
    <m/>
    <x v="2"/>
    <x v="1"/>
    <m/>
    <m/>
    <x v="1"/>
    <s v="6. Proposal declined"/>
    <m/>
    <m/>
    <m/>
    <m/>
    <m/>
    <m/>
    <m/>
    <m/>
    <m/>
    <m/>
    <m/>
    <m/>
    <d v="2019-10-07T00:00:00"/>
    <s v="IPK"/>
    <m/>
    <m/>
    <m/>
    <m/>
    <m/>
    <m/>
    <s v="ITA"/>
    <s v="Anderson Borille"/>
    <s v="Ronnie Rego"/>
    <m/>
    <m/>
    <m/>
    <m/>
    <m/>
    <m/>
    <m/>
    <m/>
    <m/>
    <m/>
    <m/>
    <m/>
    <m/>
    <m/>
    <m/>
    <m/>
    <m/>
    <m/>
    <m/>
    <m/>
    <m/>
    <m/>
    <m/>
    <m/>
    <m/>
    <m/>
    <m/>
    <m/>
    <m/>
    <m/>
    <m/>
    <m/>
    <m/>
    <m/>
    <m/>
    <m/>
    <m/>
    <m/>
    <m/>
    <m/>
    <m/>
    <n v="0"/>
    <n v="0"/>
    <n v="0"/>
    <n v="0"/>
    <n v="0"/>
    <e v="#DIV/0!"/>
    <e v="#DIV/0!"/>
    <s v="Public Funding"/>
    <n v="0"/>
    <n v="0"/>
    <n v="0"/>
    <n v="0"/>
    <n v="0"/>
    <e v="#DIV/0!"/>
    <e v="#DIV/0!"/>
    <n v="0"/>
    <n v="0"/>
    <n v="0"/>
    <n v="0"/>
    <n v="0"/>
    <n v="0"/>
    <n v="0"/>
    <n v="0"/>
    <n v="0"/>
    <n v="0"/>
    <n v="0"/>
    <n v="0"/>
    <n v="0"/>
    <n v="0"/>
    <n v="0"/>
    <n v="0"/>
    <m/>
    <n v="0"/>
    <m/>
    <m/>
    <m/>
    <m/>
    <m/>
    <m/>
    <n v="0"/>
    <n v="0"/>
    <n v="0"/>
  </r>
  <r>
    <x v="93"/>
    <s v="E-sys"/>
    <x v="66"/>
    <x v="2"/>
    <n v="4"/>
    <n v="0"/>
    <x v="2"/>
    <x v="2"/>
    <s v="Rota 2030 - Line 5 (with Randon, Gerdau, CIP and UCS)"/>
    <d v="2020-02-20T00:00:00"/>
    <x v="1"/>
    <s v="6. Proposal declined"/>
    <m/>
    <m/>
    <m/>
    <m/>
    <n v="36"/>
    <m/>
    <m/>
    <m/>
    <d v="2020-04-02T00:00:00"/>
    <d v="2020-05-20T00:00:00"/>
    <m/>
    <m/>
    <d v="2020-07-08T00:00:00"/>
    <s v="IPK"/>
    <m/>
    <m/>
    <m/>
    <m/>
    <m/>
    <m/>
    <s v="ITA"/>
    <s v="Tiago Colombo"/>
    <s v="Ronnie Rego"/>
    <m/>
    <n v="382830.62645011605"/>
    <m/>
    <n v="928074.24593967525"/>
    <n v="412993.03944315552"/>
    <m/>
    <m/>
    <m/>
    <m/>
    <m/>
    <m/>
    <m/>
    <m/>
    <m/>
    <m/>
    <m/>
    <m/>
    <m/>
    <m/>
    <s v="Randon"/>
    <s v="Joel Boaretto"/>
    <n v="221577.72621809746"/>
    <m/>
    <m/>
    <m/>
    <m/>
    <m/>
    <m/>
    <m/>
    <m/>
    <m/>
    <m/>
    <m/>
    <m/>
    <m/>
    <m/>
    <m/>
    <m/>
    <m/>
    <m/>
    <m/>
    <n v="0"/>
    <n v="0"/>
    <n v="0"/>
    <n v="0"/>
    <n v="0"/>
    <e v="#DIV/0!"/>
    <e v="#DIV/0!"/>
    <s v="Industry"/>
    <n v="0"/>
    <n v="0"/>
    <n v="1310904.8723897913"/>
    <n v="382830.62645011605"/>
    <n v="928074.24593967525"/>
    <n v="0.29203539823008851"/>
    <s v="Public Funding"/>
    <n v="0"/>
    <n v="1310904.8723897913"/>
    <n v="1310904.8723897913"/>
    <n v="382830.62645011605"/>
    <n v="0"/>
    <n v="382830.62645011605"/>
    <n v="928074.24593967525"/>
    <n v="0"/>
    <n v="928074.24593967525"/>
    <n v="0"/>
    <n v="1310904.8723897913"/>
    <n v="0"/>
    <n v="0"/>
    <n v="0"/>
    <n v="1310904.8723897913"/>
    <n v="0"/>
    <m/>
    <n v="0"/>
    <m/>
    <m/>
    <m/>
    <m/>
    <m/>
    <m/>
    <n v="0"/>
    <m/>
    <n v="0"/>
  </r>
  <r>
    <x v="94"/>
    <s v="Evaluation of Human Factors in remote tower environment"/>
    <x v="67"/>
    <x v="0"/>
    <m/>
    <m/>
    <x v="2"/>
    <x v="1"/>
    <m/>
    <m/>
    <x v="1"/>
    <s v="6. Proposal declined"/>
    <n v="4.3110999999999997"/>
    <s v="Only Public Funding"/>
    <m/>
    <m/>
    <m/>
    <m/>
    <m/>
    <m/>
    <d v="2020-04-23T00:00:00"/>
    <m/>
    <m/>
    <m/>
    <d v="2020-09-29T00:00:00"/>
    <s v="IPK"/>
    <m/>
    <m/>
    <m/>
    <m/>
    <m/>
    <m/>
    <s v="ITA"/>
    <s v="Emília Vilanni "/>
    <s v="Weslley Oliveira / Aline Matheus "/>
    <m/>
    <m/>
    <m/>
    <n v="324743.1050080026"/>
    <m/>
    <m/>
    <m/>
    <m/>
    <m/>
    <m/>
    <m/>
    <m/>
    <m/>
    <m/>
    <m/>
    <m/>
    <m/>
    <m/>
    <m/>
    <m/>
    <m/>
    <m/>
    <m/>
    <m/>
    <m/>
    <m/>
    <m/>
    <m/>
    <m/>
    <m/>
    <m/>
    <m/>
    <m/>
    <m/>
    <m/>
    <m/>
    <m/>
    <m/>
    <m/>
    <m/>
    <m/>
    <n v="0"/>
    <n v="0"/>
    <n v="0"/>
    <n v="0"/>
    <n v="0"/>
    <e v="#DIV/0!"/>
    <e v="#DIV/0!"/>
    <s v="Public Funding"/>
    <n v="0"/>
    <n v="0"/>
    <n v="324743.1050080026"/>
    <n v="0"/>
    <n v="324743.1050080026"/>
    <n v="0"/>
    <s v="Public Funding"/>
    <n v="0"/>
    <n v="324743.1050080026"/>
    <n v="324743.1050080026"/>
    <n v="0"/>
    <n v="0"/>
    <n v="0"/>
    <n v="324743.1050080026"/>
    <n v="0"/>
    <n v="324743.1050080026"/>
    <n v="0"/>
    <n v="324743.1050080026"/>
    <n v="0"/>
    <n v="0"/>
    <n v="0"/>
    <n v="324743.1050080026"/>
    <n v="0"/>
    <m/>
    <n v="0"/>
    <m/>
    <m/>
    <m/>
    <m/>
    <m/>
    <m/>
    <n v="0"/>
    <m/>
    <n v="0"/>
  </r>
  <r>
    <x v="95"/>
    <s v="Open Lab"/>
    <x v="17"/>
    <x v="5"/>
    <n v="1"/>
    <n v="0"/>
    <x v="2"/>
    <x v="2"/>
    <m/>
    <m/>
    <x v="6"/>
    <s v="5. Project running"/>
    <n v="4.3099999999999996"/>
    <m/>
    <m/>
    <m/>
    <n v="12"/>
    <m/>
    <m/>
    <m/>
    <m/>
    <m/>
    <m/>
    <d v="2019-11-29T00:00:00"/>
    <m/>
    <s v="IPK"/>
    <m/>
    <m/>
    <m/>
    <m/>
    <m/>
    <m/>
    <s v="ITA"/>
    <s v="Amanda Deus"/>
    <s v="Amanda Deus "/>
    <m/>
    <n v="17401.39211136891"/>
    <m/>
    <m/>
    <m/>
    <m/>
    <m/>
    <m/>
    <m/>
    <m/>
    <m/>
    <m/>
    <m/>
    <m/>
    <m/>
    <m/>
    <m/>
    <m/>
    <m/>
    <s v="EMBRAER"/>
    <m/>
    <n v="17396.952054000139"/>
    <m/>
    <m/>
    <m/>
    <m/>
    <m/>
    <m/>
    <m/>
    <m/>
    <m/>
    <m/>
    <m/>
    <m/>
    <m/>
    <m/>
    <m/>
    <m/>
    <m/>
    <m/>
    <m/>
    <n v="0"/>
    <n v="0"/>
    <n v="0"/>
    <n v="0"/>
    <n v="0"/>
    <e v="#DIV/0!"/>
    <e v="#DIV/0!"/>
    <s v="Industry"/>
    <n v="0"/>
    <n v="0"/>
    <n v="17401.39211136891"/>
    <n v="17401.39211136891"/>
    <n v="0"/>
    <n v="1"/>
    <s v="Industry"/>
    <n v="0"/>
    <n v="17401.39211136891"/>
    <n v="17401.39211136891"/>
    <n v="17401.39211136891"/>
    <n v="0"/>
    <n v="17401.39211136891"/>
    <n v="0"/>
    <n v="0"/>
    <n v="0"/>
    <n v="0"/>
    <n v="17401.39211136891"/>
    <n v="0"/>
    <n v="0"/>
    <n v="0"/>
    <n v="17401.39211136891"/>
    <n v="0"/>
    <m/>
    <n v="0"/>
    <m/>
    <m/>
    <m/>
    <m/>
    <m/>
    <m/>
    <n v="0"/>
    <m/>
    <n v="0"/>
  </r>
  <r>
    <x v="96"/>
    <s v="E-Works "/>
    <x v="68"/>
    <x v="5"/>
    <n v="1"/>
    <n v="0"/>
    <x v="2"/>
    <x v="2"/>
    <s v="(Due to the end of the joint venture Embraer/Boeing, it is necessary to check if Embraer is still interested on this project)"/>
    <d v="2020-02-17T00:00:00"/>
    <x v="1"/>
    <s v="6. Proposal declined"/>
    <m/>
    <m/>
    <m/>
    <m/>
    <m/>
    <m/>
    <d v="2020-02-17T00:00:00"/>
    <m/>
    <m/>
    <m/>
    <m/>
    <m/>
    <d v="2020-08-06T00:00:00"/>
    <s v="IPK"/>
    <m/>
    <m/>
    <m/>
    <m/>
    <m/>
    <m/>
    <s v="ITA"/>
    <s v="Mateus Ferreira"/>
    <s v="Mateus Ferreira"/>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97"/>
    <s v="Inconel 718 parts manufactured via the additive manufacturing process"/>
    <x v="58"/>
    <x v="0"/>
    <n v="2"/>
    <n v="0"/>
    <x v="2"/>
    <x v="1"/>
    <m/>
    <d v="2020-01-27T00:00:00"/>
    <x v="1"/>
    <s v="6. Proposal declined"/>
    <m/>
    <m/>
    <m/>
    <m/>
    <m/>
    <m/>
    <m/>
    <m/>
    <m/>
    <d v="2020-01-27T00:00:00"/>
    <m/>
    <m/>
    <d v="2020-09-02T00:00:00"/>
    <s v="IPK"/>
    <m/>
    <m/>
    <m/>
    <m/>
    <m/>
    <m/>
    <s v="ITA"/>
    <s v="Anderson Borille "/>
    <s v="Tédni Goulart  / Givan Macedo "/>
    <m/>
    <m/>
    <m/>
    <n v="45969.612618881933"/>
    <m/>
    <m/>
    <m/>
    <m/>
    <m/>
    <m/>
    <m/>
    <m/>
    <m/>
    <m/>
    <m/>
    <m/>
    <m/>
    <m/>
    <m/>
    <m/>
    <m/>
    <m/>
    <m/>
    <m/>
    <m/>
    <m/>
    <m/>
    <m/>
    <m/>
    <m/>
    <m/>
    <m/>
    <m/>
    <m/>
    <m/>
    <m/>
    <m/>
    <m/>
    <m/>
    <m/>
    <m/>
    <n v="0"/>
    <n v="0"/>
    <n v="0"/>
    <n v="0"/>
    <n v="0"/>
    <e v="#DIV/0!"/>
    <e v="#DIV/0!"/>
    <s v="Public Funding"/>
    <n v="0"/>
    <n v="0"/>
    <n v="45969.612618881933"/>
    <n v="0"/>
    <n v="45969.612618881933"/>
    <n v="0"/>
    <s v="Public Funding"/>
    <n v="0"/>
    <n v="45969.612618881933"/>
    <n v="45969.612618881933"/>
    <n v="0"/>
    <n v="0"/>
    <n v="0"/>
    <n v="45969.612618881933"/>
    <n v="0"/>
    <n v="45969.612618881933"/>
    <n v="0"/>
    <n v="45969.612618881933"/>
    <n v="0"/>
    <n v="0"/>
    <n v="0"/>
    <n v="45969.612618881933"/>
    <n v="0"/>
    <m/>
    <n v="0"/>
    <m/>
    <m/>
    <m/>
    <m/>
    <m/>
    <m/>
    <n v="0"/>
    <m/>
    <n v="0"/>
  </r>
  <r>
    <x v="98"/>
    <s v="DRS on Gear Manufacturing: Industry 4.0 Approach"/>
    <x v="69"/>
    <x v="0"/>
    <n v="1"/>
    <n v="0"/>
    <x v="2"/>
    <x v="1"/>
    <m/>
    <m/>
    <x v="1"/>
    <s v="6. Proposal declined"/>
    <m/>
    <m/>
    <m/>
    <m/>
    <n v="24"/>
    <m/>
    <m/>
    <m/>
    <m/>
    <m/>
    <m/>
    <m/>
    <d v="2019-10-07T00:00:00"/>
    <s v="IPK"/>
    <m/>
    <m/>
    <m/>
    <m/>
    <m/>
    <m/>
    <s v="ITA"/>
    <s v="André Luiz Oliveira"/>
    <s v="Nathianne Moura / Artur Cantisano "/>
    <m/>
    <m/>
    <m/>
    <n v="463918.72144000372"/>
    <m/>
    <m/>
    <m/>
    <m/>
    <m/>
    <m/>
    <m/>
    <m/>
    <m/>
    <m/>
    <m/>
    <m/>
    <m/>
    <m/>
    <m/>
    <m/>
    <m/>
    <m/>
    <m/>
    <m/>
    <m/>
    <m/>
    <m/>
    <m/>
    <m/>
    <m/>
    <m/>
    <m/>
    <m/>
    <m/>
    <m/>
    <s v="DFG/CAPES"/>
    <m/>
    <n v="463918.72144000372"/>
    <m/>
    <m/>
    <m/>
    <n v="0"/>
    <n v="0"/>
    <n v="0"/>
    <n v="0"/>
    <n v="0"/>
    <e v="#DIV/0!"/>
    <e v="#DIV/0!"/>
    <s v="Public Funding"/>
    <n v="0"/>
    <n v="0"/>
    <n v="463918.72144000372"/>
    <n v="0"/>
    <n v="463918.72144000372"/>
    <n v="0"/>
    <s v="Public Funding"/>
    <n v="0"/>
    <n v="463918.72144000372"/>
    <n v="463918.72144000372"/>
    <n v="0"/>
    <n v="0"/>
    <n v="0"/>
    <n v="463918.72144000372"/>
    <n v="0"/>
    <n v="463918.72144000372"/>
    <n v="0"/>
    <n v="463918.72144000372"/>
    <n v="0"/>
    <n v="0"/>
    <n v="0"/>
    <n v="463918.72144000372"/>
    <n v="0"/>
    <m/>
    <n v="0"/>
    <m/>
    <m/>
    <m/>
    <m/>
    <m/>
    <m/>
    <n v="0"/>
    <m/>
    <n v="0"/>
  </r>
  <r>
    <x v="99"/>
    <s v="Applied artificial intelligence center for industrial evolution of 4.0 industry"/>
    <x v="70"/>
    <x v="0"/>
    <n v="5"/>
    <m/>
    <x v="2"/>
    <x v="1"/>
    <s v="Financial support approved. Waiting the agreement signature"/>
    <d v="2020-07-08T00:00:00"/>
    <x v="3"/>
    <s v="4. Proposal submission and follow-up"/>
    <m/>
    <m/>
    <m/>
    <m/>
    <m/>
    <m/>
    <m/>
    <m/>
    <d v="2020-07-08T00:00:00"/>
    <d v="2020-07-22T00:00:00"/>
    <m/>
    <m/>
    <m/>
    <s v="IPK"/>
    <m/>
    <m/>
    <m/>
    <m/>
    <m/>
    <m/>
    <s v="ITA"/>
    <s v="Ronnie Rego"/>
    <s v="Ronnie Rego"/>
    <m/>
    <m/>
    <m/>
    <m/>
    <m/>
    <m/>
    <m/>
    <m/>
    <m/>
    <m/>
    <m/>
    <m/>
    <m/>
    <m/>
    <m/>
    <m/>
    <m/>
    <m/>
    <m/>
    <m/>
    <m/>
    <m/>
    <m/>
    <m/>
    <m/>
    <m/>
    <m/>
    <m/>
    <m/>
    <m/>
    <m/>
    <m/>
    <m/>
    <m/>
    <m/>
    <m/>
    <m/>
    <m/>
    <m/>
    <m/>
    <m/>
    <n v="0"/>
    <n v="0"/>
    <n v="0"/>
    <n v="0"/>
    <n v="0"/>
    <e v="#DIV/0!"/>
    <e v="#DIV/0!"/>
    <s v="Public Funding"/>
    <n v="0"/>
    <n v="0"/>
    <n v="0"/>
    <n v="0"/>
    <n v="0"/>
    <e v="#DIV/0!"/>
    <e v="#DIV/0!"/>
    <n v="0"/>
    <n v="0"/>
    <n v="0"/>
    <n v="0"/>
    <n v="0"/>
    <n v="0"/>
    <n v="0"/>
    <n v="0"/>
    <n v="0"/>
    <n v="0"/>
    <n v="0"/>
    <n v="0"/>
    <n v="0"/>
    <n v="0"/>
    <n v="0"/>
    <n v="0"/>
    <m/>
    <n v="0"/>
    <m/>
    <m/>
    <m/>
    <m/>
    <m/>
    <m/>
    <n v="0"/>
    <m/>
    <n v="0"/>
  </r>
  <r>
    <x v="100"/>
    <s v="Development of the AM Chain for metallic components"/>
    <x v="71"/>
    <x v="0"/>
    <n v="7"/>
    <n v="1"/>
    <x v="1"/>
    <x v="1"/>
    <s v="Financial support approved. Waiting the agreement signature"/>
    <d v="2020-01-27T00:00:00"/>
    <x v="3"/>
    <s v="4. Proposal submission and follow-up"/>
    <n v="6.7"/>
    <s v="BM04B"/>
    <m/>
    <d v="2021-06-01T00:00:00"/>
    <n v="60"/>
    <m/>
    <d v="2020-01-27T00:00:00"/>
    <m/>
    <d v="2020-04-16T00:00:00"/>
    <d v="2020-05-17T00:00:00"/>
    <m/>
    <m/>
    <m/>
    <s v="IPK"/>
    <s v="Gustavo Reis"/>
    <m/>
    <n v="145800"/>
    <m/>
    <m/>
    <m/>
    <s v="ITA"/>
    <s v="Anderson Borille"/>
    <s v="André Canal"/>
    <m/>
    <m/>
    <m/>
    <n v="134328.35820895521"/>
    <m/>
    <s v="IPT"/>
    <s v="Moysés Leite / Joao Filipini"/>
    <m/>
    <m/>
    <m/>
    <m/>
    <m/>
    <m/>
    <m/>
    <m/>
    <m/>
    <m/>
    <m/>
    <m/>
    <s v="CBMM"/>
    <m/>
    <n v="716417.91044776118"/>
    <m/>
    <m/>
    <m/>
    <m/>
    <m/>
    <m/>
    <m/>
    <m/>
    <m/>
    <m/>
    <m/>
    <m/>
    <m/>
    <s v="FAPESP"/>
    <m/>
    <n v="716417.91044776118"/>
    <m/>
    <m/>
    <m/>
    <n v="145800"/>
    <n v="145800"/>
    <n v="145800"/>
    <n v="0"/>
    <n v="0"/>
    <n v="1"/>
    <n v="1"/>
    <s v="Industry"/>
    <n v="0"/>
    <n v="145800"/>
    <n v="134328.35820895521"/>
    <n v="0"/>
    <n v="134328.35820895521"/>
    <n v="0"/>
    <s v="Public Funding"/>
    <n v="0"/>
    <n v="134328.35820895521"/>
    <n v="280128.35820895521"/>
    <n v="145800"/>
    <n v="0"/>
    <n v="145800"/>
    <n v="134328.35820895521"/>
    <n v="0"/>
    <n v="134328.35820895521"/>
    <n v="0"/>
    <n v="280128.35820895521"/>
    <n v="0"/>
    <n v="0"/>
    <n v="0"/>
    <n v="280128.35820895521"/>
    <n v="145800"/>
    <n v="0.5"/>
    <n v="72900"/>
    <m/>
    <m/>
    <m/>
    <m/>
    <m/>
    <n v="0.2"/>
    <n v="14580"/>
    <m/>
    <n v="14580"/>
  </r>
  <r>
    <x v="101"/>
    <s v="Failure induced by instability in structural composites under longitudinal compression"/>
    <x v="58"/>
    <x v="0"/>
    <n v="1"/>
    <n v="0"/>
    <x v="2"/>
    <x v="1"/>
    <s v="For more details, consult Fapesp's website. Project number 2019/00917-8"/>
    <m/>
    <x v="4"/>
    <s v="5. Project running"/>
    <m/>
    <m/>
    <m/>
    <m/>
    <n v="12"/>
    <m/>
    <m/>
    <m/>
    <m/>
    <m/>
    <d v="2019-01-09T00:00:00"/>
    <m/>
    <m/>
    <s v="IPK"/>
    <m/>
    <m/>
    <m/>
    <m/>
    <m/>
    <m/>
    <s v="ITA"/>
    <s v="André Lima "/>
    <s v="André Lima / André Luiz "/>
    <m/>
    <m/>
    <m/>
    <n v="8100.8500344008698"/>
    <m/>
    <m/>
    <m/>
    <m/>
    <m/>
    <m/>
    <m/>
    <m/>
    <m/>
    <m/>
    <m/>
    <m/>
    <m/>
    <m/>
    <m/>
    <m/>
    <m/>
    <m/>
    <m/>
    <m/>
    <m/>
    <m/>
    <m/>
    <m/>
    <m/>
    <m/>
    <m/>
    <m/>
    <m/>
    <m/>
    <m/>
    <s v="FAPESP"/>
    <m/>
    <n v="8100.8500344008698"/>
    <m/>
    <m/>
    <m/>
    <n v="0"/>
    <n v="0"/>
    <n v="0"/>
    <n v="0"/>
    <n v="0"/>
    <e v="#DIV/0!"/>
    <e v="#DIV/0!"/>
    <s v="Public Funding"/>
    <n v="0"/>
    <n v="0"/>
    <n v="8100.8500344008698"/>
    <n v="0"/>
    <n v="8100.8500344008698"/>
    <n v="0"/>
    <s v="Public Funding"/>
    <n v="0"/>
    <n v="8100.8500344008698"/>
    <n v="8100.8500344008698"/>
    <n v="0"/>
    <n v="0"/>
    <n v="0"/>
    <n v="8100.8500344008698"/>
    <n v="0"/>
    <n v="8100.8500344008698"/>
    <n v="0"/>
    <n v="8100.8500344008698"/>
    <n v="0"/>
    <n v="0"/>
    <n v="0"/>
    <n v="8100.8500344008698"/>
    <n v="0"/>
    <m/>
    <n v="0"/>
    <m/>
    <m/>
    <m/>
    <m/>
    <m/>
    <m/>
    <n v="0"/>
    <n v="0"/>
    <n v="0"/>
  </r>
  <r>
    <x v="102"/>
    <s v="DRS on Gear Manufacturing"/>
    <x v="72"/>
    <x v="2"/>
    <n v="1"/>
    <n v="0"/>
    <x v="2"/>
    <x v="2"/>
    <m/>
    <d v="2020-03-26T00:00:00"/>
    <x v="1"/>
    <s v="6. Proposal declined"/>
    <n v="6.7"/>
    <s v="BM01"/>
    <m/>
    <m/>
    <m/>
    <m/>
    <d v="2020-04-02T00:00:00"/>
    <m/>
    <d v="2020-12-01T00:00:00"/>
    <m/>
    <m/>
    <m/>
    <d v="2021-06-17T00:00:00"/>
    <s v="IPK"/>
    <m/>
    <m/>
    <m/>
    <m/>
    <m/>
    <m/>
    <s v="ITA"/>
    <s v="André Oliveira"/>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03"/>
    <m/>
    <x v="72"/>
    <x v="2"/>
    <m/>
    <m/>
    <x v="2"/>
    <x v="2"/>
    <m/>
    <m/>
    <x v="1"/>
    <s v="6. Proposal declined"/>
    <m/>
    <m/>
    <m/>
    <m/>
    <n v="17"/>
    <m/>
    <m/>
    <m/>
    <m/>
    <m/>
    <m/>
    <m/>
    <d v="2019-10-07T00:00:00"/>
    <s v="IPK"/>
    <m/>
    <m/>
    <m/>
    <m/>
    <m/>
    <m/>
    <s v="ITA"/>
    <s v="Rodrigo Metzger"/>
    <s v="Nathianne Moura / Artur Cantisano "/>
    <m/>
    <m/>
    <m/>
    <n v="107143"/>
    <m/>
    <m/>
    <m/>
    <m/>
    <m/>
    <m/>
    <m/>
    <m/>
    <m/>
    <m/>
    <m/>
    <m/>
    <m/>
    <m/>
    <m/>
    <s v="FCA"/>
    <m/>
    <n v="107143"/>
    <m/>
    <m/>
    <m/>
    <m/>
    <m/>
    <m/>
    <m/>
    <m/>
    <m/>
    <m/>
    <m/>
    <m/>
    <m/>
    <m/>
    <m/>
    <m/>
    <m/>
    <m/>
    <m/>
    <n v="0"/>
    <n v="0"/>
    <n v="0"/>
    <n v="0"/>
    <n v="0"/>
    <e v="#DIV/0!"/>
    <e v="#DIV/0!"/>
    <s v="Industry"/>
    <n v="0"/>
    <n v="0"/>
    <n v="107143"/>
    <n v="0"/>
    <n v="107143"/>
    <n v="0"/>
    <s v="Public Funding"/>
    <n v="0"/>
    <n v="107143"/>
    <n v="107143"/>
    <n v="0"/>
    <n v="0"/>
    <n v="0"/>
    <n v="107143"/>
    <n v="0"/>
    <n v="107143"/>
    <n v="0"/>
    <n v="107143"/>
    <n v="0"/>
    <n v="0"/>
    <n v="0"/>
    <n v="107143"/>
    <n v="0"/>
    <m/>
    <n v="0"/>
    <m/>
    <m/>
    <m/>
    <m/>
    <m/>
    <m/>
    <n v="0"/>
    <n v="0"/>
    <n v="0"/>
  </r>
  <r>
    <x v="104"/>
    <s v="Additive reparing of gears and tools "/>
    <x v="73"/>
    <x v="3"/>
    <n v="2"/>
    <n v="0"/>
    <x v="2"/>
    <x v="2"/>
    <s v="Converted to FAPESP NPOP"/>
    <d v="2019-09-09T00:00:00"/>
    <x v="1"/>
    <s v="6. Proposal declined"/>
    <m/>
    <m/>
    <m/>
    <m/>
    <m/>
    <m/>
    <m/>
    <m/>
    <d v="2019-10-29T00:00:00"/>
    <m/>
    <m/>
    <m/>
    <d v="2020-02-17T00:00:00"/>
    <s v="IPK"/>
    <m/>
    <m/>
    <m/>
    <m/>
    <m/>
    <m/>
    <s v="ITA"/>
    <s v="Lucas Robatto"/>
    <s v="Lucas Robatto"/>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05"/>
    <s v="Crankshafts"/>
    <x v="74"/>
    <x v="2"/>
    <n v="1"/>
    <n v="0"/>
    <x v="2"/>
    <x v="2"/>
    <m/>
    <d v="2020-01-27T00:00:00"/>
    <x v="1"/>
    <s v="6. Proposal declined"/>
    <m/>
    <m/>
    <m/>
    <m/>
    <m/>
    <m/>
    <d v="2020-01-27T00:00:00"/>
    <m/>
    <m/>
    <m/>
    <m/>
    <m/>
    <d v="2020-02-17T00:00:00"/>
    <s v="IPK"/>
    <m/>
    <m/>
    <m/>
    <m/>
    <m/>
    <m/>
    <s v="ITA"/>
    <s v="Ronnie Rego "/>
    <s v="André Lima / André Luiz "/>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06"/>
    <s v="Spot welding"/>
    <x v="74"/>
    <x v="2"/>
    <n v="1"/>
    <n v="0"/>
    <x v="2"/>
    <x v="2"/>
    <m/>
    <d v="2020-01-27T00:00:00"/>
    <x v="1"/>
    <s v="6. Proposal declined"/>
    <m/>
    <m/>
    <m/>
    <m/>
    <m/>
    <m/>
    <d v="2020-01-27T00:00:00"/>
    <m/>
    <m/>
    <m/>
    <m/>
    <m/>
    <d v="2020-05-27T00:00:00"/>
    <s v="IPK"/>
    <m/>
    <m/>
    <m/>
    <m/>
    <m/>
    <m/>
    <s v="ITA"/>
    <s v="Anderson Borille "/>
    <s v="Fábio Sena / Natália D´Ávila "/>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07"/>
    <s v="Development of a full flight simulator with the possibility to simulate specified types of airplanes"/>
    <x v="17"/>
    <x v="5"/>
    <n v="1"/>
    <n v="0"/>
    <x v="1"/>
    <x v="2"/>
    <s v="Negotiations were postponed due to COVID-19"/>
    <d v="2019-07-11T00:00:00"/>
    <x v="0"/>
    <s v="3. Analysis of resources"/>
    <m/>
    <m/>
    <m/>
    <m/>
    <n v="24"/>
    <m/>
    <m/>
    <m/>
    <d v="2019-08-19T00:00:00"/>
    <m/>
    <m/>
    <m/>
    <m/>
    <s v="IPK"/>
    <s v="David Domingos"/>
    <m/>
    <m/>
    <m/>
    <m/>
    <m/>
    <s v="ITA"/>
    <s v="Emília Vilanni "/>
    <s v="Ivan Rehder"/>
    <m/>
    <m/>
    <m/>
    <m/>
    <m/>
    <m/>
    <m/>
    <m/>
    <m/>
    <m/>
    <m/>
    <m/>
    <m/>
    <m/>
    <m/>
    <m/>
    <m/>
    <m/>
    <m/>
    <s v="EMBRAER"/>
    <s v="Marco Antonio de Oliveira Alves"/>
    <m/>
    <m/>
    <m/>
    <m/>
    <m/>
    <m/>
    <m/>
    <m/>
    <m/>
    <m/>
    <m/>
    <m/>
    <m/>
    <m/>
    <m/>
    <m/>
    <m/>
    <m/>
    <m/>
    <m/>
    <n v="0"/>
    <n v="0"/>
    <n v="0"/>
    <n v="0"/>
    <n v="0"/>
    <e v="#DIV/0!"/>
    <e v="#DIV/0!"/>
    <s v="Industry"/>
    <n v="0"/>
    <n v="0"/>
    <n v="0"/>
    <n v="0"/>
    <n v="0"/>
    <e v="#DIV/0!"/>
    <e v="#DIV/0!"/>
    <n v="0"/>
    <n v="0"/>
    <n v="0"/>
    <n v="0"/>
    <n v="0"/>
    <n v="0"/>
    <n v="0"/>
    <n v="0"/>
    <n v="0"/>
    <n v="0"/>
    <n v="0"/>
    <n v="0"/>
    <n v="0"/>
    <n v="0"/>
    <n v="0"/>
    <n v="0"/>
    <m/>
    <n v="0"/>
    <m/>
    <m/>
    <m/>
    <m/>
    <m/>
    <m/>
    <n v="0"/>
    <m/>
    <n v="0"/>
  </r>
  <r>
    <x v="108"/>
    <s v="Evaluation of the deep drilling process"/>
    <x v="46"/>
    <x v="2"/>
    <n v="1"/>
    <n v="0"/>
    <x v="2"/>
    <x v="2"/>
    <m/>
    <m/>
    <x v="1"/>
    <s v="6. Proposal declined"/>
    <m/>
    <m/>
    <m/>
    <m/>
    <n v="9"/>
    <m/>
    <m/>
    <m/>
    <m/>
    <m/>
    <m/>
    <m/>
    <d v="2019-08-19T00:00:00"/>
    <s v="IPK"/>
    <m/>
    <m/>
    <m/>
    <m/>
    <m/>
    <m/>
    <s v="ITA"/>
    <s v="Givan Macedo"/>
    <s v="Tédni Goulart  / Givan Macedo "/>
    <m/>
    <m/>
    <m/>
    <n v="12757.764839600102"/>
    <m/>
    <m/>
    <m/>
    <m/>
    <m/>
    <m/>
    <m/>
    <m/>
    <m/>
    <m/>
    <m/>
    <m/>
    <m/>
    <m/>
    <m/>
    <s v="Ford"/>
    <m/>
    <n v="12757.764839600102"/>
    <m/>
    <m/>
    <m/>
    <m/>
    <m/>
    <m/>
    <m/>
    <m/>
    <m/>
    <m/>
    <m/>
    <m/>
    <m/>
    <m/>
    <m/>
    <m/>
    <m/>
    <m/>
    <m/>
    <n v="0"/>
    <n v="0"/>
    <n v="0"/>
    <n v="0"/>
    <n v="0"/>
    <e v="#DIV/0!"/>
    <e v="#DIV/0!"/>
    <s v="Industry"/>
    <n v="0"/>
    <n v="0"/>
    <n v="12757.764839600102"/>
    <n v="0"/>
    <n v="12757.764839600102"/>
    <n v="0"/>
    <s v="Public Funding"/>
    <n v="0"/>
    <n v="12757.764839600102"/>
    <n v="12757.764839600102"/>
    <n v="0"/>
    <n v="0"/>
    <n v="0"/>
    <n v="12757.764839600102"/>
    <n v="0"/>
    <n v="12757.764839600102"/>
    <n v="0"/>
    <n v="12757.764839600102"/>
    <n v="0"/>
    <n v="0"/>
    <n v="0"/>
    <n v="12757.764839600102"/>
    <n v="0"/>
    <m/>
    <n v="0"/>
    <m/>
    <m/>
    <m/>
    <m/>
    <m/>
    <m/>
    <n v="0"/>
    <m/>
    <n v="0"/>
  </r>
  <r>
    <x v="109"/>
    <s v="Alignment measurement in large presses"/>
    <x v="75"/>
    <x v="3"/>
    <n v="1"/>
    <n v="0"/>
    <x v="2"/>
    <x v="2"/>
    <m/>
    <m/>
    <x v="4"/>
    <s v="5. Project running"/>
    <n v="6.59"/>
    <m/>
    <m/>
    <m/>
    <n v="6"/>
    <d v="2021-04-01T00:00:00"/>
    <m/>
    <m/>
    <d v="2019-09-09T00:00:00"/>
    <m/>
    <d v="2020-10-16T00:00:00"/>
    <m/>
    <m/>
    <s v="IPK"/>
    <m/>
    <m/>
    <m/>
    <m/>
    <m/>
    <m/>
    <s v="ITA"/>
    <s v="Lauren Leme"/>
    <s v="Fábio Sena / Natália D´Ávila "/>
    <m/>
    <n v="16063.575113808802"/>
    <m/>
    <m/>
    <m/>
    <m/>
    <m/>
    <m/>
    <m/>
    <m/>
    <m/>
    <m/>
    <m/>
    <m/>
    <m/>
    <m/>
    <m/>
    <m/>
    <m/>
    <s v="Fras-Le"/>
    <m/>
    <n v="24554.976688084251"/>
    <m/>
    <m/>
    <m/>
    <m/>
    <m/>
    <m/>
    <m/>
    <m/>
    <m/>
    <m/>
    <m/>
    <m/>
    <m/>
    <m/>
    <m/>
    <m/>
    <m/>
    <m/>
    <m/>
    <n v="0"/>
    <n v="0"/>
    <n v="0"/>
    <n v="0"/>
    <n v="0"/>
    <e v="#DIV/0!"/>
    <e v="#DIV/0!"/>
    <s v="Industry"/>
    <n v="0"/>
    <n v="0"/>
    <n v="16063.575113808802"/>
    <n v="16063.575113808802"/>
    <n v="0"/>
    <n v="1"/>
    <s v="Industry"/>
    <n v="0"/>
    <n v="16063.575113808802"/>
    <n v="16063.575113808802"/>
    <n v="16063.575113808802"/>
    <n v="0"/>
    <n v="16063.575113808802"/>
    <n v="0"/>
    <n v="0"/>
    <n v="0"/>
    <n v="0"/>
    <n v="16063.575113808802"/>
    <n v="0"/>
    <n v="0"/>
    <n v="0"/>
    <n v="16063.575113808802"/>
    <n v="0"/>
    <m/>
    <n v="0"/>
    <m/>
    <m/>
    <m/>
    <m/>
    <m/>
    <m/>
    <n v="0"/>
    <m/>
    <n v="0"/>
  </r>
  <r>
    <x v="110"/>
    <s v="Predict Analytics Applied to Process Historical  Data"/>
    <x v="75"/>
    <x v="3"/>
    <n v="1"/>
    <n v="0"/>
    <x v="2"/>
    <x v="2"/>
    <m/>
    <m/>
    <x v="1"/>
    <s v="6. Proposal declined"/>
    <m/>
    <m/>
    <m/>
    <m/>
    <n v="6"/>
    <m/>
    <m/>
    <m/>
    <m/>
    <d v="2019-09-09T00:00:00"/>
    <m/>
    <m/>
    <d v="2019-10-07T00:00:00"/>
    <s v="IPK"/>
    <m/>
    <m/>
    <m/>
    <m/>
    <m/>
    <m/>
    <s v="ITA"/>
    <s v="Lauren Leme"/>
    <s v="Fábio Sena / Natália D´Ávila "/>
    <m/>
    <n v="22382.846605274757"/>
    <m/>
    <m/>
    <m/>
    <m/>
    <m/>
    <m/>
    <m/>
    <m/>
    <m/>
    <m/>
    <m/>
    <m/>
    <m/>
    <m/>
    <m/>
    <m/>
    <m/>
    <s v="Fras-Le"/>
    <m/>
    <n v="22382.846605274757"/>
    <m/>
    <m/>
    <m/>
    <m/>
    <m/>
    <m/>
    <m/>
    <m/>
    <m/>
    <m/>
    <m/>
    <m/>
    <m/>
    <m/>
    <m/>
    <m/>
    <m/>
    <m/>
    <m/>
    <n v="0"/>
    <n v="0"/>
    <n v="0"/>
    <n v="0"/>
    <n v="0"/>
    <e v="#DIV/0!"/>
    <e v="#DIV/0!"/>
    <s v="Industry"/>
    <n v="0"/>
    <n v="0"/>
    <n v="22382.846605274757"/>
    <n v="22382.846605274757"/>
    <n v="0"/>
    <n v="1"/>
    <s v="Industry"/>
    <n v="0"/>
    <n v="22382.846605274757"/>
    <n v="22382.846605274757"/>
    <n v="22382.846605274757"/>
    <n v="0"/>
    <n v="22382.846605274757"/>
    <n v="0"/>
    <n v="0"/>
    <n v="0"/>
    <n v="0"/>
    <n v="22382.846605274757"/>
    <n v="0"/>
    <n v="0"/>
    <n v="0"/>
    <n v="22382.846605274757"/>
    <n v="0"/>
    <m/>
    <n v="0"/>
    <m/>
    <m/>
    <m/>
    <m/>
    <m/>
    <m/>
    <n v="0"/>
    <m/>
    <n v="0"/>
  </r>
  <r>
    <x v="111"/>
    <s v="Tooling repairing"/>
    <x v="75"/>
    <x v="3"/>
    <n v="1"/>
    <n v="0"/>
    <x v="2"/>
    <x v="2"/>
    <m/>
    <d v="2019-09-09T00:00:00"/>
    <x v="1"/>
    <s v="6. Proposal declined"/>
    <m/>
    <m/>
    <m/>
    <m/>
    <m/>
    <m/>
    <m/>
    <m/>
    <m/>
    <m/>
    <m/>
    <m/>
    <d v="2019-01-27T00:00:00"/>
    <s v="IPK"/>
    <m/>
    <m/>
    <m/>
    <m/>
    <m/>
    <m/>
    <s v="ITA"/>
    <s v="Guilherme José / José Guilherme "/>
    <s v="Fábio Sena / Natália D´Ávila "/>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12"/>
    <s v="Gear durability for new materials - ( Project continuity Phase I)"/>
    <x v="23"/>
    <x v="3"/>
    <n v="4"/>
    <n v="0"/>
    <x v="2"/>
    <x v="2"/>
    <s v="Rota 2030 proposal with Randon. ITA subcontracted by SENAI-JVL "/>
    <d v="2019-11-11T00:00:00"/>
    <x v="4"/>
    <s v="5. Project running"/>
    <n v="6.7"/>
    <s v="BM02"/>
    <m/>
    <m/>
    <n v="12"/>
    <m/>
    <d v="2019-11-11T00:00:00"/>
    <m/>
    <d v="2020-02-17T00:00:00"/>
    <d v="2020-09-23T00:00:00"/>
    <d v="2021-03-23T00:00:00"/>
    <m/>
    <m/>
    <s v="IPK"/>
    <m/>
    <m/>
    <m/>
    <m/>
    <m/>
    <m/>
    <s v="ITA"/>
    <s v="Ronnie Rego"/>
    <s v="Angelo Carvalho"/>
    <m/>
    <n v="122388.05970149253"/>
    <m/>
    <m/>
    <m/>
    <m/>
    <m/>
    <m/>
    <m/>
    <m/>
    <m/>
    <m/>
    <m/>
    <m/>
    <m/>
    <m/>
    <m/>
    <m/>
    <m/>
    <m/>
    <m/>
    <m/>
    <m/>
    <m/>
    <m/>
    <m/>
    <m/>
    <m/>
    <m/>
    <m/>
    <m/>
    <m/>
    <m/>
    <m/>
    <m/>
    <m/>
    <m/>
    <m/>
    <m/>
    <m/>
    <m/>
    <n v="0"/>
    <n v="0"/>
    <n v="0"/>
    <n v="0"/>
    <n v="0"/>
    <e v="#DIV/0!"/>
    <e v="#DIV/0!"/>
    <s v="Industry"/>
    <n v="0"/>
    <n v="0"/>
    <n v="122388.05970149253"/>
    <n v="122388.05970149253"/>
    <n v="0"/>
    <n v="1"/>
    <s v="Industry"/>
    <n v="0"/>
    <n v="122388.05970149253"/>
    <n v="122388.05970149253"/>
    <n v="122388.05970149253"/>
    <n v="0"/>
    <n v="122388.05970149253"/>
    <n v="0"/>
    <n v="0"/>
    <n v="0"/>
    <n v="0"/>
    <n v="122388.05970149253"/>
    <n v="0"/>
    <n v="0"/>
    <n v="0"/>
    <n v="122388.05970149253"/>
    <n v="0"/>
    <m/>
    <n v="0"/>
    <m/>
    <m/>
    <m/>
    <m/>
    <m/>
    <m/>
    <n v="0"/>
    <m/>
    <n v="0"/>
  </r>
  <r>
    <x v="113"/>
    <s v="This project aims to determine the effect of Nb and Ti addition on grain refinement of gear materials considering the surface integrity."/>
    <x v="23"/>
    <x v="3"/>
    <n v="1"/>
    <n v="0"/>
    <x v="2"/>
    <x v="2"/>
    <m/>
    <d v="2017-11-21T00:00:00"/>
    <x v="4"/>
    <s v="5. Project running"/>
    <m/>
    <m/>
    <m/>
    <m/>
    <n v="12"/>
    <m/>
    <m/>
    <m/>
    <m/>
    <m/>
    <m/>
    <m/>
    <m/>
    <s v="IPK"/>
    <m/>
    <m/>
    <m/>
    <m/>
    <m/>
    <m/>
    <s v="ITA"/>
    <s v="André Luiz Oliveira"/>
    <s v="Nathianne Moura / Artur Cantisano "/>
    <m/>
    <m/>
    <m/>
    <n v="83273.410498480676"/>
    <m/>
    <m/>
    <m/>
    <m/>
    <m/>
    <m/>
    <m/>
    <m/>
    <m/>
    <m/>
    <m/>
    <m/>
    <m/>
    <m/>
    <m/>
    <s v="Gerdau"/>
    <m/>
    <n v="83273.410498480676"/>
    <m/>
    <m/>
    <m/>
    <m/>
    <m/>
    <m/>
    <m/>
    <m/>
    <m/>
    <m/>
    <m/>
    <m/>
    <m/>
    <m/>
    <m/>
    <m/>
    <m/>
    <m/>
    <m/>
    <n v="0"/>
    <n v="0"/>
    <n v="0"/>
    <n v="0"/>
    <n v="0"/>
    <e v="#DIV/0!"/>
    <e v="#DIV/0!"/>
    <s v="Industry"/>
    <n v="0"/>
    <n v="0"/>
    <n v="83273.410498480676"/>
    <n v="0"/>
    <n v="83273.410498480676"/>
    <n v="0"/>
    <s v="Public Funding"/>
    <n v="0"/>
    <n v="83273.410498480676"/>
    <n v="83273.410498480676"/>
    <n v="0"/>
    <n v="0"/>
    <n v="0"/>
    <n v="83273.410498480676"/>
    <n v="0"/>
    <n v="83273.410498480676"/>
    <n v="0"/>
    <n v="83273.410498480676"/>
    <n v="0"/>
    <n v="0"/>
    <n v="0"/>
    <n v="83273.410498480676"/>
    <n v="0"/>
    <m/>
    <n v="0"/>
    <m/>
    <m/>
    <m/>
    <m/>
    <m/>
    <m/>
    <n v="0"/>
    <m/>
    <n v="0"/>
  </r>
  <r>
    <x v="114"/>
    <s v="Evaluation of machinability of materials by turning and milling process"/>
    <x v="23"/>
    <x v="3"/>
    <n v="1"/>
    <n v="0"/>
    <x v="2"/>
    <x v="2"/>
    <m/>
    <d v="2019-08-19T00:00:00"/>
    <x v="1"/>
    <s v="6. Proposal declined"/>
    <m/>
    <m/>
    <m/>
    <m/>
    <n v="12"/>
    <m/>
    <m/>
    <m/>
    <d v="2019-09-09T00:00:00"/>
    <m/>
    <m/>
    <m/>
    <d v="2020-04-30T00:00:00"/>
    <s v="IPK"/>
    <m/>
    <m/>
    <m/>
    <m/>
    <m/>
    <m/>
    <s v="ITA"/>
    <s v="Givan Macedo"/>
    <s v="Tédni Goulart  / Givan Macedo "/>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15"/>
    <s v="Research on human factors and human-machine interface in Aeronautics"/>
    <x v="76"/>
    <x v="5"/>
    <m/>
    <m/>
    <x v="2"/>
    <x v="1"/>
    <s v="in cooperation with Sweden: ITA probably funded by FINEP and Sweeden funded by FMV"/>
    <m/>
    <x v="4"/>
    <s v="5. Project running"/>
    <n v="6.7"/>
    <s v="Only Public Funding"/>
    <m/>
    <m/>
    <n v="30"/>
    <m/>
    <m/>
    <m/>
    <d v="2020-04-23T00:00:00"/>
    <d v="2020-11-03T00:00:00"/>
    <d v="2020-12-01T00:00:00"/>
    <m/>
    <m/>
    <s v="IPK"/>
    <m/>
    <m/>
    <m/>
    <m/>
    <m/>
    <m/>
    <s v="ITA"/>
    <s v="Emília Vilanni "/>
    <s v="Ivan Rehder"/>
    <m/>
    <m/>
    <m/>
    <n v="119402.98507462686"/>
    <m/>
    <m/>
    <m/>
    <m/>
    <m/>
    <m/>
    <m/>
    <m/>
    <m/>
    <m/>
    <m/>
    <m/>
    <m/>
    <m/>
    <m/>
    <m/>
    <m/>
    <m/>
    <m/>
    <m/>
    <m/>
    <m/>
    <m/>
    <m/>
    <m/>
    <m/>
    <m/>
    <m/>
    <m/>
    <m/>
    <m/>
    <m/>
    <m/>
    <m/>
    <m/>
    <m/>
    <m/>
    <n v="0"/>
    <n v="0"/>
    <n v="0"/>
    <n v="0"/>
    <n v="0"/>
    <e v="#DIV/0!"/>
    <e v="#DIV/0!"/>
    <s v="Public Funding"/>
    <n v="0"/>
    <n v="0"/>
    <n v="119402.98507462686"/>
    <n v="0"/>
    <n v="119402.98507462686"/>
    <n v="0"/>
    <s v="Public Funding"/>
    <n v="0"/>
    <n v="119402.98507462686"/>
    <n v="119402.98507462686"/>
    <n v="0"/>
    <n v="0"/>
    <n v="0"/>
    <n v="119402.98507462686"/>
    <n v="0"/>
    <n v="119402.98507462686"/>
    <n v="0"/>
    <n v="119402.98507462686"/>
    <n v="0"/>
    <n v="0"/>
    <n v="0"/>
    <n v="119402.98507462686"/>
    <n v="0"/>
    <m/>
    <n v="0"/>
    <m/>
    <m/>
    <m/>
    <m/>
    <m/>
    <m/>
    <n v="0"/>
    <m/>
    <n v="0"/>
  </r>
  <r>
    <x v="116"/>
    <m/>
    <x v="77"/>
    <x v="2"/>
    <m/>
    <m/>
    <x v="1"/>
    <x v="2"/>
    <m/>
    <m/>
    <x v="1"/>
    <s v="6. Proposal declined"/>
    <m/>
    <m/>
    <m/>
    <m/>
    <n v="6"/>
    <m/>
    <m/>
    <m/>
    <d v="2019-10-07T00:00:00"/>
    <m/>
    <m/>
    <m/>
    <d v="2020-05-13T00:00:00"/>
    <s v="IPK"/>
    <m/>
    <m/>
    <m/>
    <m/>
    <m/>
    <m/>
    <s v="ITA"/>
    <s v="Carla Cunha"/>
    <s v="Ronnie Rego"/>
    <m/>
    <n v="18556.748857600149"/>
    <m/>
    <m/>
    <m/>
    <m/>
    <m/>
    <m/>
    <m/>
    <m/>
    <m/>
    <m/>
    <m/>
    <m/>
    <m/>
    <m/>
    <m/>
    <m/>
    <m/>
    <s v="AEA"/>
    <m/>
    <n v="18556.748857600149"/>
    <m/>
    <m/>
    <m/>
    <m/>
    <m/>
    <m/>
    <m/>
    <m/>
    <m/>
    <m/>
    <m/>
    <m/>
    <m/>
    <m/>
    <m/>
    <m/>
    <m/>
    <m/>
    <m/>
    <n v="0"/>
    <n v="0"/>
    <n v="0"/>
    <n v="0"/>
    <n v="0"/>
    <e v="#DIV/0!"/>
    <e v="#DIV/0!"/>
    <s v="Industry"/>
    <n v="0"/>
    <n v="0"/>
    <n v="18556.748857600149"/>
    <n v="18556.748857600149"/>
    <n v="0"/>
    <n v="1"/>
    <s v="Industry"/>
    <n v="0"/>
    <n v="18556.748857600149"/>
    <n v="18556.748857600149"/>
    <n v="18556.748857600149"/>
    <n v="0"/>
    <n v="18556.748857600149"/>
    <n v="0"/>
    <n v="0"/>
    <n v="0"/>
    <n v="0"/>
    <n v="18556.748857600149"/>
    <n v="0"/>
    <n v="0"/>
    <n v="0"/>
    <n v="18556.748857600149"/>
    <n v="0"/>
    <n v="0"/>
    <n v="0"/>
    <m/>
    <m/>
    <m/>
    <m/>
    <m/>
    <m/>
    <n v="0"/>
    <n v="0"/>
    <n v="0"/>
  </r>
  <r>
    <x v="117"/>
    <m/>
    <x v="78"/>
    <x v="0"/>
    <m/>
    <m/>
    <x v="0"/>
    <x v="2"/>
    <m/>
    <m/>
    <x v="1"/>
    <m/>
    <m/>
    <m/>
    <m/>
    <m/>
    <m/>
    <m/>
    <m/>
    <m/>
    <m/>
    <m/>
    <m/>
    <m/>
    <m/>
    <s v="IPK"/>
    <m/>
    <m/>
    <n v="35000"/>
    <m/>
    <m/>
    <m/>
    <s v="ITA"/>
    <m/>
    <m/>
    <m/>
    <m/>
    <m/>
    <m/>
    <m/>
    <m/>
    <m/>
    <m/>
    <m/>
    <m/>
    <m/>
    <m/>
    <m/>
    <m/>
    <m/>
    <m/>
    <m/>
    <m/>
    <m/>
    <s v="SENAI-ES"/>
    <m/>
    <n v="35000"/>
    <m/>
    <m/>
    <m/>
    <m/>
    <m/>
    <m/>
    <m/>
    <m/>
    <m/>
    <m/>
    <m/>
    <m/>
    <m/>
    <m/>
    <m/>
    <m/>
    <m/>
    <m/>
    <m/>
    <n v="35000"/>
    <n v="35000"/>
    <n v="35000"/>
    <n v="0"/>
    <n v="0"/>
    <n v="1"/>
    <n v="1"/>
    <s v="Industry"/>
    <n v="0"/>
    <n v="35000"/>
    <n v="0"/>
    <n v="0"/>
    <n v="0"/>
    <e v="#DIV/0!"/>
    <e v="#DIV/0!"/>
    <n v="0"/>
    <n v="0"/>
    <n v="35000"/>
    <n v="35000"/>
    <n v="0"/>
    <n v="35000"/>
    <n v="0"/>
    <n v="0"/>
    <n v="0"/>
    <n v="0"/>
    <n v="35000"/>
    <n v="0"/>
    <n v="0"/>
    <n v="0"/>
    <n v="35000"/>
    <n v="35000"/>
    <n v="0"/>
    <n v="0"/>
    <m/>
    <m/>
    <m/>
    <m/>
    <m/>
    <m/>
    <n v="0"/>
    <n v="0"/>
    <n v="0"/>
  </r>
  <r>
    <x v="118"/>
    <s v="Focus on cooling channels (inspection and repair)"/>
    <x v="7"/>
    <x v="2"/>
    <n v="2"/>
    <n v="1"/>
    <x v="0"/>
    <x v="2"/>
    <s v="R2030 - Linha 4 - Programm (iii) - Disruptive R&amp;D"/>
    <d v="2020-05-18T00:00:00"/>
    <x v="1"/>
    <m/>
    <m/>
    <m/>
    <m/>
    <m/>
    <n v="36"/>
    <m/>
    <d v="2020-05-18T00:00:00"/>
    <m/>
    <m/>
    <m/>
    <m/>
    <m/>
    <d v="2021-05-27T00:00:00"/>
    <s v="IPK"/>
    <s v="Gustavo Reis"/>
    <m/>
    <m/>
    <m/>
    <m/>
    <m/>
    <m/>
    <m/>
    <m/>
    <m/>
    <m/>
    <m/>
    <m/>
    <m/>
    <s v="SENAI Joinville"/>
    <s v="Moisés Teixeira"/>
    <m/>
    <m/>
    <m/>
    <m/>
    <m/>
    <m/>
    <m/>
    <m/>
    <m/>
    <m/>
    <m/>
    <m/>
    <s v="Abinfer"/>
    <s v="C. Dihllmann"/>
    <m/>
    <m/>
    <m/>
    <m/>
    <m/>
    <m/>
    <m/>
    <m/>
    <m/>
    <m/>
    <m/>
    <m/>
    <m/>
    <m/>
    <s v="R2030 / IPT"/>
    <m/>
    <m/>
    <m/>
    <m/>
    <m/>
    <n v="0"/>
    <n v="0"/>
    <n v="0"/>
    <n v="0"/>
    <n v="0"/>
    <e v="#DIV/0!"/>
    <e v="#DIV/0!"/>
    <s v="Industry"/>
    <n v="0"/>
    <n v="0"/>
    <n v="0"/>
    <n v="0"/>
    <n v="0"/>
    <e v="#DIV/0!"/>
    <e v="#DIV/0!"/>
    <n v="0"/>
    <n v="0"/>
    <n v="0"/>
    <n v="0"/>
    <n v="0"/>
    <n v="0"/>
    <n v="0"/>
    <n v="0"/>
    <n v="0"/>
    <n v="0"/>
    <n v="0"/>
    <n v="0"/>
    <n v="0"/>
    <n v="0"/>
    <n v="0"/>
    <n v="0"/>
    <n v="0.01"/>
    <n v="0"/>
    <m/>
    <m/>
    <m/>
    <m/>
    <m/>
    <m/>
    <n v="0"/>
    <m/>
    <n v="0"/>
  </r>
  <r>
    <x v="119"/>
    <m/>
    <x v="38"/>
    <x v="3"/>
    <n v="1"/>
    <m/>
    <x v="0"/>
    <x v="2"/>
    <m/>
    <m/>
    <x v="6"/>
    <m/>
    <m/>
    <m/>
    <m/>
    <d v="2018-07-01T00:00:00"/>
    <m/>
    <d v="2019-01-31T00:00:00"/>
    <m/>
    <m/>
    <m/>
    <m/>
    <m/>
    <d v="2019-01-31T00:00:00"/>
    <m/>
    <s v="IPK"/>
    <s v="David Domingos"/>
    <n v="0"/>
    <n v="40000"/>
    <n v="0"/>
    <n v="0"/>
    <n v="0"/>
    <s v="ITA"/>
    <m/>
    <s v="N/A"/>
    <n v="0"/>
    <m/>
    <n v="0"/>
    <n v="0"/>
    <n v="0"/>
    <s v="SENAI Joinville"/>
    <m/>
    <n v="0"/>
    <n v="12000"/>
    <n v="0"/>
    <n v="0"/>
    <n v="0"/>
    <s v="N/A"/>
    <s v="N/A"/>
    <n v="0"/>
    <n v="0"/>
    <n v="0"/>
    <n v="0"/>
    <n v="0"/>
    <s v="Ciser"/>
    <s v="Adelton Rossetto"/>
    <n v="52000"/>
    <n v="0"/>
    <s v="N/A"/>
    <s v="N/A"/>
    <n v="0"/>
    <n v="0"/>
    <s v="N/A"/>
    <s v="N/A"/>
    <n v="0"/>
    <n v="0"/>
    <s v="N/A"/>
    <s v="N/A"/>
    <n v="0"/>
    <n v="0"/>
    <s v="N/A"/>
    <s v="N/A"/>
    <n v="0"/>
    <s v="N/A"/>
    <s v="N/A"/>
    <n v="0"/>
    <n v="40000"/>
    <n v="40000"/>
    <n v="40000"/>
    <n v="0"/>
    <n v="0"/>
    <n v="1"/>
    <n v="1"/>
    <s v="Industry"/>
    <n v="0"/>
    <n v="40000"/>
    <n v="0"/>
    <n v="0"/>
    <n v="0"/>
    <e v="#DIV/0!"/>
    <e v="#DIV/0!"/>
    <n v="0"/>
    <n v="0"/>
    <n v="40000"/>
    <n v="40000"/>
    <n v="0"/>
    <n v="40000"/>
    <n v="0"/>
    <n v="0"/>
    <n v="0"/>
    <n v="0"/>
    <n v="40000"/>
    <n v="12000"/>
    <n v="12000"/>
    <n v="0"/>
    <n v="52000"/>
    <n v="40000"/>
    <n v="1"/>
    <n v="40000"/>
    <m/>
    <n v="18000"/>
    <n v="18000"/>
    <m/>
    <m/>
    <n v="0.1"/>
    <n v="4000"/>
    <n v="0"/>
    <n v="4000"/>
  </r>
  <r>
    <x v="120"/>
    <m/>
    <x v="79"/>
    <x v="3"/>
    <m/>
    <m/>
    <x v="0"/>
    <x v="2"/>
    <s v="No feedback from company since 6 months, altough tried contact many times."/>
    <m/>
    <x v="1"/>
    <m/>
    <m/>
    <m/>
    <m/>
    <m/>
    <m/>
    <m/>
    <m/>
    <m/>
    <m/>
    <m/>
    <m/>
    <m/>
    <m/>
    <s v="IPK"/>
    <m/>
    <m/>
    <n v="150000"/>
    <m/>
    <m/>
    <m/>
    <s v="ITA"/>
    <m/>
    <m/>
    <m/>
    <m/>
    <m/>
    <m/>
    <m/>
    <m/>
    <m/>
    <m/>
    <m/>
    <m/>
    <m/>
    <m/>
    <m/>
    <m/>
    <m/>
    <m/>
    <m/>
    <m/>
    <m/>
    <s v="Tupy Foundry"/>
    <m/>
    <n v="150000"/>
    <m/>
    <m/>
    <m/>
    <m/>
    <m/>
    <m/>
    <m/>
    <m/>
    <m/>
    <m/>
    <m/>
    <m/>
    <m/>
    <m/>
    <m/>
    <m/>
    <m/>
    <m/>
    <m/>
    <n v="150000"/>
    <n v="150000"/>
    <n v="150000"/>
    <n v="0"/>
    <n v="0"/>
    <n v="1"/>
    <n v="1"/>
    <s v="Industry"/>
    <n v="0"/>
    <n v="150000"/>
    <n v="0"/>
    <n v="0"/>
    <n v="0"/>
    <e v="#DIV/0!"/>
    <e v="#DIV/0!"/>
    <n v="0"/>
    <n v="0"/>
    <n v="150000"/>
    <n v="150000"/>
    <n v="0"/>
    <n v="150000"/>
    <n v="0"/>
    <n v="0"/>
    <n v="0"/>
    <n v="0"/>
    <n v="150000"/>
    <n v="0"/>
    <n v="0"/>
    <n v="0"/>
    <n v="150000"/>
    <n v="150000"/>
    <n v="0.25"/>
    <n v="37500"/>
    <m/>
    <m/>
    <m/>
    <m/>
    <m/>
    <n v="0.2"/>
    <n v="7500"/>
    <n v="0"/>
    <n v="7500"/>
  </r>
  <r>
    <x v="121"/>
    <s v="Technological development technological qualification and implantation of factory unit"/>
    <x v="80"/>
    <x v="5"/>
    <n v="2"/>
    <n v="0"/>
    <x v="2"/>
    <x v="2"/>
    <s v="Check with Janete"/>
    <m/>
    <x v="5"/>
    <s v="5. Project running"/>
    <n v="4.3099999999999996"/>
    <m/>
    <m/>
    <m/>
    <n v="48"/>
    <m/>
    <m/>
    <m/>
    <m/>
    <m/>
    <m/>
    <m/>
    <m/>
    <s v="IPK"/>
    <m/>
    <m/>
    <m/>
    <m/>
    <m/>
    <m/>
    <s v="ITA"/>
    <s v="Anderson Borille"/>
    <s v="Janete Moreira"/>
    <m/>
    <n v="232946.77494199536"/>
    <m/>
    <n v="465781.90255220421"/>
    <m/>
    <m/>
    <m/>
    <m/>
    <m/>
    <m/>
    <m/>
    <m/>
    <m/>
    <m/>
    <m/>
    <m/>
    <m/>
    <m/>
    <m/>
    <s v="AKAER"/>
    <m/>
    <n v="464039.34030757815"/>
    <m/>
    <m/>
    <m/>
    <m/>
    <m/>
    <m/>
    <m/>
    <m/>
    <m/>
    <m/>
    <m/>
    <m/>
    <m/>
    <s v="FINEP"/>
    <m/>
    <n v="231960.28855744476"/>
    <m/>
    <m/>
    <m/>
    <n v="0"/>
    <n v="0"/>
    <n v="0"/>
    <n v="0"/>
    <n v="0"/>
    <e v="#DIV/0!"/>
    <e v="#DIV/0!"/>
    <s v="Industry"/>
    <n v="0"/>
    <n v="0"/>
    <n v="698728.6774941996"/>
    <n v="232946.77494199536"/>
    <n v="465781.90255220421"/>
    <n v="0.3333865954627705"/>
    <s v="Public Funding"/>
    <n v="0"/>
    <n v="698728.6774941996"/>
    <n v="698728.6774941996"/>
    <n v="232946.77494199536"/>
    <n v="0"/>
    <n v="232946.77494199536"/>
    <n v="465781.90255220421"/>
    <n v="0"/>
    <n v="465781.90255220421"/>
    <n v="0"/>
    <n v="698728.6774941996"/>
    <n v="0"/>
    <n v="0"/>
    <n v="0"/>
    <n v="698728.6774941996"/>
    <n v="0"/>
    <m/>
    <n v="0"/>
    <m/>
    <m/>
    <m/>
    <m/>
    <m/>
    <m/>
    <n v="0"/>
    <m/>
    <n v="0"/>
  </r>
  <r>
    <x v="122"/>
    <m/>
    <x v="78"/>
    <x v="0"/>
    <m/>
    <m/>
    <x v="0"/>
    <x v="2"/>
    <m/>
    <m/>
    <x v="6"/>
    <m/>
    <m/>
    <m/>
    <m/>
    <m/>
    <m/>
    <m/>
    <m/>
    <m/>
    <m/>
    <m/>
    <m/>
    <m/>
    <m/>
    <s v="IPK"/>
    <m/>
    <n v="0"/>
    <n v="7000"/>
    <n v="0"/>
    <n v="0"/>
    <n v="0"/>
    <s v="ITA"/>
    <m/>
    <s v="N/A"/>
    <n v="0"/>
    <m/>
    <n v="0"/>
    <n v="0"/>
    <n v="0"/>
    <s v="N/A"/>
    <s v="N/A"/>
    <n v="0"/>
    <n v="0"/>
    <n v="0"/>
    <n v="0"/>
    <n v="0"/>
    <s v="N/A"/>
    <s v="N/A"/>
    <n v="0"/>
    <n v="0"/>
    <n v="0"/>
    <n v="0"/>
    <n v="0"/>
    <s v="SENAI-ES"/>
    <m/>
    <n v="7000"/>
    <n v="0"/>
    <s v="N/A"/>
    <s v="N/A"/>
    <n v="0"/>
    <n v="0"/>
    <s v="N/A"/>
    <s v="N/A"/>
    <n v="0"/>
    <n v="0"/>
    <s v="N/A"/>
    <s v="N/A"/>
    <n v="0"/>
    <n v="0"/>
    <s v="N/A"/>
    <s v="N/A"/>
    <n v="0"/>
    <s v="N/A"/>
    <s v="N/A"/>
    <n v="0"/>
    <n v="7000"/>
    <n v="7000"/>
    <n v="7000"/>
    <n v="0"/>
    <n v="0"/>
    <n v="1"/>
    <n v="1"/>
    <s v="Industry"/>
    <n v="0"/>
    <n v="7000"/>
    <n v="0"/>
    <n v="0"/>
    <n v="0"/>
    <e v="#DIV/0!"/>
    <e v="#DIV/0!"/>
    <n v="0"/>
    <n v="0"/>
    <n v="7000"/>
    <n v="7000"/>
    <n v="0"/>
    <n v="7000"/>
    <n v="0"/>
    <n v="0"/>
    <n v="0"/>
    <n v="0"/>
    <n v="7000"/>
    <n v="0"/>
    <n v="0"/>
    <n v="0"/>
    <n v="7000"/>
    <n v="7000"/>
    <n v="1"/>
    <n v="7000"/>
    <m/>
    <n v="3500"/>
    <m/>
    <m/>
    <m/>
    <n v="0"/>
    <n v="0"/>
    <n v="3500"/>
    <n v="3500"/>
  </r>
  <r>
    <x v="123"/>
    <m/>
    <x v="81"/>
    <x v="0"/>
    <m/>
    <m/>
    <x v="0"/>
    <x v="2"/>
    <m/>
    <m/>
    <x v="1"/>
    <s v="6. Proposal declined"/>
    <m/>
    <m/>
    <m/>
    <m/>
    <m/>
    <m/>
    <m/>
    <m/>
    <m/>
    <m/>
    <m/>
    <m/>
    <m/>
    <s v="IPK"/>
    <m/>
    <m/>
    <n v="76550"/>
    <m/>
    <m/>
    <m/>
    <s v="ITA"/>
    <m/>
    <m/>
    <m/>
    <m/>
    <m/>
    <m/>
    <m/>
    <m/>
    <m/>
    <m/>
    <m/>
    <m/>
    <m/>
    <m/>
    <m/>
    <m/>
    <m/>
    <m/>
    <m/>
    <m/>
    <m/>
    <s v="CNT"/>
    <m/>
    <n v="76550"/>
    <m/>
    <m/>
    <m/>
    <m/>
    <m/>
    <m/>
    <m/>
    <m/>
    <m/>
    <m/>
    <m/>
    <m/>
    <m/>
    <m/>
    <m/>
    <m/>
    <m/>
    <m/>
    <m/>
    <n v="76550"/>
    <n v="76550"/>
    <n v="76550"/>
    <n v="0"/>
    <n v="0"/>
    <n v="1"/>
    <n v="1"/>
    <s v="Industry"/>
    <n v="0"/>
    <n v="76550"/>
    <n v="0"/>
    <n v="0"/>
    <n v="0"/>
    <e v="#DIV/0!"/>
    <e v="#DIV/0!"/>
    <n v="0"/>
    <n v="0"/>
    <n v="76550"/>
    <n v="76550"/>
    <n v="0"/>
    <n v="76550"/>
    <n v="0"/>
    <n v="0"/>
    <n v="0"/>
    <n v="0"/>
    <n v="76550"/>
    <n v="0"/>
    <n v="0"/>
    <n v="0"/>
    <n v="76550"/>
    <n v="76550"/>
    <n v="0"/>
    <n v="0"/>
    <m/>
    <m/>
    <m/>
    <m/>
    <m/>
    <m/>
    <n v="0"/>
    <n v="0"/>
    <n v="0"/>
  </r>
  <r>
    <x v="124"/>
    <s v="Desafio Ferramentaria 4.0 (ITA Challenge/Rota 2030)"/>
    <x v="13"/>
    <x v="2"/>
    <n v="1"/>
    <m/>
    <x v="2"/>
    <x v="1"/>
    <m/>
    <d v="2020-05-19T00:00:00"/>
    <x v="6"/>
    <s v="5. Project running"/>
    <m/>
    <m/>
    <m/>
    <d v="2020-05-15T00:00:00"/>
    <n v="5"/>
    <m/>
    <m/>
    <m/>
    <m/>
    <m/>
    <d v="2020-05-15T00:00:00"/>
    <d v="2020-09-12T00:00:00"/>
    <m/>
    <s v="IPK"/>
    <m/>
    <m/>
    <m/>
    <m/>
    <m/>
    <m/>
    <s v="ITA"/>
    <s v="Natália D'Ávila"/>
    <s v="Natália D'Ávila"/>
    <m/>
    <m/>
    <m/>
    <n v="4761.9047619047624"/>
    <m/>
    <m/>
    <m/>
    <m/>
    <m/>
    <m/>
    <m/>
    <m/>
    <m/>
    <m/>
    <m/>
    <m/>
    <m/>
    <m/>
    <m/>
    <m/>
    <m/>
    <m/>
    <m/>
    <m/>
    <m/>
    <m/>
    <m/>
    <m/>
    <m/>
    <m/>
    <m/>
    <m/>
    <m/>
    <m/>
    <m/>
    <m/>
    <m/>
    <m/>
    <m/>
    <m/>
    <m/>
    <n v="0"/>
    <n v="0"/>
    <n v="0"/>
    <n v="0"/>
    <n v="0"/>
    <e v="#DIV/0!"/>
    <e v="#DIV/0!"/>
    <s v="Public Funding"/>
    <n v="0"/>
    <n v="0"/>
    <n v="4761.9047619047624"/>
    <n v="0"/>
    <n v="4761.9047619047624"/>
    <n v="0"/>
    <s v="Public Funding"/>
    <n v="0"/>
    <n v="4761.9047619047624"/>
    <n v="4761.9047619047624"/>
    <n v="0"/>
    <n v="0"/>
    <n v="0"/>
    <n v="4761.9047619047624"/>
    <n v="0"/>
    <n v="4761.9047619047624"/>
    <n v="0"/>
    <n v="4761.9047619047624"/>
    <n v="0"/>
    <n v="0"/>
    <n v="0"/>
    <n v="4761.9047619047624"/>
    <n v="0"/>
    <m/>
    <n v="0"/>
    <m/>
    <m/>
    <m/>
    <m/>
    <m/>
    <m/>
    <n v="0"/>
    <m/>
    <n v="0"/>
  </r>
  <r>
    <x v="125"/>
    <m/>
    <x v="13"/>
    <x v="3"/>
    <m/>
    <m/>
    <x v="0"/>
    <x v="2"/>
    <m/>
    <s v="10.06.2019"/>
    <x v="1"/>
    <m/>
    <m/>
    <m/>
    <m/>
    <m/>
    <m/>
    <m/>
    <m/>
    <m/>
    <s v="10.06.2019"/>
    <m/>
    <m/>
    <m/>
    <d v="2019-10-29T00:00:00"/>
    <s v="IPK"/>
    <s v="Gustavo Reis"/>
    <m/>
    <n v="77000"/>
    <m/>
    <m/>
    <m/>
    <s v="ITA"/>
    <m/>
    <m/>
    <m/>
    <m/>
    <m/>
    <m/>
    <m/>
    <m/>
    <m/>
    <m/>
    <m/>
    <m/>
    <m/>
    <m/>
    <m/>
    <m/>
    <m/>
    <m/>
    <m/>
    <m/>
    <m/>
    <s v="IPT"/>
    <s v="João Filipini"/>
    <n v="77000"/>
    <m/>
    <m/>
    <m/>
    <m/>
    <m/>
    <m/>
    <m/>
    <m/>
    <m/>
    <m/>
    <m/>
    <m/>
    <m/>
    <m/>
    <m/>
    <m/>
    <m/>
    <m/>
    <m/>
    <n v="77000"/>
    <n v="77000"/>
    <n v="77000"/>
    <n v="0"/>
    <n v="0"/>
    <n v="1"/>
    <n v="1"/>
    <s v="Industry"/>
    <n v="0"/>
    <n v="77000"/>
    <n v="0"/>
    <n v="0"/>
    <n v="0"/>
    <e v="#DIV/0!"/>
    <e v="#DIV/0!"/>
    <n v="0"/>
    <n v="0"/>
    <n v="77000"/>
    <n v="77000"/>
    <n v="0"/>
    <n v="77000"/>
    <n v="0"/>
    <n v="0"/>
    <n v="0"/>
    <n v="0"/>
    <n v="77000"/>
    <n v="0"/>
    <n v="0"/>
    <n v="0"/>
    <n v="77000"/>
    <n v="77000"/>
    <m/>
    <n v="0"/>
    <m/>
    <m/>
    <m/>
    <m/>
    <m/>
    <m/>
    <n v="0"/>
    <m/>
    <n v="0"/>
  </r>
  <r>
    <x v="126"/>
    <m/>
    <x v="23"/>
    <x v="3"/>
    <m/>
    <m/>
    <x v="0"/>
    <x v="2"/>
    <m/>
    <m/>
    <x v="1"/>
    <m/>
    <m/>
    <m/>
    <m/>
    <m/>
    <m/>
    <m/>
    <m/>
    <m/>
    <m/>
    <m/>
    <m/>
    <m/>
    <m/>
    <s v="IPK"/>
    <m/>
    <m/>
    <n v="105750"/>
    <m/>
    <m/>
    <m/>
    <s v="ITA"/>
    <m/>
    <m/>
    <m/>
    <m/>
    <m/>
    <m/>
    <m/>
    <m/>
    <m/>
    <m/>
    <m/>
    <m/>
    <m/>
    <m/>
    <m/>
    <m/>
    <m/>
    <m/>
    <m/>
    <m/>
    <m/>
    <s v="Gerdau"/>
    <m/>
    <n v="105750"/>
    <m/>
    <m/>
    <m/>
    <m/>
    <m/>
    <m/>
    <m/>
    <m/>
    <m/>
    <m/>
    <m/>
    <m/>
    <m/>
    <m/>
    <m/>
    <m/>
    <m/>
    <m/>
    <m/>
    <n v="105750"/>
    <n v="105750"/>
    <n v="105750"/>
    <n v="0"/>
    <n v="0"/>
    <n v="1"/>
    <n v="1"/>
    <s v="Industry"/>
    <n v="0"/>
    <n v="105750"/>
    <n v="0"/>
    <n v="0"/>
    <n v="0"/>
    <e v="#DIV/0!"/>
    <e v="#DIV/0!"/>
    <n v="0"/>
    <n v="0"/>
    <n v="105750"/>
    <n v="105750"/>
    <n v="0"/>
    <n v="105750"/>
    <n v="0"/>
    <n v="0"/>
    <n v="0"/>
    <n v="0"/>
    <n v="105750"/>
    <n v="0"/>
    <n v="0"/>
    <n v="0"/>
    <n v="105750"/>
    <n v="105750"/>
    <n v="0"/>
    <n v="0"/>
    <m/>
    <m/>
    <m/>
    <m/>
    <m/>
    <m/>
    <n v="0"/>
    <n v="0"/>
    <n v="0"/>
  </r>
  <r>
    <x v="127"/>
    <m/>
    <x v="82"/>
    <x v="5"/>
    <m/>
    <m/>
    <x v="2"/>
    <x v="1"/>
    <s v="Check with Janete"/>
    <m/>
    <x v="1"/>
    <s v="6. Proposal declined"/>
    <m/>
    <m/>
    <m/>
    <m/>
    <m/>
    <m/>
    <m/>
    <m/>
    <m/>
    <m/>
    <m/>
    <m/>
    <d v="2019-10-07T00:00:00"/>
    <s v="IPK"/>
    <m/>
    <m/>
    <m/>
    <m/>
    <m/>
    <m/>
    <s v="ITA"/>
    <s v="Anderson Borille"/>
    <s v="Ronnie Rego"/>
    <m/>
    <m/>
    <m/>
    <n v="1485088"/>
    <m/>
    <m/>
    <m/>
    <m/>
    <m/>
    <m/>
    <m/>
    <m/>
    <m/>
    <m/>
    <m/>
    <m/>
    <m/>
    <m/>
    <m/>
    <m/>
    <m/>
    <m/>
    <m/>
    <m/>
    <m/>
    <m/>
    <m/>
    <m/>
    <m/>
    <m/>
    <m/>
    <m/>
    <m/>
    <m/>
    <m/>
    <s v="BNDES"/>
    <m/>
    <n v="1485088"/>
    <m/>
    <m/>
    <m/>
    <n v="0"/>
    <n v="0"/>
    <n v="0"/>
    <n v="0"/>
    <n v="0"/>
    <e v="#DIV/0!"/>
    <e v="#DIV/0!"/>
    <s v="Public Funding"/>
    <n v="0"/>
    <n v="0"/>
    <n v="1485088"/>
    <n v="0"/>
    <n v="1485088"/>
    <n v="0"/>
    <s v="Public Funding"/>
    <n v="0"/>
    <n v="1485088"/>
    <n v="1485088"/>
    <n v="0"/>
    <n v="0"/>
    <n v="0"/>
    <n v="1485088"/>
    <n v="0"/>
    <n v="1485088"/>
    <n v="0"/>
    <n v="1485088"/>
    <n v="0"/>
    <n v="0"/>
    <n v="0"/>
    <n v="1485088"/>
    <n v="0"/>
    <m/>
    <n v="0"/>
    <m/>
    <m/>
    <m/>
    <m/>
    <m/>
    <m/>
    <n v="0"/>
    <n v="0"/>
    <n v="0"/>
  </r>
  <r>
    <x v="128"/>
    <m/>
    <x v="82"/>
    <x v="3"/>
    <m/>
    <m/>
    <x v="2"/>
    <x v="1"/>
    <s v="Check with Janete"/>
    <m/>
    <x v="1"/>
    <s v="6. Proposal declined"/>
    <m/>
    <m/>
    <m/>
    <m/>
    <m/>
    <m/>
    <m/>
    <m/>
    <m/>
    <m/>
    <m/>
    <m/>
    <d v="2019-10-07T00:00:00"/>
    <s v="IPK"/>
    <m/>
    <m/>
    <m/>
    <m/>
    <m/>
    <m/>
    <s v="ITA"/>
    <s v="Anderson Borille"/>
    <s v="Ronnie Rego"/>
    <m/>
    <m/>
    <m/>
    <n v="1515139"/>
    <m/>
    <m/>
    <m/>
    <m/>
    <m/>
    <m/>
    <m/>
    <m/>
    <m/>
    <m/>
    <m/>
    <m/>
    <m/>
    <m/>
    <m/>
    <m/>
    <m/>
    <m/>
    <m/>
    <m/>
    <m/>
    <m/>
    <m/>
    <m/>
    <m/>
    <m/>
    <m/>
    <m/>
    <m/>
    <m/>
    <m/>
    <s v="BNDES"/>
    <m/>
    <n v="1515139"/>
    <m/>
    <m/>
    <m/>
    <n v="0"/>
    <n v="0"/>
    <n v="0"/>
    <n v="0"/>
    <n v="0"/>
    <e v="#DIV/0!"/>
    <e v="#DIV/0!"/>
    <s v="Public Funding"/>
    <n v="0"/>
    <n v="0"/>
    <n v="1515139"/>
    <n v="0"/>
    <n v="1515139"/>
    <n v="0"/>
    <s v="Public Funding"/>
    <n v="0"/>
    <n v="1515139"/>
    <n v="1515139"/>
    <n v="0"/>
    <n v="0"/>
    <n v="0"/>
    <n v="1515139"/>
    <n v="0"/>
    <n v="1515139"/>
    <n v="0"/>
    <n v="1515139"/>
    <n v="0"/>
    <n v="0"/>
    <n v="0"/>
    <n v="1515139"/>
    <n v="0"/>
    <m/>
    <n v="0"/>
    <m/>
    <m/>
    <m/>
    <m/>
    <m/>
    <m/>
    <n v="0"/>
    <n v="0"/>
    <n v="0"/>
  </r>
  <r>
    <x v="129"/>
    <m/>
    <x v="83"/>
    <x v="0"/>
    <m/>
    <m/>
    <x v="0"/>
    <x v="2"/>
    <m/>
    <d v="2019-03-01T00:00:00"/>
    <x v="5"/>
    <m/>
    <m/>
    <m/>
    <m/>
    <d v="2021-03-01T00:00:00"/>
    <n v="10"/>
    <m/>
    <d v="2019-06-11T00:00:00"/>
    <m/>
    <d v="2020-02-01T00:00:00"/>
    <m/>
    <m/>
    <m/>
    <m/>
    <s v="IPK"/>
    <s v="David Domingos"/>
    <m/>
    <n v="215000"/>
    <m/>
    <m/>
    <m/>
    <m/>
    <m/>
    <m/>
    <m/>
    <m/>
    <m/>
    <m/>
    <m/>
    <m/>
    <m/>
    <m/>
    <m/>
    <m/>
    <m/>
    <m/>
    <m/>
    <m/>
    <m/>
    <m/>
    <m/>
    <m/>
    <m/>
    <s v="Gerdau and Atalla"/>
    <m/>
    <m/>
    <m/>
    <m/>
    <m/>
    <m/>
    <m/>
    <m/>
    <m/>
    <m/>
    <m/>
    <m/>
    <m/>
    <m/>
    <m/>
    <s v="City of Mogi das Cruzes"/>
    <m/>
    <n v="130000"/>
    <m/>
    <m/>
    <m/>
    <n v="215000"/>
    <n v="215000"/>
    <n v="215000"/>
    <n v="0"/>
    <n v="0"/>
    <n v="1"/>
    <n v="1"/>
    <s v="Industry"/>
    <n v="0"/>
    <n v="215000"/>
    <n v="0"/>
    <n v="0"/>
    <n v="0"/>
    <e v="#DIV/0!"/>
    <e v="#DIV/0!"/>
    <n v="0"/>
    <n v="0"/>
    <n v="215000"/>
    <n v="215000"/>
    <n v="0"/>
    <n v="215000"/>
    <n v="0"/>
    <n v="0"/>
    <n v="0"/>
    <n v="0"/>
    <n v="215000"/>
    <n v="0"/>
    <n v="0"/>
    <n v="0"/>
    <n v="215000"/>
    <n v="215000"/>
    <n v="0.25"/>
    <n v="53750"/>
    <m/>
    <m/>
    <m/>
    <m/>
    <m/>
    <n v="0.2"/>
    <n v="10750"/>
    <n v="0"/>
    <n v="10750"/>
  </r>
  <r>
    <x v="130"/>
    <m/>
    <x v="84"/>
    <x v="0"/>
    <m/>
    <m/>
    <x v="1"/>
    <x v="1"/>
    <s v="This project was declined in 2019. In May 2022 the City of SJC asked to restarting the discussions here."/>
    <m/>
    <x v="0"/>
    <m/>
    <m/>
    <m/>
    <m/>
    <d v="2022-10-01T00:00:00"/>
    <n v="8"/>
    <m/>
    <m/>
    <m/>
    <d v="2022-06-10T00:00:00"/>
    <m/>
    <m/>
    <m/>
    <d v="2019-10-07T00:00:00"/>
    <s v="IPK"/>
    <s v="David Domingos"/>
    <n v="0"/>
    <n v="0"/>
    <n v="0"/>
    <n v="98000"/>
    <n v="0"/>
    <s v="ITA"/>
    <m/>
    <m/>
    <n v="0"/>
    <n v="0"/>
    <n v="0"/>
    <n v="0"/>
    <n v="0"/>
    <m/>
    <m/>
    <n v="0"/>
    <n v="0"/>
    <n v="0"/>
    <n v="0"/>
    <n v="0"/>
    <m/>
    <m/>
    <n v="0"/>
    <n v="0"/>
    <n v="0"/>
    <n v="0"/>
    <n v="0"/>
    <m/>
    <m/>
    <n v="0"/>
    <n v="0"/>
    <s v="N/A"/>
    <s v="N/A"/>
    <n v="0"/>
    <n v="0"/>
    <s v="N/A"/>
    <s v="N/A"/>
    <n v="0"/>
    <n v="0"/>
    <s v="N/A"/>
    <s v="N/A"/>
    <n v="0"/>
    <n v="0"/>
    <s v="Secretary SJC"/>
    <m/>
    <n v="98000"/>
    <s v="N/A"/>
    <s v="N/A"/>
    <n v="0"/>
    <n v="98000"/>
    <n v="98000"/>
    <n v="0"/>
    <n v="98000"/>
    <n v="0"/>
    <n v="1"/>
    <n v="0"/>
    <s v="Public Funding"/>
    <n v="0"/>
    <n v="98000"/>
    <n v="0"/>
    <n v="0"/>
    <n v="0"/>
    <e v="#DIV/0!"/>
    <e v="#DIV/0!"/>
    <n v="0"/>
    <n v="0"/>
    <n v="98000"/>
    <n v="0"/>
    <n v="0"/>
    <n v="0"/>
    <n v="98000"/>
    <n v="0"/>
    <n v="98000"/>
    <n v="0"/>
    <n v="98000"/>
    <n v="0"/>
    <n v="0"/>
    <n v="0"/>
    <n v="98000"/>
    <n v="98000"/>
    <n v="0.05"/>
    <n v="4900"/>
    <m/>
    <m/>
    <m/>
    <m/>
    <m/>
    <n v="0.2"/>
    <n v="980"/>
    <n v="0"/>
    <n v="980"/>
  </r>
  <r>
    <x v="131"/>
    <m/>
    <x v="26"/>
    <x v="3"/>
    <m/>
    <m/>
    <x v="2"/>
    <x v="2"/>
    <m/>
    <d v="2020-08-17T00:00:00"/>
    <x v="1"/>
    <s v="6. Proposal declined"/>
    <n v="6.7"/>
    <m/>
    <m/>
    <m/>
    <m/>
    <m/>
    <d v="2020-08-19T00:00:00"/>
    <m/>
    <m/>
    <m/>
    <m/>
    <m/>
    <d v="2021-02-26T00:00:00"/>
    <s v="IPK"/>
    <m/>
    <m/>
    <m/>
    <m/>
    <m/>
    <m/>
    <s v="ITA"/>
    <s v="Ronnie Rego"/>
    <s v="Angelo Carvalho"/>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32"/>
    <s v="Additive manufacturing"/>
    <x v="85"/>
    <x v="2"/>
    <n v="1"/>
    <n v="0"/>
    <x v="2"/>
    <x v="2"/>
    <m/>
    <d v="2019-09-09T00:00:00"/>
    <x v="1"/>
    <s v="6. Proposal declined"/>
    <m/>
    <m/>
    <m/>
    <m/>
    <m/>
    <m/>
    <d v="2020-02-17T00:00:00"/>
    <m/>
    <m/>
    <m/>
    <m/>
    <m/>
    <m/>
    <s v="IPK"/>
    <m/>
    <m/>
    <m/>
    <m/>
    <m/>
    <m/>
    <s v="ITA"/>
    <s v="Lucas Robatto"/>
    <s v="Lucas Robatto"/>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33"/>
    <s v="Components of Commercial Shaft Specification"/>
    <x v="86"/>
    <x v="3"/>
    <m/>
    <m/>
    <x v="2"/>
    <x v="2"/>
    <m/>
    <m/>
    <x v="1"/>
    <s v="6. Proposal declined"/>
    <m/>
    <m/>
    <m/>
    <m/>
    <n v="4"/>
    <m/>
    <m/>
    <m/>
    <m/>
    <m/>
    <m/>
    <m/>
    <d v="2019-10-07T00:00:00"/>
    <s v="IPK"/>
    <m/>
    <m/>
    <m/>
    <m/>
    <m/>
    <m/>
    <s v="ITA"/>
    <s v="André Luiz Oliveira"/>
    <s v="Nathianne Moura / Artur Cantisano "/>
    <m/>
    <n v="33810"/>
    <m/>
    <m/>
    <m/>
    <m/>
    <m/>
    <m/>
    <m/>
    <m/>
    <m/>
    <m/>
    <m/>
    <m/>
    <m/>
    <m/>
    <m/>
    <m/>
    <m/>
    <s v="Meritor"/>
    <m/>
    <n v="33810"/>
    <m/>
    <m/>
    <m/>
    <m/>
    <m/>
    <m/>
    <m/>
    <m/>
    <m/>
    <m/>
    <m/>
    <m/>
    <m/>
    <m/>
    <m/>
    <m/>
    <m/>
    <m/>
    <m/>
    <n v="0"/>
    <n v="0"/>
    <n v="0"/>
    <n v="0"/>
    <n v="0"/>
    <e v="#DIV/0!"/>
    <e v="#DIV/0!"/>
    <s v="Industry"/>
    <n v="0"/>
    <n v="0"/>
    <n v="33810"/>
    <n v="33810"/>
    <n v="0"/>
    <n v="1"/>
    <s v="Industry"/>
    <n v="0"/>
    <n v="33810"/>
    <n v="33810"/>
    <n v="33810"/>
    <n v="0"/>
    <n v="33810"/>
    <n v="0"/>
    <n v="0"/>
    <n v="0"/>
    <n v="0"/>
    <n v="33810"/>
    <n v="0"/>
    <n v="0"/>
    <n v="0"/>
    <n v="33810"/>
    <n v="0"/>
    <m/>
    <n v="0"/>
    <m/>
    <m/>
    <m/>
    <m/>
    <m/>
    <m/>
    <n v="0"/>
    <n v="0"/>
    <n v="0"/>
  </r>
  <r>
    <x v="134"/>
    <s v="Modeling and identification of defects in class A surfaces and reinforcement B pillar (ROTA 2030, line IV, axis III)"/>
    <x v="7"/>
    <x v="2"/>
    <n v="15"/>
    <m/>
    <x v="2"/>
    <x v="1"/>
    <s v="Insert Public Funding"/>
    <d v="2020-05-21T00:00:00"/>
    <x v="4"/>
    <s v="5. Project running"/>
    <n v="6.38"/>
    <s v="BM04B"/>
    <m/>
    <m/>
    <n v="36"/>
    <m/>
    <m/>
    <m/>
    <d v="2020-07-08T00:00:00"/>
    <d v="2020-08-17T00:00:00"/>
    <d v="2020-12-12T00:00:00"/>
    <m/>
    <m/>
    <s v="IPK"/>
    <m/>
    <m/>
    <m/>
    <m/>
    <m/>
    <m/>
    <s v="ITA"/>
    <s v="Alfredo Faria "/>
    <s v="André Lima / André Luiz "/>
    <m/>
    <m/>
    <m/>
    <n v="649378.68338557996"/>
    <m/>
    <m/>
    <m/>
    <m/>
    <m/>
    <m/>
    <m/>
    <m/>
    <m/>
    <m/>
    <m/>
    <m/>
    <m/>
    <m/>
    <m/>
    <m/>
    <m/>
    <m/>
    <m/>
    <m/>
    <m/>
    <m/>
    <m/>
    <m/>
    <m/>
    <m/>
    <m/>
    <m/>
    <m/>
    <m/>
    <m/>
    <m/>
    <m/>
    <m/>
    <m/>
    <m/>
    <m/>
    <n v="0"/>
    <n v="0"/>
    <n v="0"/>
    <n v="0"/>
    <n v="0"/>
    <e v="#DIV/0!"/>
    <e v="#DIV/0!"/>
    <s v="Public Funding"/>
    <n v="0"/>
    <n v="0"/>
    <n v="649378.68338557996"/>
    <n v="0"/>
    <n v="649378.68338557996"/>
    <n v="0"/>
    <s v="Public Funding"/>
    <n v="0"/>
    <n v="649378.68338557996"/>
    <n v="649378.68338557996"/>
    <n v="0"/>
    <n v="0"/>
    <n v="0"/>
    <n v="649378.68338557996"/>
    <n v="0"/>
    <n v="649378.68338557996"/>
    <n v="0"/>
    <n v="649378.68338557996"/>
    <n v="0"/>
    <n v="0"/>
    <n v="0"/>
    <n v="649378.68338557996"/>
    <n v="0"/>
    <m/>
    <n v="0"/>
    <m/>
    <m/>
    <m/>
    <m/>
    <m/>
    <m/>
    <n v="0"/>
    <m/>
    <n v="0"/>
  </r>
  <r>
    <x v="135"/>
    <s v="Innovation Benchmarking for MWM"/>
    <x v="87"/>
    <x v="2"/>
    <m/>
    <m/>
    <x v="1"/>
    <x v="2"/>
    <m/>
    <m/>
    <x v="1"/>
    <s v="6. Proposal declined"/>
    <m/>
    <m/>
    <m/>
    <m/>
    <n v="18"/>
    <m/>
    <m/>
    <m/>
    <m/>
    <m/>
    <m/>
    <m/>
    <d v="2019-10-07T00:00:00"/>
    <s v="IPK"/>
    <m/>
    <m/>
    <n v="100000"/>
    <m/>
    <m/>
    <m/>
    <s v="ITA"/>
    <s v="Luiz Fonseca"/>
    <s v="Ronnie Rego"/>
    <m/>
    <n v="90000"/>
    <m/>
    <m/>
    <m/>
    <m/>
    <m/>
    <m/>
    <m/>
    <m/>
    <m/>
    <m/>
    <m/>
    <m/>
    <m/>
    <m/>
    <m/>
    <m/>
    <m/>
    <s v="MWM"/>
    <m/>
    <n v="190000"/>
    <m/>
    <m/>
    <m/>
    <m/>
    <m/>
    <m/>
    <m/>
    <m/>
    <m/>
    <m/>
    <m/>
    <m/>
    <m/>
    <m/>
    <m/>
    <m/>
    <m/>
    <m/>
    <m/>
    <n v="100000"/>
    <n v="100000"/>
    <n v="100000"/>
    <n v="0"/>
    <n v="0"/>
    <n v="1"/>
    <n v="1"/>
    <s v="Industry"/>
    <n v="0"/>
    <n v="100000"/>
    <n v="90000"/>
    <n v="90000"/>
    <n v="0"/>
    <n v="1"/>
    <s v="Industry"/>
    <n v="0"/>
    <n v="90000"/>
    <n v="190000"/>
    <n v="190000"/>
    <n v="0"/>
    <n v="190000"/>
    <n v="0"/>
    <n v="0"/>
    <n v="0"/>
    <n v="0"/>
    <n v="190000"/>
    <n v="0"/>
    <n v="0"/>
    <n v="0"/>
    <n v="190000"/>
    <n v="100000"/>
    <n v="0"/>
    <n v="0"/>
    <m/>
    <m/>
    <m/>
    <m/>
    <m/>
    <m/>
    <n v="0"/>
    <n v="0"/>
    <n v="0"/>
  </r>
  <r>
    <x v="136"/>
    <m/>
    <x v="54"/>
    <x v="3"/>
    <m/>
    <m/>
    <x v="1"/>
    <x v="1"/>
    <m/>
    <m/>
    <x v="1"/>
    <s v="6. Proposal declined"/>
    <m/>
    <m/>
    <m/>
    <m/>
    <m/>
    <m/>
    <m/>
    <m/>
    <m/>
    <m/>
    <m/>
    <m/>
    <d v="2019-10-07T00:00:00"/>
    <s v="IPK"/>
    <m/>
    <n v="60000"/>
    <m/>
    <m/>
    <m/>
    <m/>
    <s v="ITA"/>
    <s v="Milena Chanes"/>
    <s v="Ronnie Rego"/>
    <m/>
    <m/>
    <m/>
    <m/>
    <m/>
    <m/>
    <m/>
    <m/>
    <m/>
    <m/>
    <m/>
    <m/>
    <m/>
    <m/>
    <m/>
    <m/>
    <m/>
    <m/>
    <m/>
    <m/>
    <m/>
    <m/>
    <m/>
    <m/>
    <m/>
    <m/>
    <m/>
    <m/>
    <m/>
    <m/>
    <m/>
    <m/>
    <m/>
    <m/>
    <m/>
    <s v="BMBF"/>
    <m/>
    <n v="60000"/>
    <m/>
    <m/>
    <m/>
    <n v="60000"/>
    <n v="60000"/>
    <n v="60000"/>
    <n v="0"/>
    <n v="0"/>
    <n v="1"/>
    <n v="1"/>
    <s v="Public Funding"/>
    <n v="60000"/>
    <n v="0"/>
    <n v="0"/>
    <n v="0"/>
    <n v="0"/>
    <e v="#DIV/0!"/>
    <e v="#DIV/0!"/>
    <n v="0"/>
    <n v="0"/>
    <n v="60000"/>
    <n v="60000"/>
    <n v="60000"/>
    <n v="0"/>
    <n v="0"/>
    <n v="0"/>
    <n v="0"/>
    <n v="60000"/>
    <n v="0"/>
    <n v="0"/>
    <n v="0"/>
    <n v="0"/>
    <n v="60000"/>
    <n v="60000"/>
    <n v="0"/>
    <n v="0"/>
    <m/>
    <m/>
    <m/>
    <m/>
    <m/>
    <m/>
    <n v="0"/>
    <n v="0"/>
    <n v="0"/>
  </r>
  <r>
    <x v="137"/>
    <m/>
    <x v="54"/>
    <x v="0"/>
    <m/>
    <m/>
    <x v="1"/>
    <x v="1"/>
    <m/>
    <m/>
    <x v="6"/>
    <s v="5. Project running"/>
    <m/>
    <m/>
    <m/>
    <d v="2019-05-01T00:00:00"/>
    <m/>
    <d v="2019-10-31T00:00:00"/>
    <m/>
    <m/>
    <m/>
    <m/>
    <d v="2019-05-01T00:00:00"/>
    <d v="2020-06-25T00:00:00"/>
    <m/>
    <s v="IPK"/>
    <s v="Tiago Klein"/>
    <n v="0"/>
    <n v="0"/>
    <n v="42562"/>
    <n v="0"/>
    <n v="0"/>
    <s v="ITA"/>
    <s v="Ronnie Rego"/>
    <s v="Ronnie Rego"/>
    <n v="0"/>
    <m/>
    <n v="0"/>
    <n v="0"/>
    <n v="0"/>
    <s v="N/A"/>
    <s v="N/A"/>
    <n v="0"/>
    <n v="0"/>
    <n v="0"/>
    <n v="0"/>
    <n v="0"/>
    <s v="N/A"/>
    <s v="N/A"/>
    <n v="0"/>
    <n v="0"/>
    <n v="0"/>
    <n v="0"/>
    <n v="0"/>
    <s v="N/A"/>
    <s v="N/A"/>
    <n v="0"/>
    <n v="0"/>
    <s v="N/A"/>
    <s v="N/A"/>
    <n v="0"/>
    <n v="0"/>
    <s v="N/A"/>
    <s v="N/A"/>
    <n v="0"/>
    <n v="0"/>
    <s v="N/A"/>
    <s v="N/A"/>
    <n v="0"/>
    <n v="0"/>
    <s v="BMBF"/>
    <s v="Stephanie Splett"/>
    <n v="42562"/>
    <s v="N/A"/>
    <s v="N/A"/>
    <n v="0"/>
    <n v="42562"/>
    <n v="42562"/>
    <n v="0"/>
    <n v="42562"/>
    <n v="0"/>
    <n v="1"/>
    <n v="0"/>
    <s v="Public Funding"/>
    <n v="42562"/>
    <n v="0"/>
    <n v="0"/>
    <n v="0"/>
    <n v="0"/>
    <e v="#DIV/0!"/>
    <e v="#DIV/0!"/>
    <n v="0"/>
    <n v="0"/>
    <n v="42562"/>
    <n v="0"/>
    <n v="0"/>
    <n v="0"/>
    <n v="42562"/>
    <n v="42562"/>
    <n v="0"/>
    <n v="42562"/>
    <n v="0"/>
    <n v="0"/>
    <n v="0"/>
    <n v="0"/>
    <n v="42562"/>
    <n v="42562"/>
    <n v="1"/>
    <n v="42562"/>
    <m/>
    <m/>
    <n v="24321"/>
    <m/>
    <m/>
    <n v="0.15"/>
    <n v="6384.3"/>
    <n v="11856.7"/>
    <n v="18241"/>
  </r>
  <r>
    <x v="138"/>
    <m/>
    <x v="88"/>
    <x v="2"/>
    <m/>
    <m/>
    <x v="2"/>
    <x v="2"/>
    <m/>
    <m/>
    <x v="6"/>
    <s v="5. Project running"/>
    <m/>
    <m/>
    <m/>
    <m/>
    <m/>
    <m/>
    <m/>
    <m/>
    <m/>
    <m/>
    <m/>
    <m/>
    <m/>
    <s v="IPK"/>
    <s v="N/A"/>
    <n v="0"/>
    <n v="0"/>
    <n v="0"/>
    <n v="0"/>
    <n v="0"/>
    <s v="ITA"/>
    <s v="Natália D'Ávila"/>
    <s v="Fábio Sena / Natália D´Ávila "/>
    <n v="0"/>
    <m/>
    <n v="0"/>
    <n v="70238"/>
    <n v="0"/>
    <s v="N/A"/>
    <s v="N/A"/>
    <n v="0"/>
    <n v="0"/>
    <n v="0"/>
    <n v="0"/>
    <n v="0"/>
    <s v="N/A"/>
    <s v="N/A"/>
    <n v="0"/>
    <n v="0"/>
    <n v="0"/>
    <n v="0"/>
    <n v="0"/>
    <s v="GM"/>
    <s v="Carlos Sakuramoto"/>
    <n v="70238"/>
    <n v="0"/>
    <s v="N/A"/>
    <s v="N/A"/>
    <n v="0"/>
    <n v="0"/>
    <s v="N/A"/>
    <s v="N/A"/>
    <n v="0"/>
    <n v="0"/>
    <s v="N/A"/>
    <s v="N/A"/>
    <n v="0"/>
    <n v="0"/>
    <s v="N/A"/>
    <s v="N/A"/>
    <n v="0"/>
    <s v="N/A"/>
    <s v="N/A"/>
    <n v="0"/>
    <n v="0"/>
    <n v="0"/>
    <n v="0"/>
    <n v="0"/>
    <n v="0"/>
    <e v="#DIV/0!"/>
    <e v="#DIV/0!"/>
    <s v="Industry"/>
    <n v="0"/>
    <n v="0"/>
    <n v="70238"/>
    <n v="0"/>
    <n v="70238"/>
    <n v="0"/>
    <s v="Public Funding"/>
    <n v="0"/>
    <n v="70238"/>
    <n v="70238"/>
    <n v="0"/>
    <n v="0"/>
    <n v="0"/>
    <n v="70238"/>
    <n v="0"/>
    <n v="70238"/>
    <n v="0"/>
    <n v="70238"/>
    <n v="0"/>
    <n v="0"/>
    <n v="0"/>
    <n v="70238"/>
    <n v="0"/>
    <n v="0"/>
    <n v="0"/>
    <m/>
    <m/>
    <m/>
    <m/>
    <m/>
    <n v="0"/>
    <n v="0"/>
    <n v="0"/>
    <n v="0"/>
  </r>
  <r>
    <x v="139"/>
    <m/>
    <x v="17"/>
    <x v="5"/>
    <m/>
    <m/>
    <x v="0"/>
    <x v="2"/>
    <m/>
    <m/>
    <x v="5"/>
    <m/>
    <m/>
    <m/>
    <m/>
    <m/>
    <m/>
    <m/>
    <m/>
    <m/>
    <m/>
    <m/>
    <m/>
    <m/>
    <m/>
    <s v="IPK"/>
    <m/>
    <m/>
    <m/>
    <m/>
    <m/>
    <m/>
    <s v="ITA"/>
    <m/>
    <m/>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n v="0"/>
    <n v="0"/>
  </r>
  <r>
    <x v="140"/>
    <s v="Optical character recognition"/>
    <x v="88"/>
    <x v="2"/>
    <n v="2"/>
    <n v="1"/>
    <x v="0"/>
    <x v="2"/>
    <s v="Proposal conducted by startup Lume and IPK. To be revisited in late 2020 or 2021 (COVID-19)"/>
    <d v="2020-03-01T00:00:00"/>
    <x v="1"/>
    <m/>
    <m/>
    <m/>
    <m/>
    <m/>
    <n v="9"/>
    <m/>
    <d v="2020-03-01T00:00:00"/>
    <m/>
    <d v="2020-03-31T00:00:00"/>
    <m/>
    <m/>
    <m/>
    <m/>
    <s v="IPK"/>
    <s v="Johannes Hügele"/>
    <m/>
    <n v="50000"/>
    <m/>
    <m/>
    <m/>
    <s v="ITA"/>
    <s v="Fábio Sena"/>
    <s v="Fábio Sena / Natália D´Ávila "/>
    <m/>
    <m/>
    <m/>
    <m/>
    <m/>
    <m/>
    <m/>
    <m/>
    <m/>
    <m/>
    <m/>
    <m/>
    <m/>
    <m/>
    <m/>
    <m/>
    <m/>
    <m/>
    <m/>
    <s v="General Motors"/>
    <s v="Décio"/>
    <m/>
    <m/>
    <m/>
    <m/>
    <m/>
    <m/>
    <m/>
    <m/>
    <m/>
    <m/>
    <m/>
    <m/>
    <m/>
    <m/>
    <s v="General Motors"/>
    <m/>
    <m/>
    <m/>
    <m/>
    <m/>
    <n v="50000"/>
    <n v="50000"/>
    <n v="50000"/>
    <n v="0"/>
    <n v="0"/>
    <n v="1"/>
    <n v="1"/>
    <s v="Industry"/>
    <n v="0"/>
    <n v="50000"/>
    <n v="0"/>
    <n v="0"/>
    <n v="0"/>
    <e v="#DIV/0!"/>
    <e v="#DIV/0!"/>
    <n v="0"/>
    <n v="0"/>
    <n v="50000"/>
    <n v="50000"/>
    <n v="0"/>
    <n v="50000"/>
    <n v="0"/>
    <n v="0"/>
    <n v="0"/>
    <n v="0"/>
    <n v="50000"/>
    <n v="0"/>
    <n v="0"/>
    <n v="0"/>
    <n v="50000"/>
    <n v="50000"/>
    <n v="0.1"/>
    <n v="5000"/>
    <m/>
    <m/>
    <m/>
    <m/>
    <m/>
    <n v="0.2"/>
    <n v="1000"/>
    <m/>
    <n v="1000"/>
  </r>
  <r>
    <x v="141"/>
    <m/>
    <x v="17"/>
    <x v="5"/>
    <m/>
    <m/>
    <x v="0"/>
    <x v="2"/>
    <m/>
    <m/>
    <x v="2"/>
    <m/>
    <m/>
    <m/>
    <m/>
    <m/>
    <m/>
    <m/>
    <m/>
    <m/>
    <m/>
    <m/>
    <m/>
    <m/>
    <m/>
    <s v="IPK"/>
    <m/>
    <m/>
    <m/>
    <m/>
    <m/>
    <m/>
    <s v="ITA"/>
    <m/>
    <m/>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n v="0"/>
    <n v="0"/>
  </r>
  <r>
    <x v="142"/>
    <m/>
    <x v="17"/>
    <x v="5"/>
    <m/>
    <m/>
    <x v="0"/>
    <x v="2"/>
    <m/>
    <m/>
    <x v="1"/>
    <m/>
    <m/>
    <m/>
    <m/>
    <m/>
    <m/>
    <m/>
    <m/>
    <m/>
    <m/>
    <m/>
    <m/>
    <m/>
    <d v="2021-05-27T00:00:00"/>
    <s v="IPK"/>
    <m/>
    <m/>
    <n v="45000"/>
    <m/>
    <m/>
    <m/>
    <s v="ITA"/>
    <m/>
    <m/>
    <m/>
    <m/>
    <m/>
    <m/>
    <m/>
    <m/>
    <m/>
    <m/>
    <m/>
    <m/>
    <m/>
    <m/>
    <m/>
    <m/>
    <m/>
    <m/>
    <m/>
    <m/>
    <m/>
    <s v="EMBRAER"/>
    <m/>
    <n v="45000"/>
    <m/>
    <m/>
    <m/>
    <m/>
    <m/>
    <m/>
    <m/>
    <m/>
    <m/>
    <m/>
    <m/>
    <m/>
    <m/>
    <m/>
    <m/>
    <m/>
    <m/>
    <m/>
    <m/>
    <n v="45000"/>
    <n v="45000"/>
    <n v="45000"/>
    <n v="0"/>
    <n v="0"/>
    <n v="1"/>
    <n v="1"/>
    <s v="Industry"/>
    <n v="0"/>
    <n v="45000"/>
    <n v="0"/>
    <n v="0"/>
    <n v="0"/>
    <e v="#DIV/0!"/>
    <e v="#DIV/0!"/>
    <n v="0"/>
    <n v="0"/>
    <n v="45000"/>
    <n v="45000"/>
    <n v="0"/>
    <n v="45000"/>
    <n v="0"/>
    <n v="0"/>
    <n v="0"/>
    <n v="0"/>
    <n v="45000"/>
    <n v="0"/>
    <n v="0"/>
    <n v="0"/>
    <n v="45000"/>
    <n v="45000"/>
    <n v="0.01"/>
    <n v="450"/>
    <m/>
    <m/>
    <m/>
    <m/>
    <m/>
    <n v="0.2"/>
    <n v="90"/>
    <n v="0"/>
    <n v="90"/>
  </r>
  <r>
    <x v="143"/>
    <s v="Tooling and Process Parameters Optimization for the Resistance Welding of Steel Wires"/>
    <x v="89"/>
    <x v="3"/>
    <n v="1"/>
    <n v="0"/>
    <x v="1"/>
    <x v="2"/>
    <s v="To be revisited in 2021 (COVID-19)"/>
    <d v="2020-03-01T00:00:00"/>
    <x v="1"/>
    <s v="6. Proposal declined"/>
    <m/>
    <m/>
    <m/>
    <m/>
    <m/>
    <m/>
    <d v="2019-12-10T00:00:00"/>
    <m/>
    <d v="2020-03-25T00:00:00"/>
    <m/>
    <m/>
    <m/>
    <d v="2020-07-08T00:00:00"/>
    <s v="IPK"/>
    <s v="Tiago Klein"/>
    <m/>
    <n v="40000"/>
    <m/>
    <m/>
    <m/>
    <s v="ITA"/>
    <s v="Tiago Colombo"/>
    <s v="Ronnie Rego"/>
    <m/>
    <n v="33333.333333333336"/>
    <m/>
    <m/>
    <m/>
    <m/>
    <m/>
    <m/>
    <m/>
    <m/>
    <m/>
    <m/>
    <m/>
    <m/>
    <m/>
    <m/>
    <m/>
    <m/>
    <m/>
    <s v="ZF"/>
    <m/>
    <m/>
    <m/>
    <m/>
    <m/>
    <m/>
    <m/>
    <m/>
    <m/>
    <m/>
    <m/>
    <m/>
    <m/>
    <m/>
    <m/>
    <m/>
    <m/>
    <m/>
    <m/>
    <m/>
    <m/>
    <n v="40000"/>
    <n v="40000"/>
    <n v="40000"/>
    <n v="0"/>
    <n v="0"/>
    <n v="1"/>
    <n v="1"/>
    <s v="Industry"/>
    <n v="0"/>
    <n v="40000"/>
    <n v="33333.333333333336"/>
    <n v="33333.333333333336"/>
    <n v="0"/>
    <n v="1"/>
    <s v="Industry"/>
    <n v="0"/>
    <n v="33333.333333333336"/>
    <n v="73333.333333333343"/>
    <n v="73333.333333333343"/>
    <n v="0"/>
    <n v="73333.333333333343"/>
    <n v="0"/>
    <n v="0"/>
    <n v="0"/>
    <n v="0"/>
    <n v="73333.333333333343"/>
    <n v="0"/>
    <n v="0"/>
    <n v="0"/>
    <n v="73333.333333333343"/>
    <n v="40000"/>
    <n v="0.1"/>
    <n v="4000"/>
    <m/>
    <m/>
    <m/>
    <m/>
    <m/>
    <n v="0.2"/>
    <n v="800"/>
    <m/>
    <n v="800"/>
  </r>
  <r>
    <x v="144"/>
    <s v="Milling of icon reeds"/>
    <x v="90"/>
    <x v="3"/>
    <n v="1"/>
    <n v="0"/>
    <x v="2"/>
    <x v="2"/>
    <m/>
    <d v="2020-01-27T00:00:00"/>
    <x v="1"/>
    <s v="6. Proposal declined"/>
    <m/>
    <m/>
    <m/>
    <m/>
    <m/>
    <m/>
    <d v="2020-01-27T00:00:00"/>
    <m/>
    <m/>
    <m/>
    <m/>
    <m/>
    <m/>
    <s v="IPK"/>
    <m/>
    <m/>
    <m/>
    <m/>
    <m/>
    <m/>
    <s v="ITA"/>
    <s v="Anderson Borille "/>
    <s v="Tédni Goulart  / Givan Macedo "/>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45"/>
    <m/>
    <x v="91"/>
    <x v="8"/>
    <n v="1"/>
    <m/>
    <x v="0"/>
    <x v="2"/>
    <m/>
    <m/>
    <x v="5"/>
    <m/>
    <m/>
    <m/>
    <m/>
    <m/>
    <m/>
    <m/>
    <m/>
    <m/>
    <m/>
    <m/>
    <m/>
    <m/>
    <m/>
    <s v="IPK"/>
    <m/>
    <m/>
    <m/>
    <m/>
    <m/>
    <m/>
    <s v="ITA"/>
    <m/>
    <m/>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46"/>
    <s v="Phootonics and Optoelectronics Network Plus"/>
    <x v="92"/>
    <x v="0"/>
    <m/>
    <n v="3"/>
    <x v="0"/>
    <x v="1"/>
    <m/>
    <m/>
    <x v="6"/>
    <m/>
    <m/>
    <m/>
    <m/>
    <d v="2016-11-29T00:00:00"/>
    <m/>
    <d v="2019-12-31T00:00:00"/>
    <m/>
    <m/>
    <m/>
    <m/>
    <d v="2016-11-29T00:00:00"/>
    <m/>
    <m/>
    <s v="IPK"/>
    <s v="David Domingos"/>
    <m/>
    <m/>
    <n v="67687"/>
    <m/>
    <n v="24000"/>
    <s v="ITA"/>
    <m/>
    <m/>
    <m/>
    <m/>
    <m/>
    <m/>
    <m/>
    <m/>
    <m/>
    <m/>
    <m/>
    <m/>
    <m/>
    <m/>
    <m/>
    <m/>
    <m/>
    <m/>
    <m/>
    <m/>
    <m/>
    <m/>
    <m/>
    <m/>
    <m/>
    <m/>
    <m/>
    <m/>
    <m/>
    <m/>
    <m/>
    <m/>
    <m/>
    <m/>
    <m/>
    <m/>
    <m/>
    <s v="IBB"/>
    <m/>
    <n v="67687.070000000007"/>
    <m/>
    <m/>
    <m/>
    <n v="91687"/>
    <n v="67687"/>
    <n v="0"/>
    <n v="67687"/>
    <n v="24000"/>
    <n v="0.73823988133541285"/>
    <n v="0"/>
    <s v="Public Funding"/>
    <n v="67687"/>
    <n v="0"/>
    <n v="0"/>
    <n v="0"/>
    <n v="0"/>
    <e v="#DIV/0!"/>
    <e v="#DIV/0!"/>
    <n v="0"/>
    <n v="0"/>
    <n v="91687"/>
    <n v="0"/>
    <n v="0"/>
    <n v="0"/>
    <n v="67687"/>
    <n v="67687"/>
    <n v="0"/>
    <n v="67687"/>
    <n v="0"/>
    <n v="0"/>
    <n v="0"/>
    <n v="0"/>
    <n v="91687"/>
    <n v="67687"/>
    <n v="1"/>
    <n v="67687"/>
    <m/>
    <m/>
    <m/>
    <m/>
    <m/>
    <n v="0"/>
    <n v="0"/>
    <n v="91687"/>
    <n v="91687"/>
  </r>
  <r>
    <x v="147"/>
    <m/>
    <x v="93"/>
    <x v="1"/>
    <m/>
    <m/>
    <x v="0"/>
    <x v="2"/>
    <m/>
    <m/>
    <x v="1"/>
    <m/>
    <m/>
    <m/>
    <m/>
    <m/>
    <m/>
    <m/>
    <m/>
    <m/>
    <s v="24.06.2019"/>
    <m/>
    <m/>
    <m/>
    <d v="2020-03-20T00:00:00"/>
    <s v="IPK"/>
    <s v="David Domingos"/>
    <m/>
    <n v="32000"/>
    <m/>
    <m/>
    <m/>
    <s v="ITA"/>
    <m/>
    <m/>
    <m/>
    <m/>
    <m/>
    <m/>
    <m/>
    <m/>
    <m/>
    <m/>
    <m/>
    <m/>
    <m/>
    <m/>
    <m/>
    <m/>
    <m/>
    <m/>
    <m/>
    <m/>
    <m/>
    <s v="TGM Turbinas"/>
    <s v="Luiz Rufato"/>
    <n v="32000"/>
    <m/>
    <m/>
    <m/>
    <m/>
    <m/>
    <m/>
    <m/>
    <m/>
    <m/>
    <m/>
    <m/>
    <m/>
    <m/>
    <m/>
    <m/>
    <m/>
    <m/>
    <m/>
    <m/>
    <n v="32000"/>
    <n v="32000"/>
    <n v="32000"/>
    <n v="0"/>
    <n v="0"/>
    <n v="1"/>
    <n v="1"/>
    <s v="Industry"/>
    <n v="0"/>
    <n v="32000"/>
    <n v="0"/>
    <n v="0"/>
    <n v="0"/>
    <e v="#DIV/0!"/>
    <e v="#DIV/0!"/>
    <n v="0"/>
    <n v="0"/>
    <n v="32000"/>
    <n v="32000"/>
    <n v="0"/>
    <n v="32000"/>
    <n v="0"/>
    <n v="0"/>
    <n v="0"/>
    <n v="0"/>
    <n v="32000"/>
    <n v="0"/>
    <n v="0"/>
    <n v="0"/>
    <n v="32000"/>
    <n v="32000"/>
    <m/>
    <n v="0"/>
    <m/>
    <m/>
    <m/>
    <m/>
    <m/>
    <m/>
    <n v="0"/>
    <n v="0"/>
    <n v="0"/>
  </r>
  <r>
    <x v="148"/>
    <s v="Technology mapping and specimen design study"/>
    <x v="91"/>
    <x v="8"/>
    <m/>
    <m/>
    <x v="0"/>
    <x v="2"/>
    <m/>
    <m/>
    <x v="1"/>
    <m/>
    <m/>
    <m/>
    <m/>
    <m/>
    <m/>
    <m/>
    <m/>
    <m/>
    <d v="2020-04-01T00:00:00"/>
    <d v="2020-06-03T00:00:00"/>
    <m/>
    <m/>
    <m/>
    <s v="IPK"/>
    <s v="David Domingos"/>
    <m/>
    <n v="47500"/>
    <m/>
    <m/>
    <m/>
    <s v="ITA"/>
    <m/>
    <m/>
    <m/>
    <m/>
    <m/>
    <m/>
    <m/>
    <m/>
    <m/>
    <m/>
    <m/>
    <m/>
    <m/>
    <m/>
    <m/>
    <m/>
    <m/>
    <m/>
    <m/>
    <m/>
    <m/>
    <s v="Petrobras/ SENAI ISI Laser"/>
    <m/>
    <n v="45000"/>
    <m/>
    <m/>
    <m/>
    <m/>
    <m/>
    <m/>
    <m/>
    <m/>
    <m/>
    <m/>
    <m/>
    <m/>
    <m/>
    <m/>
    <m/>
    <m/>
    <m/>
    <m/>
    <m/>
    <n v="47500"/>
    <n v="47500"/>
    <n v="47500"/>
    <n v="0"/>
    <n v="0"/>
    <n v="1"/>
    <n v="1"/>
    <s v="Industry"/>
    <n v="0"/>
    <n v="47500"/>
    <n v="0"/>
    <n v="0"/>
    <n v="0"/>
    <e v="#DIV/0!"/>
    <e v="#DIV/0!"/>
    <n v="0"/>
    <n v="0"/>
    <n v="47500"/>
    <n v="47500"/>
    <n v="0"/>
    <n v="47500"/>
    <n v="0"/>
    <n v="0"/>
    <n v="0"/>
    <n v="0"/>
    <n v="47500"/>
    <n v="0"/>
    <n v="0"/>
    <n v="0"/>
    <n v="47500"/>
    <n v="47500"/>
    <n v="0.75"/>
    <n v="35625"/>
    <m/>
    <m/>
    <m/>
    <m/>
    <m/>
    <n v="0.2"/>
    <n v="7125"/>
    <n v="0"/>
    <n v="7125"/>
  </r>
  <r>
    <x v="149"/>
    <m/>
    <x v="94"/>
    <x v="0"/>
    <m/>
    <m/>
    <x v="0"/>
    <x v="2"/>
    <m/>
    <m/>
    <x v="1"/>
    <s v="6. Proposal declined"/>
    <m/>
    <m/>
    <m/>
    <m/>
    <m/>
    <m/>
    <m/>
    <m/>
    <m/>
    <m/>
    <m/>
    <m/>
    <m/>
    <s v="IPK"/>
    <m/>
    <m/>
    <n v="390000"/>
    <m/>
    <m/>
    <m/>
    <s v="ITA"/>
    <m/>
    <m/>
    <m/>
    <m/>
    <m/>
    <m/>
    <m/>
    <m/>
    <m/>
    <m/>
    <m/>
    <m/>
    <m/>
    <m/>
    <m/>
    <m/>
    <m/>
    <m/>
    <m/>
    <m/>
    <m/>
    <s v="Abicalcados"/>
    <m/>
    <n v="390000"/>
    <m/>
    <m/>
    <m/>
    <m/>
    <m/>
    <m/>
    <m/>
    <m/>
    <m/>
    <m/>
    <m/>
    <m/>
    <m/>
    <m/>
    <m/>
    <m/>
    <m/>
    <m/>
    <m/>
    <n v="390000"/>
    <n v="390000"/>
    <n v="390000"/>
    <n v="0"/>
    <n v="0"/>
    <n v="1"/>
    <n v="1"/>
    <s v="Industry"/>
    <n v="0"/>
    <n v="390000"/>
    <n v="0"/>
    <n v="0"/>
    <n v="0"/>
    <e v="#DIV/0!"/>
    <e v="#DIV/0!"/>
    <n v="0"/>
    <n v="0"/>
    <n v="390000"/>
    <n v="390000"/>
    <n v="0"/>
    <n v="390000"/>
    <n v="0"/>
    <n v="0"/>
    <n v="0"/>
    <n v="0"/>
    <n v="390000"/>
    <n v="0"/>
    <n v="0"/>
    <n v="0"/>
    <n v="390000"/>
    <n v="390000"/>
    <n v="0"/>
    <n v="0"/>
    <m/>
    <m/>
    <m/>
    <m/>
    <m/>
    <m/>
    <n v="0"/>
    <n v="0"/>
    <n v="0"/>
  </r>
  <r>
    <x v="150"/>
    <s v="Vibroacustic Analysis of Components"/>
    <x v="95"/>
    <x v="2"/>
    <n v="1"/>
    <n v="0"/>
    <x v="2"/>
    <x v="2"/>
    <m/>
    <d v="2019-09-09T00:00:00"/>
    <x v="1"/>
    <s v="6. Proposal declined"/>
    <m/>
    <m/>
    <m/>
    <m/>
    <m/>
    <m/>
    <m/>
    <m/>
    <m/>
    <m/>
    <m/>
    <m/>
    <d v="2019-10-07T00:00:00"/>
    <s v="IPK"/>
    <m/>
    <m/>
    <m/>
    <m/>
    <m/>
    <m/>
    <s v="ITA"/>
    <s v="Alfredo faria "/>
    <s v="André Lima / André Luiz "/>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51"/>
    <m/>
    <x v="96"/>
    <x v="3"/>
    <n v="1"/>
    <n v="1"/>
    <x v="0"/>
    <x v="2"/>
    <m/>
    <d v="2019-12-01T00:00:00"/>
    <x v="0"/>
    <m/>
    <m/>
    <m/>
    <m/>
    <d v="2021-01-01T00:00:00"/>
    <n v="4"/>
    <m/>
    <d v="2019-12-01T00:00:00"/>
    <m/>
    <d v="2020-09-01T00:00:00"/>
    <m/>
    <m/>
    <m/>
    <m/>
    <s v="IPK"/>
    <s v="Christoph Hein"/>
    <m/>
    <n v="55000"/>
    <m/>
    <m/>
    <m/>
    <m/>
    <m/>
    <m/>
    <m/>
    <m/>
    <m/>
    <m/>
    <m/>
    <m/>
    <m/>
    <m/>
    <m/>
    <m/>
    <m/>
    <m/>
    <m/>
    <m/>
    <m/>
    <m/>
    <m/>
    <m/>
    <m/>
    <s v="Sabó"/>
    <s v="Luciano Pinto"/>
    <n v="55000"/>
    <m/>
    <m/>
    <m/>
    <m/>
    <m/>
    <m/>
    <m/>
    <m/>
    <m/>
    <m/>
    <m/>
    <m/>
    <m/>
    <m/>
    <m/>
    <m/>
    <m/>
    <m/>
    <m/>
    <n v="55000"/>
    <n v="55000"/>
    <n v="55000"/>
    <n v="0"/>
    <n v="0"/>
    <n v="1"/>
    <n v="1"/>
    <s v="Industry"/>
    <n v="0"/>
    <n v="55000"/>
    <n v="0"/>
    <n v="0"/>
    <n v="0"/>
    <e v="#DIV/0!"/>
    <e v="#DIV/0!"/>
    <n v="0"/>
    <n v="0"/>
    <n v="55000"/>
    <n v="55000"/>
    <n v="0"/>
    <n v="55000"/>
    <n v="0"/>
    <n v="0"/>
    <n v="0"/>
    <n v="0"/>
    <n v="55000"/>
    <n v="0"/>
    <n v="0"/>
    <n v="0"/>
    <n v="55000"/>
    <n v="55000"/>
    <n v="0.2"/>
    <n v="11000"/>
    <m/>
    <m/>
    <m/>
    <m/>
    <m/>
    <n v="0.2"/>
    <n v="2200"/>
    <n v="0"/>
    <n v="2200"/>
  </r>
  <r>
    <x v="152"/>
    <s v="REPEMA/Collaborative robotics"/>
    <x v="97"/>
    <x v="3"/>
    <n v="1"/>
    <n v="0"/>
    <x v="2"/>
    <x v="1"/>
    <m/>
    <m/>
    <x v="1"/>
    <s v="6. Proposal declined"/>
    <m/>
    <m/>
    <m/>
    <m/>
    <n v="24"/>
    <m/>
    <m/>
    <m/>
    <m/>
    <m/>
    <m/>
    <m/>
    <d v="2019-09-11T00:00:00"/>
    <s v="IPK"/>
    <m/>
    <m/>
    <m/>
    <m/>
    <m/>
    <m/>
    <s v="ITA"/>
    <s v="Emília Vilanni "/>
    <s v="Weslley Oliveira / Aline Matheus "/>
    <m/>
    <m/>
    <m/>
    <n v="463918.72144000372"/>
    <m/>
    <m/>
    <m/>
    <m/>
    <m/>
    <m/>
    <m/>
    <m/>
    <m/>
    <m/>
    <m/>
    <m/>
    <m/>
    <m/>
    <m/>
    <m/>
    <m/>
    <n v="463918.72144000372"/>
    <m/>
    <m/>
    <m/>
    <m/>
    <m/>
    <m/>
    <m/>
    <m/>
    <m/>
    <m/>
    <m/>
    <m/>
    <m/>
    <s v="UFABC (ROTA 2030)"/>
    <m/>
    <m/>
    <m/>
    <m/>
    <m/>
    <n v="0"/>
    <n v="0"/>
    <n v="0"/>
    <n v="0"/>
    <n v="0"/>
    <e v="#DIV/0!"/>
    <e v="#DIV/0!"/>
    <s v="Public Funding"/>
    <n v="0"/>
    <n v="0"/>
    <n v="463918.72144000372"/>
    <n v="0"/>
    <n v="463918.72144000372"/>
    <n v="0"/>
    <s v="Public Funding"/>
    <n v="0"/>
    <n v="463918.72144000372"/>
    <n v="463918.72144000372"/>
    <n v="0"/>
    <n v="0"/>
    <n v="0"/>
    <n v="463918.72144000372"/>
    <n v="0"/>
    <n v="463918.72144000372"/>
    <n v="0"/>
    <n v="463918.72144000372"/>
    <n v="0"/>
    <n v="0"/>
    <n v="0"/>
    <n v="463918.72144000372"/>
    <n v="0"/>
    <m/>
    <n v="0"/>
    <m/>
    <m/>
    <m/>
    <m/>
    <m/>
    <m/>
    <n v="0"/>
    <m/>
    <n v="0"/>
  </r>
  <r>
    <x v="153"/>
    <s v="REVVAMP-Bearings and gears of velocity variator"/>
    <x v="49"/>
    <x v="8"/>
    <m/>
    <m/>
    <x v="2"/>
    <x v="1"/>
    <m/>
    <m/>
    <x v="1"/>
    <s v="6. Proposal declined"/>
    <m/>
    <m/>
    <m/>
    <m/>
    <n v="48"/>
    <m/>
    <m/>
    <m/>
    <m/>
    <m/>
    <m/>
    <m/>
    <d v="2019-10-07T00:00:00"/>
    <s v="IPK"/>
    <m/>
    <m/>
    <m/>
    <m/>
    <m/>
    <m/>
    <s v="ITA"/>
    <s v="Rodrigo Metzger"/>
    <s v="Nathianne Moura / Artur Cantisano "/>
    <m/>
    <m/>
    <m/>
    <n v="1333333"/>
    <m/>
    <m/>
    <m/>
    <m/>
    <m/>
    <m/>
    <m/>
    <m/>
    <m/>
    <m/>
    <m/>
    <m/>
    <m/>
    <m/>
    <m/>
    <s v="Petrobras"/>
    <m/>
    <m/>
    <m/>
    <m/>
    <m/>
    <m/>
    <m/>
    <m/>
    <m/>
    <m/>
    <m/>
    <m/>
    <m/>
    <m/>
    <m/>
    <s v="ANP"/>
    <m/>
    <m/>
    <m/>
    <m/>
    <m/>
    <n v="0"/>
    <n v="0"/>
    <n v="0"/>
    <n v="0"/>
    <n v="0"/>
    <e v="#DIV/0!"/>
    <e v="#DIV/0!"/>
    <s v="Public Funding"/>
    <n v="0"/>
    <n v="0"/>
    <n v="1333333"/>
    <n v="0"/>
    <n v="1333333"/>
    <n v="0"/>
    <s v="Public Funding"/>
    <n v="0"/>
    <n v="1333333"/>
    <n v="1333333"/>
    <n v="0"/>
    <n v="0"/>
    <n v="0"/>
    <n v="1333333"/>
    <n v="0"/>
    <n v="1333333"/>
    <n v="0"/>
    <n v="1333333"/>
    <n v="0"/>
    <n v="0"/>
    <n v="0"/>
    <n v="1333333"/>
    <n v="0"/>
    <m/>
    <n v="0"/>
    <m/>
    <m/>
    <m/>
    <m/>
    <m/>
    <m/>
    <n v="0"/>
    <n v="0"/>
    <n v="0"/>
  </r>
  <r>
    <x v="154"/>
    <s v="Method for integrity diagnosis of wind turbine geaarboxes"/>
    <x v="98"/>
    <x v="1"/>
    <n v="1"/>
    <n v="0"/>
    <x v="2"/>
    <x v="2"/>
    <m/>
    <d v="2019-09-09T00:00:00"/>
    <x v="4"/>
    <s v="5. Project running"/>
    <n v="6.63"/>
    <s v="BM01"/>
    <m/>
    <m/>
    <n v="15"/>
    <m/>
    <m/>
    <m/>
    <d v="2019-09-19T00:00:00"/>
    <d v="2020-06-15T00:00:00"/>
    <d v="2020-09-29T00:00:00"/>
    <m/>
    <m/>
    <s v="IPK"/>
    <m/>
    <m/>
    <m/>
    <m/>
    <m/>
    <m/>
    <s v="ITA"/>
    <s v="André Oliveira"/>
    <s v="Angelo Carvalho"/>
    <m/>
    <n v="60331.825037707393"/>
    <m/>
    <m/>
    <m/>
    <m/>
    <m/>
    <m/>
    <m/>
    <m/>
    <m/>
    <m/>
    <m/>
    <m/>
    <m/>
    <m/>
    <m/>
    <m/>
    <m/>
    <s v="Rio Energy"/>
    <s v="Jhonatas "/>
    <m/>
    <m/>
    <m/>
    <m/>
    <m/>
    <m/>
    <m/>
    <m/>
    <m/>
    <m/>
    <m/>
    <m/>
    <m/>
    <m/>
    <m/>
    <m/>
    <m/>
    <m/>
    <m/>
    <m/>
    <n v="0"/>
    <n v="0"/>
    <n v="0"/>
    <n v="0"/>
    <n v="0"/>
    <e v="#DIV/0!"/>
    <e v="#DIV/0!"/>
    <s v="Industry"/>
    <n v="0"/>
    <n v="0"/>
    <n v="60331.825037707393"/>
    <n v="60331.825037707393"/>
    <n v="0"/>
    <n v="1"/>
    <s v="Industry"/>
    <n v="0"/>
    <n v="60331.825037707393"/>
    <n v="60331.825037707393"/>
    <n v="60331.825037707393"/>
    <n v="0"/>
    <n v="60331.825037707393"/>
    <n v="0"/>
    <n v="0"/>
    <n v="0"/>
    <n v="0"/>
    <n v="60331.825037707393"/>
    <n v="0"/>
    <n v="0"/>
    <n v="0"/>
    <n v="60331.825037707393"/>
    <n v="0"/>
    <m/>
    <n v="0"/>
    <m/>
    <m/>
    <m/>
    <m/>
    <m/>
    <m/>
    <n v="0"/>
    <m/>
    <n v="0"/>
  </r>
  <r>
    <x v="155"/>
    <s v="Automation / Digital Manufacturing"/>
    <x v="99"/>
    <x v="0"/>
    <n v="1"/>
    <n v="0"/>
    <x v="2"/>
    <x v="2"/>
    <m/>
    <d v="2019-09-09T00:00:00"/>
    <x v="1"/>
    <s v="6. Proposal declined"/>
    <m/>
    <m/>
    <m/>
    <m/>
    <m/>
    <m/>
    <m/>
    <m/>
    <m/>
    <m/>
    <m/>
    <m/>
    <d v="2020-04-02T00:00:00"/>
    <s v="IPK"/>
    <m/>
    <m/>
    <m/>
    <m/>
    <m/>
    <m/>
    <s v="ITA"/>
    <s v="Wesley Oliveira "/>
    <s v="Weslley Oliveira / Aline Matheus "/>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56"/>
    <m/>
    <x v="81"/>
    <x v="0"/>
    <m/>
    <m/>
    <x v="0"/>
    <x v="2"/>
    <m/>
    <m/>
    <x v="1"/>
    <s v="6. Proposal declined"/>
    <m/>
    <m/>
    <m/>
    <m/>
    <m/>
    <m/>
    <m/>
    <m/>
    <m/>
    <m/>
    <m/>
    <m/>
    <m/>
    <s v="IPK"/>
    <m/>
    <m/>
    <n v="400000"/>
    <m/>
    <m/>
    <m/>
    <s v="ITA"/>
    <m/>
    <m/>
    <m/>
    <m/>
    <m/>
    <m/>
    <m/>
    <m/>
    <m/>
    <m/>
    <n v="800000"/>
    <m/>
    <m/>
    <m/>
    <m/>
    <m/>
    <m/>
    <m/>
    <m/>
    <m/>
    <m/>
    <s v="CNT"/>
    <m/>
    <n v="1200000"/>
    <m/>
    <m/>
    <m/>
    <m/>
    <m/>
    <m/>
    <m/>
    <m/>
    <m/>
    <m/>
    <m/>
    <m/>
    <m/>
    <m/>
    <m/>
    <m/>
    <m/>
    <m/>
    <m/>
    <n v="400000"/>
    <n v="400000"/>
    <n v="400000"/>
    <n v="0"/>
    <n v="0"/>
    <n v="1"/>
    <n v="1"/>
    <s v="Industry"/>
    <n v="0"/>
    <n v="400000"/>
    <n v="0"/>
    <n v="0"/>
    <n v="0"/>
    <e v="#DIV/0!"/>
    <e v="#DIV/0!"/>
    <n v="0"/>
    <n v="0"/>
    <n v="400000"/>
    <n v="400000"/>
    <n v="0"/>
    <n v="400000"/>
    <n v="0"/>
    <n v="0"/>
    <n v="0"/>
    <n v="0"/>
    <n v="400000"/>
    <n v="800000"/>
    <n v="800000"/>
    <n v="0"/>
    <n v="1200000"/>
    <n v="400000"/>
    <n v="0"/>
    <n v="0"/>
    <m/>
    <m/>
    <m/>
    <m/>
    <m/>
    <m/>
    <n v="0"/>
    <n v="0"/>
    <n v="0"/>
  </r>
  <r>
    <x v="157"/>
    <s v="Functional Safety and human factors in the transfer of control from vehicle to driver using motion simulators"/>
    <x v="72"/>
    <x v="2"/>
    <n v="1"/>
    <m/>
    <x v="2"/>
    <x v="2"/>
    <m/>
    <m/>
    <x v="1"/>
    <s v="6. Proposal declined"/>
    <n v="4.3110999999999997"/>
    <s v="BM01A"/>
    <m/>
    <m/>
    <n v="24"/>
    <m/>
    <d v="2019-10-28T00:00:00"/>
    <m/>
    <d v="2020-04-23T00:00:00"/>
    <m/>
    <m/>
    <m/>
    <d v="2021-03-12T00:00:00"/>
    <s v="IPK"/>
    <m/>
    <m/>
    <m/>
    <m/>
    <m/>
    <m/>
    <s v="ITA"/>
    <s v="Emília Vilanni "/>
    <s v="Ivan Rehder"/>
    <m/>
    <m/>
    <m/>
    <n v="231959.36072000186"/>
    <m/>
    <m/>
    <m/>
    <m/>
    <m/>
    <m/>
    <m/>
    <m/>
    <m/>
    <m/>
    <m/>
    <m/>
    <m/>
    <m/>
    <m/>
    <m/>
    <m/>
    <m/>
    <m/>
    <m/>
    <m/>
    <m/>
    <m/>
    <m/>
    <m/>
    <m/>
    <m/>
    <m/>
    <m/>
    <m/>
    <m/>
    <m/>
    <m/>
    <m/>
    <m/>
    <m/>
    <m/>
    <n v="0"/>
    <n v="0"/>
    <n v="0"/>
    <n v="0"/>
    <n v="0"/>
    <e v="#DIV/0!"/>
    <e v="#DIV/0!"/>
    <s v="Industry"/>
    <n v="0"/>
    <n v="0"/>
    <n v="231959.36072000186"/>
    <n v="0"/>
    <n v="231959.36072000186"/>
    <n v="0"/>
    <s v="Public Funding"/>
    <n v="0"/>
    <n v="231959.36072000186"/>
    <n v="231959.36072000186"/>
    <n v="0"/>
    <n v="0"/>
    <n v="0"/>
    <n v="231959.36072000186"/>
    <n v="0"/>
    <n v="231959.36072000186"/>
    <n v="0"/>
    <n v="231959.36072000186"/>
    <n v="0"/>
    <n v="0"/>
    <n v="0"/>
    <n v="231959.36072000186"/>
    <n v="0"/>
    <m/>
    <n v="0"/>
    <m/>
    <m/>
    <m/>
    <m/>
    <m/>
    <m/>
    <n v="0"/>
    <m/>
    <n v="0"/>
  </r>
  <r>
    <x v="158"/>
    <s v="Automation of the piezometer measurement process in dams"/>
    <x v="100"/>
    <x v="0"/>
    <n v="3"/>
    <n v="0"/>
    <x v="2"/>
    <x v="2"/>
    <m/>
    <m/>
    <x v="1"/>
    <s v="6. Proposal declined"/>
    <m/>
    <m/>
    <m/>
    <m/>
    <m/>
    <m/>
    <d v="2019-10-07T00:00:00"/>
    <m/>
    <m/>
    <m/>
    <m/>
    <m/>
    <d v="2020-04-02T00:00:00"/>
    <s v="IPK"/>
    <m/>
    <m/>
    <m/>
    <m/>
    <m/>
    <m/>
    <s v="ITA"/>
    <s v="Carlos Eguti"/>
    <s v="Weslley Oliveira / Aline Matheus "/>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59"/>
    <s v="Residual stress  in additive manufactured components "/>
    <x v="101"/>
    <x v="8"/>
    <n v="1"/>
    <n v="0"/>
    <x v="2"/>
    <x v="2"/>
    <m/>
    <d v="2019-09-09T00:00:00"/>
    <x v="1"/>
    <s v="6. Proposal declined"/>
    <m/>
    <m/>
    <m/>
    <m/>
    <m/>
    <m/>
    <m/>
    <m/>
    <m/>
    <m/>
    <m/>
    <m/>
    <d v="2020-01-27T00:00:00"/>
    <s v="IPK"/>
    <m/>
    <m/>
    <m/>
    <m/>
    <m/>
    <m/>
    <s v="ITA"/>
    <s v="Lucas Robatto"/>
    <s v="Lucas Robatto"/>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60"/>
    <s v="Ground vibration tests of the SIVOR flight simulator "/>
    <x v="17"/>
    <x v="5"/>
    <n v="1"/>
    <m/>
    <x v="2"/>
    <x v="2"/>
    <m/>
    <d v="2019-12-01T00:00:00"/>
    <x v="4"/>
    <s v="5. Project running"/>
    <m/>
    <m/>
    <m/>
    <m/>
    <m/>
    <m/>
    <m/>
    <m/>
    <m/>
    <d v="2020-05-11T00:00:00"/>
    <d v="2020-07-31T00:00:00"/>
    <m/>
    <m/>
    <s v="IPK"/>
    <m/>
    <m/>
    <m/>
    <m/>
    <m/>
    <m/>
    <s v="ITA"/>
    <s v="Emília Vilanni "/>
    <s v="Weslley Oliveira / Aline Matheus "/>
    <m/>
    <n v="14335.088492496116"/>
    <m/>
    <m/>
    <m/>
    <m/>
    <m/>
    <m/>
    <m/>
    <m/>
    <m/>
    <m/>
    <m/>
    <m/>
    <m/>
    <m/>
    <m/>
    <m/>
    <m/>
    <m/>
    <m/>
    <m/>
    <m/>
    <m/>
    <m/>
    <m/>
    <m/>
    <m/>
    <m/>
    <m/>
    <m/>
    <m/>
    <m/>
    <m/>
    <m/>
    <m/>
    <m/>
    <m/>
    <m/>
    <m/>
    <m/>
    <n v="0"/>
    <n v="0"/>
    <n v="0"/>
    <n v="0"/>
    <n v="0"/>
    <e v="#DIV/0!"/>
    <e v="#DIV/0!"/>
    <s v="Industry"/>
    <n v="0"/>
    <n v="0"/>
    <n v="14335.088492496116"/>
    <n v="14335.088492496116"/>
    <n v="0"/>
    <n v="1"/>
    <s v="Industry"/>
    <n v="0"/>
    <n v="14335.088492496116"/>
    <n v="14335.088492496116"/>
    <n v="14335.088492496116"/>
    <n v="0"/>
    <n v="14335.088492496116"/>
    <n v="0"/>
    <n v="0"/>
    <n v="0"/>
    <n v="0"/>
    <n v="14335.088492496116"/>
    <n v="0"/>
    <n v="0"/>
    <n v="0"/>
    <n v="14335.088492496116"/>
    <n v="0"/>
    <m/>
    <n v="0"/>
    <m/>
    <m/>
    <m/>
    <m/>
    <m/>
    <m/>
    <n v="0"/>
    <m/>
    <n v="0"/>
  </r>
  <r>
    <x v="161"/>
    <s v="Coating for improved efficiency of gears"/>
    <x v="102"/>
    <x v="3"/>
    <n v="5"/>
    <n v="0"/>
    <x v="2"/>
    <x v="1"/>
    <s v="Financial support approved. Waiting the agreement signature"/>
    <d v="2019-09-09T00:00:00"/>
    <x v="3"/>
    <s v="4. Proposal submission and follow-up"/>
    <n v="5.48"/>
    <s v="Only Public Funding"/>
    <m/>
    <m/>
    <n v="30"/>
    <m/>
    <d v="2019-09-09T00:00:00"/>
    <m/>
    <d v="2019-10-29T00:00:00"/>
    <d v="2021-01-15T00:00:00"/>
    <m/>
    <m/>
    <d v="2021-04-07T00:00:00"/>
    <s v="IPK"/>
    <m/>
    <m/>
    <m/>
    <m/>
    <m/>
    <m/>
    <s v="ITA"/>
    <s v="Angelo Carvalho"/>
    <s v="Angelo Carvalho"/>
    <n v="0"/>
    <m/>
    <m/>
    <n v="345327.96897810214"/>
    <m/>
    <m/>
    <m/>
    <m/>
    <m/>
    <m/>
    <m/>
    <m/>
    <m/>
    <m/>
    <m/>
    <m/>
    <m/>
    <m/>
    <m/>
    <s v="SEW  Eurodrive"/>
    <s v="Antônio Vieira "/>
    <m/>
    <m/>
    <m/>
    <m/>
    <m/>
    <m/>
    <m/>
    <m/>
    <m/>
    <m/>
    <m/>
    <m/>
    <m/>
    <m/>
    <m/>
    <m/>
    <m/>
    <m/>
    <m/>
    <m/>
    <n v="0"/>
    <n v="0"/>
    <n v="0"/>
    <n v="0"/>
    <n v="0"/>
    <e v="#DIV/0!"/>
    <e v="#DIV/0!"/>
    <s v="Public Funding"/>
    <n v="0"/>
    <n v="0"/>
    <n v="345327.96897810214"/>
    <n v="0"/>
    <n v="345327.96897810214"/>
    <n v="0"/>
    <s v="Public Funding"/>
    <n v="0"/>
    <n v="345327.96897810214"/>
    <n v="345327.96897810214"/>
    <n v="0"/>
    <n v="0"/>
    <n v="0"/>
    <n v="345327.96897810214"/>
    <n v="0"/>
    <n v="345327.96897810214"/>
    <n v="0"/>
    <n v="345327.96897810214"/>
    <n v="0"/>
    <n v="0"/>
    <n v="0"/>
    <n v="345327.96897810214"/>
    <n v="0"/>
    <m/>
    <n v="0"/>
    <m/>
    <m/>
    <m/>
    <m/>
    <m/>
    <m/>
    <n v="0"/>
    <m/>
    <n v="0"/>
  </r>
  <r>
    <x v="162"/>
    <s v="Mass and compodents reduction of Aerogenerators Nacele"/>
    <x v="64"/>
    <x v="1"/>
    <n v="1"/>
    <n v="0"/>
    <x v="2"/>
    <x v="2"/>
    <m/>
    <m/>
    <x v="1"/>
    <s v="6. Proposal declined"/>
    <m/>
    <m/>
    <m/>
    <m/>
    <n v="24"/>
    <m/>
    <m/>
    <m/>
    <m/>
    <m/>
    <m/>
    <m/>
    <d v="2020-02-17T00:00:00"/>
    <s v="IPK"/>
    <m/>
    <m/>
    <m/>
    <m/>
    <m/>
    <m/>
    <s v="ITA"/>
    <s v="Alfredo faria "/>
    <s v="André Lima / André Luiz "/>
    <m/>
    <n v="278351.23286400223"/>
    <m/>
    <m/>
    <m/>
    <m/>
    <m/>
    <m/>
    <m/>
    <m/>
    <m/>
    <m/>
    <m/>
    <m/>
    <m/>
    <m/>
    <m/>
    <m/>
    <m/>
    <s v="Eolic Future"/>
    <m/>
    <n v="278351.23286400223"/>
    <m/>
    <m/>
    <m/>
    <m/>
    <m/>
    <m/>
    <m/>
    <m/>
    <m/>
    <m/>
    <m/>
    <m/>
    <m/>
    <m/>
    <m/>
    <m/>
    <m/>
    <m/>
    <m/>
    <n v="0"/>
    <n v="0"/>
    <n v="0"/>
    <n v="0"/>
    <n v="0"/>
    <e v="#DIV/0!"/>
    <e v="#DIV/0!"/>
    <s v="Industry"/>
    <n v="0"/>
    <n v="0"/>
    <n v="278351.23286400223"/>
    <n v="278351.23286400223"/>
    <n v="0"/>
    <n v="1"/>
    <s v="Industry"/>
    <n v="0"/>
    <n v="278351.23286400223"/>
    <n v="278351.23286400223"/>
    <n v="278351.23286400223"/>
    <n v="0"/>
    <n v="278351.23286400223"/>
    <n v="0"/>
    <n v="0"/>
    <n v="0"/>
    <n v="0"/>
    <n v="278351.23286400223"/>
    <n v="0"/>
    <n v="0"/>
    <n v="0"/>
    <n v="278351.23286400223"/>
    <n v="0"/>
    <m/>
    <n v="0"/>
    <m/>
    <m/>
    <m/>
    <m/>
    <m/>
    <m/>
    <n v="0"/>
    <m/>
    <n v="0"/>
  </r>
  <r>
    <x v="163"/>
    <m/>
    <x v="62"/>
    <x v="0"/>
    <m/>
    <m/>
    <x v="1"/>
    <x v="2"/>
    <m/>
    <d v="2019-01-05T00:00:00"/>
    <x v="6"/>
    <s v="5. Project running"/>
    <m/>
    <m/>
    <m/>
    <m/>
    <n v="12"/>
    <m/>
    <m/>
    <m/>
    <m/>
    <d v="2019-10-22T00:00:00"/>
    <d v="2019-12-11T00:00:00"/>
    <d v="2021-11-30T00:00:00"/>
    <m/>
    <s v="IPK"/>
    <s v="David Domingos"/>
    <m/>
    <n v="20625"/>
    <m/>
    <m/>
    <m/>
    <s v="ITA"/>
    <s v="Ronnie Rego"/>
    <s v="Ronnie Rego"/>
    <m/>
    <m/>
    <m/>
    <n v="255155.29679200205"/>
    <m/>
    <m/>
    <m/>
    <m/>
    <m/>
    <m/>
    <m/>
    <m/>
    <m/>
    <m/>
    <m/>
    <m/>
    <m/>
    <m/>
    <m/>
    <s v="SENAI-MG"/>
    <s v="Carlos Bork"/>
    <n v="422202"/>
    <m/>
    <m/>
    <m/>
    <m/>
    <m/>
    <m/>
    <m/>
    <m/>
    <m/>
    <m/>
    <m/>
    <m/>
    <m/>
    <m/>
    <m/>
    <m/>
    <m/>
    <m/>
    <m/>
    <n v="20625"/>
    <n v="20625"/>
    <n v="20625"/>
    <n v="0"/>
    <n v="0"/>
    <n v="1"/>
    <n v="1"/>
    <s v="Industry"/>
    <n v="0"/>
    <n v="20625"/>
    <n v="255155.29679200205"/>
    <n v="0"/>
    <n v="255155.29679200205"/>
    <n v="0"/>
    <s v="Public Funding"/>
    <n v="0"/>
    <n v="255155.29679200205"/>
    <n v="275780.29679200205"/>
    <n v="20625"/>
    <n v="0"/>
    <n v="20625"/>
    <n v="255155.29679200205"/>
    <n v="0"/>
    <n v="255155.29679200205"/>
    <n v="0"/>
    <n v="275780.29679200205"/>
    <n v="0"/>
    <n v="0"/>
    <n v="0"/>
    <n v="275780.29679200205"/>
    <n v="20625"/>
    <n v="1"/>
    <n v="20625"/>
    <m/>
    <m/>
    <m/>
    <m/>
    <m/>
    <n v="0.2"/>
    <n v="4125"/>
    <n v="2000"/>
    <n v="6125"/>
  </r>
  <r>
    <x v="164"/>
    <m/>
    <x v="32"/>
    <x v="3"/>
    <m/>
    <m/>
    <x v="2"/>
    <x v="2"/>
    <m/>
    <m/>
    <x v="4"/>
    <s v="5. Project running"/>
    <m/>
    <m/>
    <m/>
    <m/>
    <n v="13"/>
    <m/>
    <m/>
    <m/>
    <m/>
    <d v="2019-10-07T00:00:00"/>
    <d v="2019-10-24T00:00:00"/>
    <m/>
    <m/>
    <s v="IPK"/>
    <m/>
    <m/>
    <m/>
    <m/>
    <m/>
    <m/>
    <s v="ITA"/>
    <s v="Rodrigo Metzger"/>
    <s v="Nathianne Moura / Artur Cantisano "/>
    <m/>
    <m/>
    <m/>
    <n v="33333"/>
    <m/>
    <m/>
    <m/>
    <m/>
    <m/>
    <m/>
    <m/>
    <m/>
    <m/>
    <m/>
    <m/>
    <m/>
    <m/>
    <m/>
    <m/>
    <s v="Stackpole"/>
    <m/>
    <n v="33333"/>
    <m/>
    <m/>
    <m/>
    <m/>
    <m/>
    <m/>
    <m/>
    <m/>
    <m/>
    <m/>
    <m/>
    <m/>
    <m/>
    <m/>
    <m/>
    <m/>
    <m/>
    <m/>
    <m/>
    <n v="0"/>
    <n v="0"/>
    <n v="0"/>
    <n v="0"/>
    <n v="0"/>
    <e v="#DIV/0!"/>
    <e v="#DIV/0!"/>
    <s v="Industry"/>
    <n v="0"/>
    <n v="0"/>
    <n v="33333"/>
    <n v="0"/>
    <n v="33333"/>
    <n v="0"/>
    <s v="Public Funding"/>
    <n v="0"/>
    <n v="33333"/>
    <n v="33333"/>
    <n v="0"/>
    <n v="0"/>
    <n v="0"/>
    <n v="33333"/>
    <n v="0"/>
    <n v="33333"/>
    <n v="0"/>
    <n v="33333"/>
    <n v="0"/>
    <n v="0"/>
    <n v="0"/>
    <n v="33333"/>
    <n v="0"/>
    <m/>
    <n v="0"/>
    <m/>
    <m/>
    <m/>
    <m/>
    <m/>
    <m/>
    <n v="0"/>
    <n v="0"/>
    <n v="0"/>
  </r>
  <r>
    <x v="165"/>
    <s v="Optimization of a coupling and torque transmission component for gear making machine"/>
    <x v="9"/>
    <x v="3"/>
    <n v="1"/>
    <n v="0"/>
    <x v="2"/>
    <x v="2"/>
    <m/>
    <d v="2019-09-09T00:00:00"/>
    <x v="1"/>
    <s v="6. Proposal declined"/>
    <m/>
    <m/>
    <m/>
    <m/>
    <m/>
    <m/>
    <d v="2019-09-09T00:00:00"/>
    <m/>
    <m/>
    <m/>
    <m/>
    <m/>
    <m/>
    <s v="IPK"/>
    <m/>
    <m/>
    <m/>
    <m/>
    <m/>
    <m/>
    <s v="ITA"/>
    <s v="Tiago Colombo"/>
    <s v="Ronnie Rego"/>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66"/>
    <s v="Cooperation for the development of powder metallurgy gears, transmission and electric motor with resource efficiency improvement"/>
    <x v="103"/>
    <x v="3"/>
    <n v="4"/>
    <n v="0"/>
    <x v="2"/>
    <x v="2"/>
    <s v="Project including 6 German companies, RWTH Aachen, ITA and 3 Brazilian companies. Submitted to BMBF (Declined), summing  EUR 3mi"/>
    <m/>
    <x v="4"/>
    <s v="5. Project running"/>
    <n v="6.65"/>
    <s v="BM03"/>
    <m/>
    <m/>
    <n v="17"/>
    <m/>
    <m/>
    <m/>
    <m/>
    <d v="2019-09-09T00:00:00"/>
    <d v="2020-10-21T00:00:00"/>
    <m/>
    <m/>
    <s v="IPK"/>
    <m/>
    <m/>
    <m/>
    <m/>
    <m/>
    <m/>
    <s v="ITA"/>
    <s v="Lucas Robatto"/>
    <s v="Lucas Robatto"/>
    <m/>
    <n v="45112.781954887214"/>
    <m/>
    <m/>
    <m/>
    <m/>
    <m/>
    <m/>
    <m/>
    <m/>
    <m/>
    <m/>
    <m/>
    <m/>
    <m/>
    <m/>
    <m/>
    <m/>
    <m/>
    <s v="BRASKEM/GERDAU/EATON"/>
    <m/>
    <n v="45112.781954887214"/>
    <m/>
    <s v="GERDAU"/>
    <m/>
    <m/>
    <m/>
    <s v="EATON"/>
    <m/>
    <m/>
    <m/>
    <s v="STACKPOLE"/>
    <m/>
    <m/>
    <m/>
    <m/>
    <m/>
    <m/>
    <m/>
    <m/>
    <m/>
    <n v="0"/>
    <n v="0"/>
    <n v="0"/>
    <n v="0"/>
    <n v="0"/>
    <e v="#DIV/0!"/>
    <e v="#DIV/0!"/>
    <s v="Industry"/>
    <n v="0"/>
    <n v="0"/>
    <n v="45112.781954887214"/>
    <n v="45112.781954887214"/>
    <n v="0"/>
    <n v="1"/>
    <s v="Industry"/>
    <n v="0"/>
    <n v="45112.781954887214"/>
    <n v="45112.781954887214"/>
    <n v="45112.781954887214"/>
    <n v="0"/>
    <n v="45112.781954887214"/>
    <n v="0"/>
    <n v="0"/>
    <n v="0"/>
    <n v="0"/>
    <n v="45112.781954887214"/>
    <n v="0"/>
    <n v="0"/>
    <n v="0"/>
    <n v="45112.781954887214"/>
    <n v="0"/>
    <m/>
    <n v="0"/>
    <m/>
    <m/>
    <m/>
    <m/>
    <m/>
    <m/>
    <n v="0"/>
    <m/>
    <n v="0"/>
  </r>
  <r>
    <x v="167"/>
    <m/>
    <x v="13"/>
    <x v="0"/>
    <m/>
    <m/>
    <x v="0"/>
    <x v="1"/>
    <m/>
    <m/>
    <x v="6"/>
    <m/>
    <m/>
    <m/>
    <m/>
    <m/>
    <n v="6"/>
    <m/>
    <m/>
    <m/>
    <d v="2019-04-01T00:00:00"/>
    <d v="2019-06-19T00:00:00"/>
    <d v="2020-10-01T00:00:00"/>
    <d v="2021-11-30T00:00:00"/>
    <m/>
    <s v="IPK"/>
    <s v="David Domingos"/>
    <m/>
    <n v="75000"/>
    <m/>
    <m/>
    <m/>
    <s v="ITA"/>
    <m/>
    <m/>
    <m/>
    <m/>
    <m/>
    <m/>
    <m/>
    <m/>
    <m/>
    <m/>
    <m/>
    <m/>
    <m/>
    <m/>
    <m/>
    <m/>
    <m/>
    <m/>
    <m/>
    <m/>
    <m/>
    <m/>
    <m/>
    <m/>
    <m/>
    <m/>
    <m/>
    <m/>
    <m/>
    <m/>
    <m/>
    <m/>
    <m/>
    <m/>
    <m/>
    <m/>
    <m/>
    <s v="FIPT"/>
    <s v="Profa. Zepir"/>
    <n v="75000"/>
    <m/>
    <m/>
    <m/>
    <n v="75000"/>
    <n v="75000"/>
    <n v="75000"/>
    <n v="0"/>
    <n v="0"/>
    <n v="1"/>
    <n v="1"/>
    <s v="Public Funding"/>
    <n v="0"/>
    <n v="75000"/>
    <n v="0"/>
    <n v="0"/>
    <n v="0"/>
    <e v="#DIV/0!"/>
    <e v="#DIV/0!"/>
    <n v="0"/>
    <n v="0"/>
    <n v="75000"/>
    <n v="75000"/>
    <n v="0"/>
    <n v="75000"/>
    <n v="0"/>
    <n v="0"/>
    <n v="0"/>
    <n v="0"/>
    <n v="75000"/>
    <n v="0"/>
    <n v="0"/>
    <n v="0"/>
    <n v="75000"/>
    <n v="75000"/>
    <n v="1"/>
    <n v="75000"/>
    <m/>
    <m/>
    <m/>
    <m/>
    <m/>
    <n v="0.2"/>
    <n v="15000"/>
    <n v="0"/>
    <n v="15000"/>
  </r>
  <r>
    <x v="168"/>
    <s v="Update the Strategy and Portfolio of CODEMGE in MG"/>
    <x v="104"/>
    <x v="0"/>
    <n v="2"/>
    <n v="1"/>
    <x v="0"/>
    <x v="2"/>
    <m/>
    <d v="2020-05-09T00:00:00"/>
    <x v="1"/>
    <m/>
    <m/>
    <m/>
    <m/>
    <m/>
    <n v="6"/>
    <m/>
    <m/>
    <m/>
    <d v="2020-05-08T00:00:00"/>
    <m/>
    <m/>
    <m/>
    <d v="2020-10-28T00:00:00"/>
    <s v="IPK"/>
    <s v="David Domingos"/>
    <n v="200000"/>
    <m/>
    <m/>
    <m/>
    <m/>
    <s v="ITA"/>
    <m/>
    <m/>
    <m/>
    <m/>
    <m/>
    <m/>
    <m/>
    <m/>
    <m/>
    <m/>
    <m/>
    <m/>
    <m/>
    <m/>
    <m/>
    <m/>
    <m/>
    <m/>
    <m/>
    <m/>
    <m/>
    <s v="CODEMGE"/>
    <m/>
    <n v="200000"/>
    <m/>
    <m/>
    <m/>
    <m/>
    <m/>
    <m/>
    <m/>
    <m/>
    <m/>
    <m/>
    <m/>
    <m/>
    <m/>
    <m/>
    <m/>
    <m/>
    <m/>
    <m/>
    <m/>
    <n v="200000"/>
    <n v="200000"/>
    <n v="200000"/>
    <n v="0"/>
    <n v="0"/>
    <n v="1"/>
    <n v="1"/>
    <s v="Industry"/>
    <n v="200000"/>
    <n v="0"/>
    <n v="0"/>
    <n v="0"/>
    <n v="0"/>
    <e v="#DIV/0!"/>
    <e v="#DIV/0!"/>
    <n v="0"/>
    <n v="0"/>
    <n v="200000"/>
    <n v="200000"/>
    <n v="200000"/>
    <n v="0"/>
    <n v="0"/>
    <n v="0"/>
    <n v="0"/>
    <n v="200000"/>
    <n v="0"/>
    <n v="0"/>
    <n v="0"/>
    <n v="0"/>
    <n v="200000"/>
    <n v="200000"/>
    <n v="0"/>
    <n v="0"/>
    <m/>
    <m/>
    <m/>
    <m/>
    <m/>
    <n v="0.2"/>
    <n v="0"/>
    <m/>
    <n v="0"/>
  </r>
  <r>
    <x v="169"/>
    <s v="Strategy Revision &amp; Implementation and Change Management for Technological Park of Itaipu PTI"/>
    <x v="105"/>
    <x v="0"/>
    <n v="1"/>
    <m/>
    <x v="0"/>
    <x v="2"/>
    <m/>
    <d v="2018-03-01T00:00:00"/>
    <x v="1"/>
    <m/>
    <m/>
    <m/>
    <m/>
    <m/>
    <m/>
    <m/>
    <d v="2018-03-01T00:00:00"/>
    <m/>
    <d v="2020-03-02T00:00:00"/>
    <m/>
    <m/>
    <m/>
    <d v="2021-05-27T00:00:00"/>
    <s v="IPK"/>
    <s v="David Domingos"/>
    <m/>
    <n v="100000"/>
    <m/>
    <m/>
    <m/>
    <s v="ITA"/>
    <m/>
    <m/>
    <m/>
    <m/>
    <m/>
    <m/>
    <m/>
    <m/>
    <m/>
    <m/>
    <m/>
    <m/>
    <m/>
    <m/>
    <m/>
    <m/>
    <m/>
    <m/>
    <m/>
    <m/>
    <m/>
    <s v="PTI"/>
    <s v="Rodrigo Regis"/>
    <n v="100000"/>
    <m/>
    <m/>
    <m/>
    <m/>
    <m/>
    <m/>
    <m/>
    <m/>
    <m/>
    <m/>
    <m/>
    <m/>
    <m/>
    <m/>
    <m/>
    <m/>
    <m/>
    <m/>
    <m/>
    <n v="100000"/>
    <n v="100000"/>
    <n v="100000"/>
    <n v="0"/>
    <n v="0"/>
    <n v="1"/>
    <n v="1"/>
    <s v="Industry"/>
    <n v="0"/>
    <n v="100000"/>
    <n v="0"/>
    <n v="0"/>
    <n v="0"/>
    <e v="#DIV/0!"/>
    <e v="#DIV/0!"/>
    <n v="0"/>
    <n v="0"/>
    <n v="100000"/>
    <n v="100000"/>
    <n v="0"/>
    <n v="100000"/>
    <n v="0"/>
    <n v="0"/>
    <n v="0"/>
    <n v="0"/>
    <n v="100000"/>
    <n v="0"/>
    <n v="0"/>
    <n v="0"/>
    <n v="100000"/>
    <n v="100000"/>
    <n v="0.1"/>
    <n v="10000"/>
    <m/>
    <m/>
    <m/>
    <m/>
    <m/>
    <m/>
    <n v="0"/>
    <m/>
    <n v="0"/>
  </r>
  <r>
    <x v="170"/>
    <m/>
    <x v="78"/>
    <x v="0"/>
    <m/>
    <m/>
    <x v="0"/>
    <x v="2"/>
    <m/>
    <m/>
    <x v="1"/>
    <m/>
    <m/>
    <m/>
    <m/>
    <m/>
    <m/>
    <m/>
    <m/>
    <m/>
    <m/>
    <m/>
    <m/>
    <m/>
    <m/>
    <s v="IPK"/>
    <m/>
    <m/>
    <n v="58500"/>
    <m/>
    <m/>
    <m/>
    <s v="ITA"/>
    <m/>
    <m/>
    <m/>
    <m/>
    <m/>
    <m/>
    <m/>
    <m/>
    <m/>
    <m/>
    <m/>
    <m/>
    <m/>
    <m/>
    <m/>
    <m/>
    <m/>
    <m/>
    <m/>
    <m/>
    <m/>
    <s v="SENAI-ES"/>
    <m/>
    <n v="58500"/>
    <m/>
    <m/>
    <m/>
    <m/>
    <m/>
    <m/>
    <m/>
    <m/>
    <m/>
    <m/>
    <m/>
    <m/>
    <m/>
    <m/>
    <m/>
    <m/>
    <m/>
    <m/>
    <m/>
    <n v="58500"/>
    <n v="58500"/>
    <n v="58500"/>
    <n v="0"/>
    <n v="0"/>
    <n v="1"/>
    <n v="1"/>
    <s v="Industry"/>
    <n v="0"/>
    <n v="58500"/>
    <n v="0"/>
    <n v="0"/>
    <n v="0"/>
    <e v="#DIV/0!"/>
    <e v="#DIV/0!"/>
    <n v="0"/>
    <n v="0"/>
    <n v="58500"/>
    <n v="58500"/>
    <n v="0"/>
    <n v="58500"/>
    <n v="0"/>
    <n v="0"/>
    <n v="0"/>
    <n v="0"/>
    <n v="58500"/>
    <n v="0"/>
    <n v="0"/>
    <n v="0"/>
    <n v="58500"/>
    <n v="58500"/>
    <n v="0"/>
    <n v="0"/>
    <m/>
    <m/>
    <m/>
    <m/>
    <m/>
    <m/>
    <n v="0"/>
    <n v="0"/>
    <n v="0"/>
  </r>
  <r>
    <x v="171"/>
    <m/>
    <x v="106"/>
    <x v="0"/>
    <n v="1"/>
    <n v="0"/>
    <x v="0"/>
    <x v="1"/>
    <s v="Budget restrictions at SP State"/>
    <d v="2019-10-10T00:00:00"/>
    <x v="1"/>
    <m/>
    <m/>
    <m/>
    <m/>
    <m/>
    <n v="10"/>
    <m/>
    <d v="2019-10-10T00:00:00"/>
    <m/>
    <d v="2019-12-10T00:00:00"/>
    <m/>
    <m/>
    <m/>
    <d v="2021-05-27T00:00:00"/>
    <s v="IPK"/>
    <s v="David Domingos"/>
    <m/>
    <n v="250000"/>
    <m/>
    <m/>
    <m/>
    <s v="ITA"/>
    <m/>
    <m/>
    <m/>
    <m/>
    <m/>
    <m/>
    <m/>
    <m/>
    <m/>
    <m/>
    <m/>
    <m/>
    <m/>
    <m/>
    <m/>
    <m/>
    <m/>
    <m/>
    <m/>
    <m/>
    <m/>
    <m/>
    <m/>
    <m/>
    <m/>
    <m/>
    <m/>
    <m/>
    <m/>
    <m/>
    <m/>
    <m/>
    <m/>
    <m/>
    <m/>
    <m/>
    <m/>
    <s v="Secretariat of Economic Development SP"/>
    <s v="Marcos Vinícius de Souza"/>
    <n v="150000"/>
    <m/>
    <m/>
    <m/>
    <n v="250000"/>
    <n v="250000"/>
    <n v="250000"/>
    <n v="0"/>
    <n v="0"/>
    <n v="1"/>
    <n v="1"/>
    <s v="Public Funding"/>
    <n v="0"/>
    <n v="250000"/>
    <n v="0"/>
    <n v="0"/>
    <n v="0"/>
    <e v="#DIV/0!"/>
    <e v="#DIV/0!"/>
    <n v="0"/>
    <n v="0"/>
    <n v="250000"/>
    <n v="250000"/>
    <n v="0"/>
    <n v="250000"/>
    <n v="0"/>
    <n v="0"/>
    <n v="0"/>
    <n v="0"/>
    <n v="250000"/>
    <n v="0"/>
    <n v="0"/>
    <n v="0"/>
    <n v="250000"/>
    <n v="250000"/>
    <n v="0.1"/>
    <n v="25000"/>
    <m/>
    <m/>
    <m/>
    <m/>
    <m/>
    <n v="0.2"/>
    <n v="5000"/>
    <m/>
    <n v="5000"/>
  </r>
  <r>
    <x v="172"/>
    <m/>
    <x v="88"/>
    <x v="2"/>
    <m/>
    <m/>
    <x v="2"/>
    <x v="2"/>
    <m/>
    <m/>
    <x v="6"/>
    <s v="5. Project running"/>
    <m/>
    <m/>
    <m/>
    <m/>
    <n v="12"/>
    <m/>
    <m/>
    <m/>
    <m/>
    <m/>
    <m/>
    <d v="2020-07-31T00:00:00"/>
    <m/>
    <s v="IPK"/>
    <s v="N/A"/>
    <n v="0"/>
    <n v="0"/>
    <n v="0"/>
    <n v="0"/>
    <n v="0"/>
    <s v="ITA"/>
    <s v="Natália D'Ávila"/>
    <s v="Fábio Sena / Natália D´Ávila "/>
    <n v="0"/>
    <m/>
    <n v="0"/>
    <n v="88095"/>
    <n v="0"/>
    <s v="N/A"/>
    <s v="N/A"/>
    <n v="0"/>
    <n v="0"/>
    <n v="0"/>
    <n v="0"/>
    <n v="0"/>
    <s v="N/A"/>
    <s v="N/A"/>
    <n v="0"/>
    <n v="0"/>
    <n v="0"/>
    <n v="0"/>
    <n v="0"/>
    <s v="GM"/>
    <s v="Carlos Sakuramoto"/>
    <n v="88095"/>
    <n v="0"/>
    <s v="N/A"/>
    <s v="N/A"/>
    <n v="0"/>
    <n v="0"/>
    <s v="N/A"/>
    <s v="N/A"/>
    <n v="0"/>
    <n v="0"/>
    <s v="N/A"/>
    <s v="N/A"/>
    <n v="0"/>
    <n v="0"/>
    <s v="N/A"/>
    <s v="N/A"/>
    <n v="0"/>
    <s v="N/A"/>
    <s v="N/A"/>
    <n v="0"/>
    <n v="0"/>
    <n v="0"/>
    <n v="0"/>
    <n v="0"/>
    <n v="0"/>
    <e v="#DIV/0!"/>
    <e v="#DIV/0!"/>
    <s v="Industry"/>
    <n v="0"/>
    <n v="0"/>
    <n v="88095"/>
    <n v="0"/>
    <n v="88095"/>
    <n v="0"/>
    <s v="Public Funding"/>
    <n v="0"/>
    <n v="88095"/>
    <n v="88095"/>
    <n v="0"/>
    <n v="0"/>
    <n v="0"/>
    <n v="88095"/>
    <n v="0"/>
    <n v="88095"/>
    <n v="0"/>
    <n v="88095"/>
    <n v="0"/>
    <n v="0"/>
    <n v="0"/>
    <n v="88095"/>
    <n v="0"/>
    <n v="0"/>
    <n v="0"/>
    <m/>
    <m/>
    <m/>
    <m/>
    <m/>
    <n v="0"/>
    <n v="0"/>
    <n v="0"/>
    <n v="0"/>
  </r>
  <r>
    <x v="173"/>
    <m/>
    <x v="88"/>
    <x v="2"/>
    <m/>
    <m/>
    <x v="2"/>
    <x v="2"/>
    <m/>
    <m/>
    <x v="6"/>
    <s v="5. Project running"/>
    <m/>
    <m/>
    <m/>
    <m/>
    <m/>
    <m/>
    <m/>
    <m/>
    <m/>
    <m/>
    <m/>
    <d v="2020-12-23T00:00:00"/>
    <m/>
    <s v="IPK"/>
    <m/>
    <m/>
    <m/>
    <m/>
    <m/>
    <m/>
    <s v="ITA"/>
    <s v="Natália D'Ávila"/>
    <s v="Fábio Sena / Natália D´Ávila "/>
    <m/>
    <m/>
    <m/>
    <n v="516190"/>
    <m/>
    <m/>
    <m/>
    <m/>
    <m/>
    <m/>
    <m/>
    <m/>
    <m/>
    <m/>
    <m/>
    <m/>
    <m/>
    <m/>
    <m/>
    <s v="GM"/>
    <m/>
    <n v="516190"/>
    <m/>
    <m/>
    <m/>
    <m/>
    <m/>
    <m/>
    <m/>
    <m/>
    <m/>
    <m/>
    <m/>
    <m/>
    <m/>
    <m/>
    <m/>
    <m/>
    <m/>
    <m/>
    <m/>
    <n v="0"/>
    <n v="0"/>
    <n v="0"/>
    <n v="0"/>
    <n v="0"/>
    <e v="#DIV/0!"/>
    <e v="#DIV/0!"/>
    <s v="Industry"/>
    <n v="0"/>
    <n v="0"/>
    <n v="516190"/>
    <n v="0"/>
    <n v="516190"/>
    <n v="0"/>
    <s v="Public Funding"/>
    <n v="0"/>
    <n v="516190"/>
    <n v="516190"/>
    <n v="0"/>
    <n v="0"/>
    <n v="0"/>
    <n v="516190"/>
    <n v="0"/>
    <n v="516190"/>
    <n v="0"/>
    <n v="516190"/>
    <n v="0"/>
    <n v="0"/>
    <n v="0"/>
    <n v="516190"/>
    <n v="0"/>
    <m/>
    <n v="0"/>
    <m/>
    <m/>
    <m/>
    <m/>
    <m/>
    <m/>
    <n v="0"/>
    <n v="0"/>
    <n v="0"/>
  </r>
  <r>
    <x v="174"/>
    <s v="To be defined"/>
    <x v="107"/>
    <x v="2"/>
    <n v="1"/>
    <m/>
    <x v="2"/>
    <x v="2"/>
    <m/>
    <m/>
    <x v="1"/>
    <s v="6. Proposal declined"/>
    <m/>
    <m/>
    <m/>
    <m/>
    <m/>
    <m/>
    <d v="2019-10-29T00:00:00"/>
    <m/>
    <m/>
    <m/>
    <m/>
    <m/>
    <d v="2020-08-06T00:00:00"/>
    <s v="IPK"/>
    <m/>
    <m/>
    <m/>
    <m/>
    <m/>
    <m/>
    <s v="ITA"/>
    <s v="Fábio Sena"/>
    <s v="Fábio Sena / Natália D´Ávila "/>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75"/>
    <s v="To be defined"/>
    <x v="108"/>
    <x v="4"/>
    <n v="1"/>
    <m/>
    <x v="2"/>
    <x v="2"/>
    <m/>
    <m/>
    <x v="1"/>
    <s v="6. Proposal declined"/>
    <m/>
    <m/>
    <m/>
    <m/>
    <m/>
    <m/>
    <d v="2019-10-28T00:00:00"/>
    <m/>
    <m/>
    <m/>
    <m/>
    <m/>
    <m/>
    <s v="IPK"/>
    <m/>
    <m/>
    <m/>
    <m/>
    <m/>
    <m/>
    <s v="ITA"/>
    <s v="Emília Vilanni "/>
    <s v="Weslley Oliveira / Aline Matheus "/>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76"/>
    <m/>
    <x v="109"/>
    <x v="7"/>
    <m/>
    <m/>
    <x v="0"/>
    <x v="2"/>
    <m/>
    <m/>
    <x v="1"/>
    <m/>
    <m/>
    <m/>
    <m/>
    <m/>
    <m/>
    <m/>
    <m/>
    <m/>
    <m/>
    <m/>
    <m/>
    <m/>
    <m/>
    <s v="IPK"/>
    <m/>
    <m/>
    <n v="24500"/>
    <m/>
    <m/>
    <m/>
    <s v="ITA"/>
    <m/>
    <m/>
    <m/>
    <m/>
    <m/>
    <m/>
    <m/>
    <m/>
    <m/>
    <m/>
    <m/>
    <m/>
    <m/>
    <m/>
    <m/>
    <m/>
    <m/>
    <m/>
    <m/>
    <m/>
    <m/>
    <s v="Braskem"/>
    <m/>
    <n v="24500"/>
    <m/>
    <m/>
    <m/>
    <m/>
    <m/>
    <m/>
    <m/>
    <m/>
    <m/>
    <m/>
    <m/>
    <m/>
    <m/>
    <m/>
    <m/>
    <m/>
    <m/>
    <m/>
    <m/>
    <n v="24500"/>
    <n v="24500"/>
    <n v="24500"/>
    <n v="0"/>
    <n v="0"/>
    <n v="1"/>
    <n v="1"/>
    <s v="Industry"/>
    <n v="0"/>
    <n v="24500"/>
    <n v="0"/>
    <n v="0"/>
    <n v="0"/>
    <e v="#DIV/0!"/>
    <e v="#DIV/0!"/>
    <n v="0"/>
    <n v="0"/>
    <n v="24500"/>
    <n v="24500"/>
    <n v="0"/>
    <n v="24500"/>
    <n v="0"/>
    <n v="0"/>
    <n v="0"/>
    <n v="0"/>
    <n v="24500"/>
    <n v="0"/>
    <n v="0"/>
    <n v="0"/>
    <n v="24500"/>
    <n v="24500"/>
    <n v="0.25"/>
    <n v="6125"/>
    <m/>
    <m/>
    <m/>
    <m/>
    <m/>
    <n v="0.2"/>
    <n v="1225"/>
    <n v="0"/>
    <n v="1225"/>
  </r>
  <r>
    <x v="177"/>
    <s v="Immersion at Fraunhofer IPK and at STFI in Chemnitz, for Brazilian industry linked to textile sector"/>
    <x v="110"/>
    <x v="0"/>
    <n v="1"/>
    <n v="2"/>
    <x v="0"/>
    <x v="2"/>
    <m/>
    <d v="2019-11-30T00:00:00"/>
    <x v="5"/>
    <m/>
    <m/>
    <m/>
    <m/>
    <m/>
    <n v="1"/>
    <m/>
    <m/>
    <m/>
    <d v="2019-11-30T00:00:00"/>
    <m/>
    <m/>
    <m/>
    <m/>
    <s v="IPK"/>
    <s v="David Domingos"/>
    <m/>
    <n v="29000"/>
    <m/>
    <m/>
    <m/>
    <s v="ITA"/>
    <m/>
    <m/>
    <m/>
    <m/>
    <m/>
    <m/>
    <m/>
    <m/>
    <m/>
    <m/>
    <m/>
    <m/>
    <m/>
    <m/>
    <m/>
    <m/>
    <m/>
    <m/>
    <m/>
    <m/>
    <m/>
    <s v="SENAI"/>
    <s v="Kamila Merle"/>
    <m/>
    <m/>
    <m/>
    <m/>
    <m/>
    <m/>
    <m/>
    <m/>
    <m/>
    <m/>
    <m/>
    <m/>
    <m/>
    <m/>
    <m/>
    <m/>
    <m/>
    <m/>
    <m/>
    <m/>
    <n v="29000"/>
    <n v="29000"/>
    <n v="29000"/>
    <n v="0"/>
    <n v="0"/>
    <n v="1"/>
    <n v="1"/>
    <s v="Industry"/>
    <n v="0"/>
    <n v="29000"/>
    <n v="0"/>
    <n v="0"/>
    <n v="0"/>
    <e v="#DIV/0!"/>
    <e v="#DIV/0!"/>
    <n v="0"/>
    <n v="0"/>
    <n v="29000"/>
    <n v="29000"/>
    <n v="0"/>
    <n v="29000"/>
    <n v="0"/>
    <n v="0"/>
    <n v="0"/>
    <n v="0"/>
    <n v="29000"/>
    <n v="0"/>
    <n v="0"/>
    <n v="0"/>
    <n v="29000"/>
    <n v="29000"/>
    <n v="0.05"/>
    <n v="1450"/>
    <m/>
    <m/>
    <m/>
    <m/>
    <m/>
    <n v="0.2"/>
    <n v="290"/>
    <m/>
    <n v="290"/>
  </r>
  <r>
    <x v="178"/>
    <m/>
    <x v="111"/>
    <x v="0"/>
    <n v="3"/>
    <m/>
    <x v="1"/>
    <x v="2"/>
    <m/>
    <m/>
    <x v="5"/>
    <s v="6. Proposal declined"/>
    <m/>
    <s v="BM06"/>
    <m/>
    <m/>
    <n v="5"/>
    <m/>
    <m/>
    <m/>
    <d v="2019-02-01T00:00:00"/>
    <d v="2019-09-10T00:00:00"/>
    <m/>
    <m/>
    <m/>
    <s v="IPK"/>
    <s v="David Domingos"/>
    <m/>
    <n v="35000"/>
    <m/>
    <m/>
    <m/>
    <s v="ITA"/>
    <s v="Carla Cunha"/>
    <s v="Ronnie Rego"/>
    <m/>
    <n v="17000"/>
    <m/>
    <m/>
    <m/>
    <s v="VDI"/>
    <s v="Johannes Klingberg"/>
    <m/>
    <n v="2000"/>
    <m/>
    <m/>
    <m/>
    <s v="AHK"/>
    <s v="Bruno Zarpellon"/>
    <m/>
    <n v="12000"/>
    <m/>
    <m/>
    <m/>
    <s v="AHK"/>
    <m/>
    <n v="52000"/>
    <m/>
    <m/>
    <m/>
    <m/>
    <m/>
    <m/>
    <m/>
    <m/>
    <m/>
    <m/>
    <m/>
    <m/>
    <m/>
    <m/>
    <m/>
    <m/>
    <m/>
    <m/>
    <m/>
    <n v="35000"/>
    <n v="35000"/>
    <n v="35000"/>
    <n v="0"/>
    <n v="0"/>
    <n v="1"/>
    <n v="1"/>
    <s v="Industry"/>
    <n v="0"/>
    <n v="35000"/>
    <n v="17000"/>
    <n v="17000"/>
    <n v="0"/>
    <n v="1"/>
    <s v="Industry"/>
    <n v="0"/>
    <n v="17000"/>
    <n v="52000"/>
    <n v="52000"/>
    <n v="0"/>
    <n v="52000"/>
    <n v="0"/>
    <n v="0"/>
    <n v="0"/>
    <n v="0"/>
    <n v="52000"/>
    <n v="14000"/>
    <n v="14000"/>
    <n v="0"/>
    <n v="66000"/>
    <n v="35000"/>
    <n v="0.25"/>
    <n v="8750"/>
    <m/>
    <m/>
    <m/>
    <m/>
    <m/>
    <n v="0.2"/>
    <n v="1750"/>
    <n v="5000"/>
    <n v="6750"/>
  </r>
  <r>
    <x v="179"/>
    <m/>
    <x v="110"/>
    <x v="0"/>
    <n v="1"/>
    <m/>
    <x v="0"/>
    <x v="2"/>
    <m/>
    <d v="2018-02-01T00:00:00"/>
    <x v="6"/>
    <m/>
    <m/>
    <m/>
    <m/>
    <d v="2019-11-01T00:00:00"/>
    <m/>
    <d v="2019-12-31T00:00:00"/>
    <m/>
    <m/>
    <m/>
    <d v="2019-08-12T00:00:00"/>
    <d v="2019-11-07T00:00:00"/>
    <d v="2019-12-31T00:00:00"/>
    <m/>
    <s v="IPK"/>
    <s v="David Domingos"/>
    <m/>
    <n v="33000"/>
    <m/>
    <m/>
    <m/>
    <s v="ITA"/>
    <m/>
    <m/>
    <m/>
    <m/>
    <m/>
    <m/>
    <m/>
    <s v="STFI"/>
    <s v="Mr. Zschenderlein"/>
    <m/>
    <n v="23000"/>
    <m/>
    <m/>
    <m/>
    <m/>
    <m/>
    <m/>
    <m/>
    <m/>
    <m/>
    <m/>
    <s v="SENAI"/>
    <s v="Leonardo Furtado"/>
    <n v="56000"/>
    <m/>
    <m/>
    <m/>
    <m/>
    <m/>
    <m/>
    <m/>
    <m/>
    <m/>
    <m/>
    <m/>
    <m/>
    <m/>
    <m/>
    <m/>
    <m/>
    <m/>
    <m/>
    <m/>
    <n v="33000"/>
    <n v="33000"/>
    <n v="33000"/>
    <n v="0"/>
    <n v="0"/>
    <n v="1"/>
    <n v="1"/>
    <s v="Industry"/>
    <n v="0"/>
    <n v="33000"/>
    <n v="0"/>
    <n v="0"/>
    <n v="0"/>
    <e v="#DIV/0!"/>
    <e v="#DIV/0!"/>
    <n v="0"/>
    <n v="0"/>
    <n v="33000"/>
    <n v="33000"/>
    <n v="0"/>
    <n v="33000"/>
    <n v="0"/>
    <n v="0"/>
    <n v="0"/>
    <n v="0"/>
    <n v="33000"/>
    <n v="23000"/>
    <n v="23000"/>
    <n v="0"/>
    <n v="56000"/>
    <n v="33000"/>
    <n v="1"/>
    <n v="33000"/>
    <n v="5925"/>
    <m/>
    <n v="9921"/>
    <n v="8779"/>
    <m/>
    <n v="0.15"/>
    <n v="4950"/>
    <n v="3425"/>
    <n v="8375"/>
  </r>
  <r>
    <x v="180"/>
    <m/>
    <x v="77"/>
    <x v="2"/>
    <m/>
    <m/>
    <x v="1"/>
    <x v="2"/>
    <m/>
    <m/>
    <x v="1"/>
    <s v="6. Proposal declined"/>
    <m/>
    <m/>
    <m/>
    <m/>
    <m/>
    <m/>
    <m/>
    <m/>
    <m/>
    <m/>
    <m/>
    <m/>
    <m/>
    <s v="IPK"/>
    <m/>
    <m/>
    <n v="33000"/>
    <m/>
    <m/>
    <m/>
    <s v="ITA"/>
    <m/>
    <m/>
    <m/>
    <n v="10000"/>
    <m/>
    <m/>
    <m/>
    <m/>
    <m/>
    <m/>
    <m/>
    <m/>
    <m/>
    <m/>
    <m/>
    <m/>
    <m/>
    <m/>
    <m/>
    <m/>
    <m/>
    <s v="AEA"/>
    <m/>
    <n v="43000"/>
    <m/>
    <m/>
    <m/>
    <m/>
    <m/>
    <m/>
    <m/>
    <m/>
    <m/>
    <m/>
    <m/>
    <m/>
    <m/>
    <m/>
    <m/>
    <m/>
    <m/>
    <m/>
    <m/>
    <n v="33000"/>
    <n v="33000"/>
    <n v="33000"/>
    <n v="0"/>
    <n v="0"/>
    <n v="1"/>
    <n v="1"/>
    <s v="Industry"/>
    <n v="0"/>
    <n v="33000"/>
    <n v="10000"/>
    <n v="10000"/>
    <n v="0"/>
    <n v="1"/>
    <s v="Industry"/>
    <n v="0"/>
    <n v="10000"/>
    <n v="43000"/>
    <n v="43000"/>
    <n v="0"/>
    <n v="43000"/>
    <n v="0"/>
    <n v="0"/>
    <n v="0"/>
    <n v="0"/>
    <n v="43000"/>
    <n v="0"/>
    <n v="0"/>
    <n v="0"/>
    <n v="43000"/>
    <n v="33000"/>
    <m/>
    <n v="0"/>
    <m/>
    <m/>
    <m/>
    <m/>
    <m/>
    <m/>
    <n v="0"/>
    <m/>
    <n v="0"/>
  </r>
  <r>
    <x v="181"/>
    <s v="Materials for power transmission towers"/>
    <x v="64"/>
    <x v="1"/>
    <n v="1"/>
    <n v="0"/>
    <x v="2"/>
    <x v="2"/>
    <m/>
    <d v="2019-08-19T00:00:00"/>
    <x v="1"/>
    <s v="6. Proposal declined"/>
    <m/>
    <m/>
    <m/>
    <m/>
    <n v="18"/>
    <m/>
    <m/>
    <m/>
    <m/>
    <m/>
    <m/>
    <m/>
    <d v="2020-02-17T00:00:00"/>
    <s v="IPK"/>
    <m/>
    <m/>
    <m/>
    <m/>
    <m/>
    <m/>
    <s v="ITA"/>
    <s v="André Lima "/>
    <s v="André Lima / André Luiz "/>
    <m/>
    <n v="347939.04108000279"/>
    <m/>
    <m/>
    <m/>
    <m/>
    <m/>
    <m/>
    <m/>
    <m/>
    <m/>
    <m/>
    <m/>
    <m/>
    <m/>
    <m/>
    <m/>
    <m/>
    <m/>
    <s v="Eolic Future"/>
    <m/>
    <n v="347939.04108000279"/>
    <m/>
    <m/>
    <m/>
    <m/>
    <m/>
    <m/>
    <m/>
    <m/>
    <m/>
    <m/>
    <m/>
    <m/>
    <m/>
    <m/>
    <m/>
    <m/>
    <m/>
    <m/>
    <m/>
    <n v="0"/>
    <n v="0"/>
    <n v="0"/>
    <n v="0"/>
    <n v="0"/>
    <e v="#DIV/0!"/>
    <e v="#DIV/0!"/>
    <s v="Industry"/>
    <n v="0"/>
    <n v="0"/>
    <n v="347939.04108000279"/>
    <n v="347939.04108000279"/>
    <n v="0"/>
    <n v="1"/>
    <s v="Industry"/>
    <n v="0"/>
    <n v="347939.04108000279"/>
    <n v="347939.04108000279"/>
    <n v="347939.04108000279"/>
    <n v="0"/>
    <n v="347939.04108000279"/>
    <n v="0"/>
    <n v="0"/>
    <n v="0"/>
    <n v="0"/>
    <n v="347939.04108000279"/>
    <n v="0"/>
    <n v="0"/>
    <n v="0"/>
    <n v="347939.04108000279"/>
    <n v="0"/>
    <m/>
    <n v="0"/>
    <m/>
    <m/>
    <m/>
    <m/>
    <m/>
    <m/>
    <n v="0"/>
    <m/>
    <n v="0"/>
  </r>
  <r>
    <x v="182"/>
    <m/>
    <x v="61"/>
    <x v="0"/>
    <m/>
    <m/>
    <x v="0"/>
    <x v="2"/>
    <m/>
    <m/>
    <x v="6"/>
    <m/>
    <m/>
    <m/>
    <m/>
    <m/>
    <n v="24"/>
    <m/>
    <m/>
    <m/>
    <m/>
    <m/>
    <m/>
    <m/>
    <m/>
    <s v="IPK"/>
    <m/>
    <n v="0"/>
    <n v="36850"/>
    <n v="0"/>
    <n v="0"/>
    <n v="0"/>
    <s v="ITA"/>
    <m/>
    <s v="N/A"/>
    <n v="0"/>
    <m/>
    <n v="0"/>
    <n v="0"/>
    <n v="0"/>
    <s v="N/A"/>
    <s v="N/A"/>
    <n v="0"/>
    <n v="0"/>
    <n v="0"/>
    <n v="0"/>
    <n v="0"/>
    <s v="N/A"/>
    <s v="N/A"/>
    <n v="0"/>
    <n v="0"/>
    <n v="0"/>
    <n v="0"/>
    <n v="0"/>
    <s v="CBMM"/>
    <m/>
    <n v="36850"/>
    <n v="0"/>
    <s v="N/A"/>
    <s v="N/A"/>
    <n v="0"/>
    <n v="0"/>
    <s v="N/A"/>
    <s v="N/A"/>
    <n v="0"/>
    <n v="0"/>
    <s v="N/A"/>
    <s v="N/A"/>
    <n v="0"/>
    <n v="0"/>
    <s v="N/A"/>
    <s v="N/A"/>
    <n v="0"/>
    <s v="N/A"/>
    <s v="N/A"/>
    <n v="0"/>
    <n v="36850"/>
    <n v="36850"/>
    <n v="36850"/>
    <n v="0"/>
    <n v="0"/>
    <n v="1"/>
    <n v="1"/>
    <s v="Industry"/>
    <n v="0"/>
    <n v="36850"/>
    <n v="0"/>
    <n v="0"/>
    <n v="0"/>
    <e v="#DIV/0!"/>
    <e v="#DIV/0!"/>
    <n v="0"/>
    <n v="0"/>
    <n v="36850"/>
    <n v="36850"/>
    <n v="0"/>
    <n v="36850"/>
    <n v="0"/>
    <n v="0"/>
    <n v="0"/>
    <n v="0"/>
    <n v="36850"/>
    <n v="0"/>
    <n v="0"/>
    <n v="0"/>
    <n v="36850"/>
    <n v="36850"/>
    <n v="1"/>
    <n v="36850"/>
    <m/>
    <m/>
    <n v="36850"/>
    <m/>
    <m/>
    <n v="0"/>
    <n v="0"/>
    <n v="0"/>
    <n v="0"/>
  </r>
  <r>
    <x v="183"/>
    <s v="Design of a underwater tool of 600 Nm "/>
    <x v="112"/>
    <x v="0"/>
    <n v="1"/>
    <m/>
    <x v="2"/>
    <x v="2"/>
    <m/>
    <m/>
    <x v="1"/>
    <s v="6. Proposal declined"/>
    <n v="4.3110999999999997"/>
    <m/>
    <m/>
    <m/>
    <m/>
    <m/>
    <m/>
    <m/>
    <m/>
    <d v="2019-10-28T00:00:00"/>
    <m/>
    <m/>
    <d v="2020-10-13T00:00:00"/>
    <s v="IPK"/>
    <m/>
    <m/>
    <m/>
    <m/>
    <m/>
    <m/>
    <s v="ITA"/>
    <s v="Carlos Eguti "/>
    <s v="Weslley Oliveira / Aline Matheus "/>
    <m/>
    <n v="39433.091322400316"/>
    <m/>
    <m/>
    <m/>
    <m/>
    <m/>
    <m/>
    <m/>
    <m/>
    <m/>
    <m/>
    <m/>
    <m/>
    <m/>
    <m/>
    <m/>
    <m/>
    <m/>
    <m/>
    <m/>
    <m/>
    <m/>
    <m/>
    <m/>
    <m/>
    <m/>
    <m/>
    <m/>
    <m/>
    <m/>
    <m/>
    <m/>
    <m/>
    <m/>
    <m/>
    <m/>
    <m/>
    <m/>
    <m/>
    <m/>
    <n v="0"/>
    <n v="0"/>
    <n v="0"/>
    <n v="0"/>
    <n v="0"/>
    <e v="#DIV/0!"/>
    <e v="#DIV/0!"/>
    <s v="Industry"/>
    <n v="0"/>
    <n v="0"/>
    <n v="39433.091322400316"/>
    <n v="39433.091322400316"/>
    <n v="0"/>
    <n v="1"/>
    <s v="Industry"/>
    <n v="0"/>
    <n v="39433.091322400316"/>
    <n v="39433.091322400316"/>
    <n v="39433.091322400316"/>
    <n v="0"/>
    <n v="39433.091322400316"/>
    <n v="0"/>
    <n v="0"/>
    <n v="0"/>
    <n v="0"/>
    <n v="39433.091322400316"/>
    <n v="0"/>
    <n v="0"/>
    <n v="0"/>
    <n v="39433.091322400316"/>
    <n v="0"/>
    <m/>
    <n v="0"/>
    <m/>
    <m/>
    <m/>
    <m/>
    <m/>
    <m/>
    <n v="0"/>
    <m/>
    <n v="0"/>
  </r>
  <r>
    <x v="184"/>
    <s v="Automation of the piezometer measurement process in dams"/>
    <x v="113"/>
    <x v="0"/>
    <n v="1"/>
    <n v="0"/>
    <x v="2"/>
    <x v="2"/>
    <m/>
    <m/>
    <x v="1"/>
    <s v="6. Proposal declined"/>
    <m/>
    <m/>
    <m/>
    <m/>
    <m/>
    <m/>
    <m/>
    <m/>
    <m/>
    <m/>
    <m/>
    <m/>
    <d v="2019-09-11T00:00:00"/>
    <s v="IPK"/>
    <m/>
    <m/>
    <m/>
    <m/>
    <m/>
    <m/>
    <s v="ITA"/>
    <s v="Carlos Eguti"/>
    <s v="Weslley Oliveira / Aline Matheus "/>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85"/>
    <s v="Virtual Reality and augmented reality in Air Traffic Control"/>
    <x v="67"/>
    <x v="0"/>
    <n v="2"/>
    <m/>
    <x v="2"/>
    <x v="1"/>
    <m/>
    <m/>
    <x v="1"/>
    <s v="6. Proposal declined"/>
    <n v="4.3110999999999997"/>
    <s v="Only Public Funding"/>
    <m/>
    <m/>
    <m/>
    <m/>
    <m/>
    <m/>
    <d v="2020-06-10T00:00:00"/>
    <m/>
    <m/>
    <m/>
    <d v="2020-09-29T00:00:00"/>
    <s v="IPK"/>
    <m/>
    <m/>
    <m/>
    <m/>
    <m/>
    <m/>
    <s v="ITA"/>
    <s v="Emília Vilanni "/>
    <s v="Weslley Oliveira / Aline Matheus "/>
    <m/>
    <m/>
    <m/>
    <n v="324743.1050080026"/>
    <m/>
    <m/>
    <m/>
    <m/>
    <m/>
    <m/>
    <m/>
    <m/>
    <m/>
    <m/>
    <m/>
    <m/>
    <m/>
    <m/>
    <m/>
    <m/>
    <m/>
    <m/>
    <m/>
    <m/>
    <m/>
    <m/>
    <m/>
    <m/>
    <m/>
    <m/>
    <m/>
    <m/>
    <m/>
    <m/>
    <m/>
    <m/>
    <m/>
    <m/>
    <m/>
    <m/>
    <m/>
    <n v="0"/>
    <n v="0"/>
    <n v="0"/>
    <n v="0"/>
    <n v="0"/>
    <e v="#DIV/0!"/>
    <e v="#DIV/0!"/>
    <s v="Public Funding"/>
    <n v="0"/>
    <n v="0"/>
    <n v="324743.1050080026"/>
    <n v="0"/>
    <n v="324743.1050080026"/>
    <n v="0"/>
    <s v="Public Funding"/>
    <n v="0"/>
    <n v="324743.1050080026"/>
    <n v="324743.1050080026"/>
    <n v="0"/>
    <n v="0"/>
    <n v="0"/>
    <n v="324743.1050080026"/>
    <n v="0"/>
    <n v="324743.1050080026"/>
    <n v="0"/>
    <n v="324743.1050080026"/>
    <n v="0"/>
    <n v="0"/>
    <n v="0"/>
    <n v="324743.1050080026"/>
    <n v="0"/>
    <m/>
    <n v="0"/>
    <m/>
    <m/>
    <m/>
    <m/>
    <m/>
    <m/>
    <n v="0"/>
    <m/>
    <n v="0"/>
  </r>
  <r>
    <x v="186"/>
    <s v="To be defined"/>
    <x v="114"/>
    <x v="2"/>
    <n v="1"/>
    <n v="0"/>
    <x v="2"/>
    <x v="2"/>
    <m/>
    <d v="2019-09-09T00:00:00"/>
    <x v="1"/>
    <s v="6. Proposal declined"/>
    <m/>
    <m/>
    <m/>
    <m/>
    <m/>
    <m/>
    <d v="2019-10-07T00:00:00"/>
    <m/>
    <m/>
    <m/>
    <m/>
    <m/>
    <d v="2020-02-17T00:00:00"/>
    <s v="IPK"/>
    <m/>
    <m/>
    <m/>
    <m/>
    <m/>
    <m/>
    <s v="ITA"/>
    <s v="Natália D'Ávila / Wesley Oliveira"/>
    <s v="Fábio Sena / Natália D´Ávila "/>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87"/>
    <s v="Conveincing a new method of inspection to identification of defects from vehicle frame"/>
    <x v="115"/>
    <x v="2"/>
    <n v="1"/>
    <n v="0"/>
    <x v="2"/>
    <x v="2"/>
    <m/>
    <d v="2019-09-09T00:00:00"/>
    <x v="1"/>
    <s v="6. Proposal declined"/>
    <n v="6.7"/>
    <m/>
    <m/>
    <m/>
    <m/>
    <m/>
    <d v="2019-10-07T00:00:00"/>
    <d v="2021-03-08T00:00:00"/>
    <d v="2020-05-10T00:00:00"/>
    <m/>
    <m/>
    <m/>
    <d v="2022-02-24T00:00:00"/>
    <s v="IPK"/>
    <m/>
    <m/>
    <m/>
    <m/>
    <m/>
    <m/>
    <s v="ITA"/>
    <s v="André Canal"/>
    <s v="André Canal"/>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88"/>
    <s v="To be defined"/>
    <x v="116"/>
    <x v="2"/>
    <n v="1"/>
    <n v="0"/>
    <x v="2"/>
    <x v="2"/>
    <m/>
    <d v="2019-08-19T00:00:00"/>
    <x v="1"/>
    <s v="6. Proposal declined"/>
    <m/>
    <m/>
    <m/>
    <m/>
    <m/>
    <m/>
    <d v="2019-10-07T00:00:00"/>
    <m/>
    <m/>
    <m/>
    <m/>
    <m/>
    <d v="2020-05-27T00:00:00"/>
    <s v="IPK"/>
    <m/>
    <m/>
    <m/>
    <m/>
    <m/>
    <m/>
    <s v="ITA"/>
    <s v="Fábio Sena / André Lima "/>
    <s v="Fábio Sena / Natália D´Ávila "/>
    <n v="0"/>
    <n v="0"/>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89"/>
    <s v="Epicyclic speed multipliers for pipeline natural gas application"/>
    <x v="49"/>
    <x v="8"/>
    <n v="1"/>
    <n v="0"/>
    <x v="2"/>
    <x v="1"/>
    <m/>
    <d v="2019-09-09T00:00:00"/>
    <x v="1"/>
    <s v="6. Proposal declined"/>
    <m/>
    <m/>
    <m/>
    <m/>
    <n v="48"/>
    <m/>
    <m/>
    <m/>
    <d v="2019-10-07T00:00:00"/>
    <d v="2019-12-11T00:00:00"/>
    <m/>
    <m/>
    <d v="2020-04-02T00:00:00"/>
    <s v="IPK"/>
    <m/>
    <m/>
    <m/>
    <m/>
    <m/>
    <m/>
    <s v="ITA"/>
    <s v="Ronnie Rego"/>
    <s v="Ronnie Rego"/>
    <m/>
    <m/>
    <m/>
    <n v="1067013.0593120086"/>
    <m/>
    <m/>
    <m/>
    <m/>
    <m/>
    <m/>
    <m/>
    <m/>
    <m/>
    <m/>
    <m/>
    <m/>
    <m/>
    <m/>
    <m/>
    <s v="PETROBRAS"/>
    <m/>
    <m/>
    <m/>
    <m/>
    <m/>
    <m/>
    <m/>
    <m/>
    <m/>
    <m/>
    <m/>
    <m/>
    <m/>
    <m/>
    <m/>
    <s v="ANP"/>
    <m/>
    <m/>
    <m/>
    <m/>
    <m/>
    <n v="0"/>
    <n v="0"/>
    <n v="0"/>
    <n v="0"/>
    <n v="0"/>
    <e v="#DIV/0!"/>
    <e v="#DIV/0!"/>
    <s v="Public Funding"/>
    <n v="0"/>
    <n v="0"/>
    <n v="1067013.0593120086"/>
    <n v="0"/>
    <n v="1067013.0593120086"/>
    <n v="0"/>
    <s v="Public Funding"/>
    <n v="0"/>
    <n v="1067013.0593120086"/>
    <n v="1067013.0593120086"/>
    <n v="0"/>
    <n v="0"/>
    <n v="0"/>
    <n v="1067013.0593120086"/>
    <n v="0"/>
    <n v="1067013.0593120086"/>
    <n v="0"/>
    <n v="1067013.0593120086"/>
    <n v="0"/>
    <n v="0"/>
    <n v="0"/>
    <n v="1067013.0593120086"/>
    <n v="0"/>
    <m/>
    <n v="0"/>
    <m/>
    <m/>
    <m/>
    <m/>
    <m/>
    <m/>
    <n v="0"/>
    <m/>
    <n v="0"/>
  </r>
  <r>
    <x v="190"/>
    <s v="Epicyclic speed multipliers for pipeline natural gas application (Infraestructure)"/>
    <x v="49"/>
    <x v="8"/>
    <n v="1"/>
    <n v="0"/>
    <x v="2"/>
    <x v="1"/>
    <m/>
    <d v="2019-09-09T00:00:00"/>
    <x v="1"/>
    <s v="6. Proposal declined"/>
    <m/>
    <m/>
    <m/>
    <m/>
    <n v="18"/>
    <m/>
    <m/>
    <m/>
    <m/>
    <d v="2019-08-19T00:00:00"/>
    <m/>
    <m/>
    <d v="2020-04-02T00:00:00"/>
    <s v="IPK"/>
    <m/>
    <m/>
    <m/>
    <m/>
    <m/>
    <m/>
    <s v="ITA"/>
    <s v="Ronnie Rego "/>
    <s v="Ronnie Rego"/>
    <m/>
    <m/>
    <m/>
    <n v="301547.16893600242"/>
    <m/>
    <m/>
    <m/>
    <m/>
    <m/>
    <m/>
    <m/>
    <m/>
    <m/>
    <m/>
    <m/>
    <m/>
    <m/>
    <m/>
    <m/>
    <s v="PETROBRAS"/>
    <m/>
    <m/>
    <m/>
    <m/>
    <m/>
    <m/>
    <m/>
    <m/>
    <m/>
    <m/>
    <m/>
    <m/>
    <m/>
    <m/>
    <m/>
    <s v="ANP"/>
    <m/>
    <m/>
    <m/>
    <m/>
    <m/>
    <n v="0"/>
    <n v="0"/>
    <n v="0"/>
    <n v="0"/>
    <n v="0"/>
    <e v="#DIV/0!"/>
    <e v="#DIV/0!"/>
    <s v="Public Funding"/>
    <n v="0"/>
    <n v="0"/>
    <n v="301547.16893600242"/>
    <n v="0"/>
    <n v="301547.16893600242"/>
    <n v="0"/>
    <s v="Public Funding"/>
    <n v="0"/>
    <n v="301547.16893600242"/>
    <n v="301547.16893600242"/>
    <n v="0"/>
    <n v="0"/>
    <n v="0"/>
    <n v="301547.16893600242"/>
    <n v="0"/>
    <n v="301547.16893600242"/>
    <n v="0"/>
    <n v="301547.16893600242"/>
    <n v="0"/>
    <n v="0"/>
    <n v="0"/>
    <n v="301547.16893600242"/>
    <n v="0"/>
    <m/>
    <n v="0"/>
    <m/>
    <m/>
    <m/>
    <m/>
    <m/>
    <m/>
    <n v="0"/>
    <m/>
    <n v="0"/>
  </r>
  <r>
    <x v="191"/>
    <s v="CFD Calibration of gearboxes"/>
    <x v="117"/>
    <x v="3"/>
    <n v="2"/>
    <n v="0"/>
    <x v="2"/>
    <x v="2"/>
    <m/>
    <d v="2020-03-10T00:00:00"/>
    <x v="4"/>
    <s v="5. Project running"/>
    <n v="5.89"/>
    <s v="BM04B"/>
    <m/>
    <m/>
    <n v="12"/>
    <m/>
    <m/>
    <m/>
    <d v="2020-04-02T00:00:00"/>
    <d v="2021-08-18T00:00:00"/>
    <d v="2022-02-14T00:00:00"/>
    <m/>
    <m/>
    <s v="IPK"/>
    <m/>
    <m/>
    <m/>
    <m/>
    <m/>
    <m/>
    <s v="ITA"/>
    <s v="Rodrigo Metzger"/>
    <s v="Angelo Carvalho"/>
    <m/>
    <n v="16977.92869269949"/>
    <m/>
    <n v="25466.893039049239"/>
    <n v="8488.964346349745"/>
    <m/>
    <m/>
    <m/>
    <m/>
    <m/>
    <m/>
    <m/>
    <m/>
    <m/>
    <m/>
    <m/>
    <m/>
    <m/>
    <m/>
    <s v="WEG CESTARI"/>
    <m/>
    <n v="16977.92869269949"/>
    <m/>
    <m/>
    <m/>
    <m/>
    <m/>
    <m/>
    <m/>
    <m/>
    <m/>
    <m/>
    <m/>
    <m/>
    <m/>
    <s v="EMBRAPII"/>
    <m/>
    <n v="25466.893039049239"/>
    <m/>
    <m/>
    <m/>
    <n v="0"/>
    <n v="0"/>
    <n v="0"/>
    <n v="0"/>
    <n v="0"/>
    <e v="#DIV/0!"/>
    <e v="#DIV/0!"/>
    <s v="Industry"/>
    <n v="0"/>
    <n v="0"/>
    <n v="42444.821731748729"/>
    <n v="16977.92869269949"/>
    <n v="25466.893039049239"/>
    <n v="0.39999999999999997"/>
    <s v="Public Funding"/>
    <n v="0"/>
    <n v="42444.821731748729"/>
    <n v="42444.821731748729"/>
    <n v="16977.92869269949"/>
    <n v="0"/>
    <n v="16977.92869269949"/>
    <n v="25466.893039049239"/>
    <n v="0"/>
    <n v="25466.893039049239"/>
    <n v="0"/>
    <n v="42444.821731748729"/>
    <n v="0"/>
    <n v="0"/>
    <n v="0"/>
    <n v="42444.821731748729"/>
    <n v="0"/>
    <m/>
    <n v="0"/>
    <m/>
    <m/>
    <m/>
    <m/>
    <m/>
    <m/>
    <n v="0"/>
    <m/>
    <n v="0"/>
  </r>
  <r>
    <x v="192"/>
    <m/>
    <x v="53"/>
    <x v="3"/>
    <m/>
    <m/>
    <x v="2"/>
    <x v="2"/>
    <m/>
    <m/>
    <x v="1"/>
    <s v="6. Proposal declined"/>
    <m/>
    <m/>
    <m/>
    <m/>
    <m/>
    <m/>
    <m/>
    <m/>
    <m/>
    <m/>
    <m/>
    <m/>
    <d v="2019-10-07T00:00:00"/>
    <s v="IPK"/>
    <m/>
    <m/>
    <m/>
    <m/>
    <m/>
    <m/>
    <s v="ITA"/>
    <s v="Tiago Colombo"/>
    <s v="Fábio Sena / Natália D´Ávila "/>
    <m/>
    <n v="29762"/>
    <m/>
    <m/>
    <m/>
    <m/>
    <m/>
    <m/>
    <m/>
    <m/>
    <m/>
    <m/>
    <m/>
    <m/>
    <m/>
    <m/>
    <m/>
    <m/>
    <m/>
    <s v="ArcelorMittal"/>
    <m/>
    <n v="29762"/>
    <m/>
    <m/>
    <m/>
    <m/>
    <m/>
    <m/>
    <m/>
    <m/>
    <m/>
    <m/>
    <m/>
    <m/>
    <m/>
    <m/>
    <m/>
    <m/>
    <m/>
    <m/>
    <m/>
    <n v="0"/>
    <n v="0"/>
    <n v="0"/>
    <n v="0"/>
    <n v="0"/>
    <e v="#DIV/0!"/>
    <e v="#DIV/0!"/>
    <s v="Industry"/>
    <n v="0"/>
    <n v="0"/>
    <n v="29762"/>
    <n v="29762"/>
    <n v="0"/>
    <n v="1"/>
    <s v="Industry"/>
    <n v="0"/>
    <n v="29762"/>
    <n v="29762"/>
    <n v="29762"/>
    <n v="0"/>
    <n v="29762"/>
    <n v="0"/>
    <n v="0"/>
    <n v="0"/>
    <n v="0"/>
    <n v="29762"/>
    <n v="0"/>
    <n v="0"/>
    <n v="0"/>
    <n v="29762"/>
    <n v="0"/>
    <m/>
    <n v="0"/>
    <m/>
    <m/>
    <m/>
    <m/>
    <m/>
    <m/>
    <n v="0"/>
    <n v="0"/>
    <n v="0"/>
  </r>
  <r>
    <x v="193"/>
    <m/>
    <x v="11"/>
    <x v="0"/>
    <n v="1"/>
    <n v="2"/>
    <x v="1"/>
    <x v="1"/>
    <m/>
    <d v="2019-08-25T00:00:00"/>
    <x v="6"/>
    <s v="5. Project running"/>
    <m/>
    <m/>
    <m/>
    <d v="2020-01-01T00:00:00"/>
    <m/>
    <d v="2020-10-31T00:00:00"/>
    <m/>
    <m/>
    <d v="2019-08-25T00:00:00"/>
    <m/>
    <m/>
    <d v="2021-12-31T00:00:00"/>
    <m/>
    <s v="IPK"/>
    <s v="D. Domingos_x000a_Kai Lindow"/>
    <m/>
    <m/>
    <m/>
    <n v="12710"/>
    <n v="7160"/>
    <s v="ITA"/>
    <s v="Ronnie Rego "/>
    <s v="Ronnie Rego"/>
    <m/>
    <m/>
    <m/>
    <m/>
    <m/>
    <m/>
    <m/>
    <m/>
    <m/>
    <m/>
    <m/>
    <m/>
    <m/>
    <m/>
    <m/>
    <m/>
    <m/>
    <m/>
    <m/>
    <m/>
    <m/>
    <m/>
    <m/>
    <m/>
    <m/>
    <m/>
    <m/>
    <m/>
    <m/>
    <m/>
    <m/>
    <m/>
    <m/>
    <m/>
    <m/>
    <s v="DWIH"/>
    <s v="Marcio Weichert"/>
    <n v="12710"/>
    <m/>
    <m/>
    <m/>
    <n v="19870"/>
    <n v="12710"/>
    <n v="0"/>
    <n v="12710"/>
    <n v="7160"/>
    <n v="0.63965777554101666"/>
    <n v="0"/>
    <s v="Public Funding"/>
    <n v="0"/>
    <n v="12710"/>
    <n v="0"/>
    <n v="0"/>
    <n v="0"/>
    <e v="#DIV/0!"/>
    <e v="#DIV/0!"/>
    <n v="0"/>
    <n v="0"/>
    <n v="19870"/>
    <n v="0"/>
    <n v="0"/>
    <n v="0"/>
    <n v="12710"/>
    <n v="0"/>
    <n v="12710"/>
    <n v="0"/>
    <n v="12710"/>
    <n v="0"/>
    <n v="0"/>
    <n v="0"/>
    <n v="19870"/>
    <n v="12710"/>
    <n v="1"/>
    <n v="12710"/>
    <n v="4350"/>
    <m/>
    <m/>
    <m/>
    <m/>
    <n v="0"/>
    <n v="0"/>
    <n v="8360"/>
    <n v="8360"/>
  </r>
  <r>
    <x v="194"/>
    <m/>
    <x v="118"/>
    <x v="0"/>
    <n v="1"/>
    <n v="1"/>
    <x v="0"/>
    <x v="1"/>
    <m/>
    <d v="2019-09-30T00:00:00"/>
    <x v="4"/>
    <m/>
    <m/>
    <m/>
    <m/>
    <m/>
    <n v="1"/>
    <m/>
    <d v="2019-09-30T00:00:00"/>
    <m/>
    <d v="2019-12-15T00:00:00"/>
    <d v="2020-03-02T00:00:00"/>
    <d v="2020-04-30T00:00:00"/>
    <m/>
    <m/>
    <s v="IPK"/>
    <s v="David Domingos"/>
    <m/>
    <m/>
    <n v="10000"/>
    <m/>
    <m/>
    <s v="ITA"/>
    <m/>
    <m/>
    <m/>
    <m/>
    <m/>
    <m/>
    <m/>
    <m/>
    <m/>
    <m/>
    <m/>
    <m/>
    <m/>
    <m/>
    <m/>
    <m/>
    <m/>
    <m/>
    <m/>
    <m/>
    <m/>
    <m/>
    <m/>
    <m/>
    <m/>
    <m/>
    <m/>
    <m/>
    <m/>
    <m/>
    <m/>
    <m/>
    <m/>
    <m/>
    <m/>
    <m/>
    <m/>
    <s v="Federal Foreign Office"/>
    <s v="Johannes Bloos"/>
    <m/>
    <m/>
    <m/>
    <m/>
    <n v="10000"/>
    <n v="10000"/>
    <n v="0"/>
    <n v="10000"/>
    <n v="0"/>
    <n v="1"/>
    <n v="0"/>
    <s v="Public Funding"/>
    <n v="10000"/>
    <n v="0"/>
    <n v="0"/>
    <n v="0"/>
    <n v="0"/>
    <e v="#DIV/0!"/>
    <e v="#DIV/0!"/>
    <n v="0"/>
    <n v="0"/>
    <n v="10000"/>
    <n v="0"/>
    <n v="0"/>
    <n v="0"/>
    <n v="10000"/>
    <n v="10000"/>
    <n v="0"/>
    <n v="10000"/>
    <n v="0"/>
    <n v="0"/>
    <n v="0"/>
    <n v="0"/>
    <n v="10000"/>
    <n v="10000"/>
    <n v="1"/>
    <n v="10000"/>
    <m/>
    <m/>
    <m/>
    <n v="5000"/>
    <m/>
    <m/>
    <n v="0"/>
    <n v="5000"/>
    <n v="5000"/>
  </r>
  <r>
    <x v="195"/>
    <s v="Contact pattern"/>
    <x v="119"/>
    <x v="3"/>
    <n v="1"/>
    <n v="0"/>
    <x v="2"/>
    <x v="2"/>
    <m/>
    <m/>
    <x v="1"/>
    <s v="6. Proposal declined"/>
    <m/>
    <m/>
    <m/>
    <m/>
    <m/>
    <m/>
    <m/>
    <m/>
    <d v="2019-08-19T00:00:00"/>
    <m/>
    <m/>
    <m/>
    <d v="2019-09-09T00:00:00"/>
    <s v="IPK"/>
    <m/>
    <m/>
    <m/>
    <m/>
    <m/>
    <m/>
    <s v="ITA"/>
    <s v="Ronnie Rego "/>
    <s v="Nathianne Moura / Artur Cantisano "/>
    <m/>
    <m/>
    <m/>
    <m/>
    <m/>
    <m/>
    <m/>
    <m/>
    <m/>
    <m/>
    <m/>
    <m/>
    <m/>
    <m/>
    <m/>
    <m/>
    <m/>
    <m/>
    <m/>
    <m/>
    <m/>
    <m/>
    <m/>
    <m/>
    <m/>
    <m/>
    <m/>
    <m/>
    <m/>
    <m/>
    <m/>
    <m/>
    <m/>
    <m/>
    <m/>
    <m/>
    <m/>
    <m/>
    <m/>
    <m/>
    <m/>
    <n v="0"/>
    <n v="0"/>
    <n v="0"/>
    <n v="0"/>
    <n v="0"/>
    <e v="#DIV/0!"/>
    <e v="#DIV/0!"/>
    <s v="Industry"/>
    <n v="0"/>
    <n v="0"/>
    <n v="0"/>
    <n v="0"/>
    <n v="0"/>
    <e v="#DIV/0!"/>
    <e v="#DIV/0!"/>
    <n v="0"/>
    <n v="0"/>
    <n v="0"/>
    <n v="0"/>
    <n v="0"/>
    <n v="0"/>
    <n v="0"/>
    <n v="0"/>
    <n v="0"/>
    <n v="0"/>
    <n v="0"/>
    <n v="0"/>
    <n v="0"/>
    <n v="0"/>
    <n v="0"/>
    <n v="0"/>
    <m/>
    <n v="0"/>
    <m/>
    <m/>
    <m/>
    <m/>
    <m/>
    <m/>
    <n v="0"/>
    <m/>
    <n v="0"/>
  </r>
  <r>
    <x v="196"/>
    <s v="Evolution of Geometric Distortion During Manufacturing Chain of Cold Forged Gears"/>
    <x v="120"/>
    <x v="3"/>
    <m/>
    <m/>
    <x v="2"/>
    <x v="2"/>
    <m/>
    <m/>
    <x v="1"/>
    <s v="6. Proposal declined"/>
    <m/>
    <m/>
    <m/>
    <m/>
    <m/>
    <m/>
    <m/>
    <m/>
    <m/>
    <m/>
    <m/>
    <m/>
    <d v="2019-10-07T00:00:00"/>
    <s v="IPK"/>
    <m/>
    <m/>
    <m/>
    <m/>
    <m/>
    <m/>
    <s v="ITA"/>
    <s v="André Luiz Oliveira"/>
    <s v="Nathianne Moura / Artur Cantisano "/>
    <m/>
    <n v="68095"/>
    <m/>
    <m/>
    <m/>
    <m/>
    <m/>
    <m/>
    <m/>
    <m/>
    <m/>
    <m/>
    <m/>
    <m/>
    <m/>
    <m/>
    <m/>
    <m/>
    <m/>
    <s v="Zen"/>
    <m/>
    <n v="68095"/>
    <m/>
    <m/>
    <m/>
    <m/>
    <m/>
    <m/>
    <m/>
    <m/>
    <m/>
    <m/>
    <m/>
    <m/>
    <m/>
    <m/>
    <m/>
    <m/>
    <m/>
    <m/>
    <m/>
    <n v="0"/>
    <n v="0"/>
    <n v="0"/>
    <n v="0"/>
    <n v="0"/>
    <e v="#DIV/0!"/>
    <e v="#DIV/0!"/>
    <s v="Industry"/>
    <n v="0"/>
    <n v="0"/>
    <n v="68095"/>
    <n v="68095"/>
    <n v="0"/>
    <n v="1"/>
    <s v="Industry"/>
    <n v="0"/>
    <n v="68095"/>
    <n v="68095"/>
    <n v="68095"/>
    <n v="0"/>
    <n v="68095"/>
    <n v="0"/>
    <n v="0"/>
    <n v="0"/>
    <n v="0"/>
    <n v="68095"/>
    <n v="0"/>
    <n v="0"/>
    <n v="0"/>
    <n v="68095"/>
    <n v="0"/>
    <m/>
    <n v="0"/>
    <m/>
    <m/>
    <m/>
    <m/>
    <m/>
    <m/>
    <n v="0"/>
    <n v="0"/>
    <n v="0"/>
  </r>
  <r>
    <x v="197"/>
    <s v="Development of gearbox for eletric passenger vehicle "/>
    <x v="120"/>
    <x v="3"/>
    <n v="6"/>
    <n v="0"/>
    <x v="2"/>
    <x v="2"/>
    <s v="Related corporations: ZEN, WEG, Gerdau, SENAI Joinville, CIP. ITA subcontracted by SENAI-JVL "/>
    <d v="2020-02-27T00:00:00"/>
    <x v="4"/>
    <s v="5. Project running"/>
    <n v="6.7"/>
    <s v="BM02"/>
    <m/>
    <m/>
    <n v="24"/>
    <m/>
    <d v="2020-04-16T00:00:00"/>
    <m/>
    <d v="2020-07-08T00:00:00"/>
    <d v="2020-10-07T00:00:00"/>
    <d v="2021-03-23T00:00:00"/>
    <m/>
    <m/>
    <s v="IPK"/>
    <m/>
    <m/>
    <m/>
    <m/>
    <m/>
    <m/>
    <s v="ITA"/>
    <s v="Ronnie Rego"/>
    <s v="Angelo Carvalho"/>
    <m/>
    <n v="70895.522388059704"/>
    <m/>
    <m/>
    <m/>
    <m/>
    <m/>
    <m/>
    <m/>
    <m/>
    <m/>
    <m/>
    <m/>
    <m/>
    <m/>
    <m/>
    <m/>
    <m/>
    <m/>
    <m/>
    <m/>
    <m/>
    <m/>
    <m/>
    <m/>
    <m/>
    <m/>
    <m/>
    <m/>
    <m/>
    <m/>
    <m/>
    <m/>
    <m/>
    <m/>
    <m/>
    <m/>
    <m/>
    <m/>
    <m/>
    <m/>
    <n v="0"/>
    <n v="0"/>
    <n v="0"/>
    <n v="0"/>
    <n v="0"/>
    <e v="#DIV/0!"/>
    <e v="#DIV/0!"/>
    <s v="Industry"/>
    <n v="0"/>
    <n v="0"/>
    <n v="70895.522388059704"/>
    <n v="70895.522388059704"/>
    <n v="0"/>
    <n v="1"/>
    <s v="Industry"/>
    <n v="0"/>
    <n v="70895.522388059704"/>
    <n v="70895.522388059704"/>
    <n v="70895.522388059704"/>
    <n v="0"/>
    <n v="70895.522388059704"/>
    <n v="0"/>
    <n v="0"/>
    <n v="0"/>
    <n v="0"/>
    <n v="70895.522388059704"/>
    <n v="0"/>
    <n v="0"/>
    <n v="0"/>
    <n v="70895.522388059704"/>
    <n v="0"/>
    <m/>
    <n v="0"/>
    <m/>
    <m/>
    <m/>
    <m/>
    <m/>
    <m/>
    <n v="0"/>
    <m/>
    <n v="0"/>
  </r>
  <r>
    <x v="198"/>
    <s v="Development of an innovative high-throughput material analysis pipeline for an efficient qualification of AM parts"/>
    <x v="121"/>
    <x v="0"/>
    <m/>
    <n v="2"/>
    <x v="0"/>
    <x v="1"/>
    <s v="ZIM Program"/>
    <d v="2020-05-04T00:00:00"/>
    <x v="4"/>
    <m/>
    <m/>
    <m/>
    <m/>
    <d v="2021-01-01T00:00:00"/>
    <n v="24"/>
    <m/>
    <m/>
    <m/>
    <d v="2020-06-12T00:00:00"/>
    <d v="2020-10-09T00:00:00"/>
    <d v="2021-04-01T00:00:00"/>
    <m/>
    <m/>
    <s v="IPK"/>
    <s v="Gustavo Reis"/>
    <m/>
    <m/>
    <n v="219614"/>
    <m/>
    <m/>
    <m/>
    <m/>
    <m/>
    <m/>
    <m/>
    <m/>
    <m/>
    <m/>
    <s v="Xploraytion"/>
    <s v="Bernhand Hesse"/>
    <m/>
    <m/>
    <n v="450000"/>
    <m/>
    <m/>
    <m/>
    <m/>
    <m/>
    <m/>
    <m/>
    <m/>
    <m/>
    <s v="Xploraytion"/>
    <s v="Bernhard Hesse"/>
    <m/>
    <m/>
    <m/>
    <m/>
    <m/>
    <m/>
    <m/>
    <m/>
    <m/>
    <m/>
    <m/>
    <m/>
    <m/>
    <m/>
    <s v="BMWi"/>
    <m/>
    <n v="670000"/>
    <m/>
    <m/>
    <m/>
    <n v="219614"/>
    <n v="219614"/>
    <n v="0"/>
    <n v="219614"/>
    <n v="0"/>
    <n v="1"/>
    <n v="0"/>
    <s v="Public Funding"/>
    <n v="219614"/>
    <n v="0"/>
    <n v="0"/>
    <n v="0"/>
    <n v="0"/>
    <e v="#DIV/0!"/>
    <e v="#DIV/0!"/>
    <n v="0"/>
    <n v="0"/>
    <n v="219614"/>
    <n v="0"/>
    <n v="0"/>
    <n v="0"/>
    <n v="219614"/>
    <n v="219614"/>
    <n v="0"/>
    <n v="219614"/>
    <n v="0"/>
    <n v="450000"/>
    <n v="450000"/>
    <n v="0"/>
    <n v="669614"/>
    <n v="219614"/>
    <n v="1"/>
    <n v="219614"/>
    <m/>
    <m/>
    <m/>
    <m/>
    <m/>
    <n v="1"/>
    <n v="219614"/>
    <m/>
    <n v="2196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PivotTable6" cacheId="16" applyNumberFormats="0" applyBorderFormats="0" applyFontFormats="0" applyPatternFormats="0" applyAlignmentFormats="0" applyWidthHeightFormats="1" dataCaption="Werte" grandTotalCaption="Total" updatedVersion="6" minRefreshableVersion="3" showDrill="0" useAutoFormatting="1" itemPrintTitles="1" createdVersion="6" indent="0" compact="0" compactData="0" multipleFieldFilters="0">
  <location ref="B422:I435" firstHeaderRow="0" firstDataRow="1" firstDataCol="4" rowPageCount="1" colPageCount="1"/>
  <pivotFields count="118">
    <pivotField axis="axisRow" compact="0" outline="0" showAll="0" defaultSubtotal="0">
      <items count="200">
        <item x="83"/>
        <item x="119"/>
        <item x="122"/>
        <item x="137"/>
        <item x="138"/>
        <item x="172"/>
        <item x="182"/>
        <item x="130"/>
        <item x="84"/>
        <item x="120"/>
        <item x="167"/>
        <item x="82"/>
        <item x="164"/>
        <item x="103"/>
        <item x="67"/>
        <item x="142"/>
        <item x="89"/>
        <item x="163"/>
        <item x="179"/>
        <item x="178"/>
        <item x="53"/>
        <item x="50"/>
        <item x="70"/>
        <item x="139"/>
        <item x="147"/>
        <item x="176"/>
        <item x="54"/>
        <item x="64"/>
        <item x="126"/>
        <item x="170"/>
        <item x="117"/>
        <item x="141"/>
        <item x="128"/>
        <item x="127"/>
        <item x="136"/>
        <item x="156"/>
        <item x="192"/>
        <item x="123"/>
        <item x="116"/>
        <item x="149"/>
        <item x="55"/>
        <item x="92"/>
        <item x="146"/>
        <item x="77"/>
        <item x="129"/>
        <item x="60"/>
        <item x="68"/>
        <item x="193"/>
        <item x="150"/>
        <item x="57"/>
        <item x="181"/>
        <item x="78"/>
        <item x="155"/>
        <item x="159"/>
        <item x="132"/>
        <item x="104"/>
        <item x="74"/>
        <item x="111"/>
        <item x="110"/>
        <item x="109"/>
        <item x="189"/>
        <item x="190"/>
        <item x="154"/>
        <item x="165"/>
        <item x="188"/>
        <item x="186"/>
        <item x="187"/>
        <item x="69"/>
        <item x="95"/>
        <item x="62"/>
        <item x="166"/>
        <item x="56"/>
        <item x="65"/>
        <item x="152"/>
        <item x="58"/>
        <item x="195"/>
        <item x="90"/>
        <item x="114"/>
        <item x="108"/>
        <item x="63"/>
        <item m="1" x="199"/>
        <item x="71"/>
        <item x="88"/>
        <item x="52"/>
        <item x="85"/>
        <item x="153"/>
        <item x="135"/>
        <item x="196"/>
        <item x="133"/>
        <item x="162"/>
        <item x="59"/>
        <item x="87"/>
        <item x="76"/>
        <item x="184"/>
        <item x="158"/>
        <item x="161"/>
        <item x="113"/>
        <item x="173"/>
        <item x="125"/>
        <item x="180"/>
        <item x="171"/>
        <item x="140"/>
        <item x="73"/>
        <item x="91"/>
        <item x="194"/>
        <item x="177"/>
        <item x="97"/>
        <item x="144"/>
        <item x="106"/>
        <item x="105"/>
        <item x="100"/>
        <item x="183"/>
        <item x="148"/>
        <item x="75"/>
        <item x="102"/>
        <item x="143"/>
        <item x="51"/>
        <item x="107"/>
        <item x="157"/>
        <item x="168"/>
        <item x="93"/>
        <item x="66"/>
        <item x="160"/>
        <item x="121"/>
        <item x="79"/>
        <item x="96"/>
        <item x="101"/>
        <item x="151"/>
        <item x="198"/>
        <item x="118"/>
        <item x="169"/>
        <item x="185"/>
        <item x="94"/>
        <item x="80"/>
        <item x="99"/>
        <item x="81"/>
        <item x="145"/>
        <item x="131"/>
        <item x="134"/>
        <item x="174"/>
        <item x="175"/>
        <item x="43"/>
        <item x="44"/>
        <item x="45"/>
        <item x="47"/>
        <item x="48"/>
        <item x="112"/>
        <item x="115"/>
        <item x="124"/>
        <item x="197"/>
        <item x="42"/>
        <item x="41"/>
        <item x="46"/>
        <item x="40"/>
        <item x="72"/>
        <item x="38"/>
        <item x="49"/>
        <item x="37"/>
        <item x="32"/>
        <item x="33"/>
        <item x="35"/>
        <item x="36"/>
        <item x="18"/>
        <item x="19"/>
        <item x="20"/>
        <item x="21"/>
        <item x="22"/>
        <item x="23"/>
        <item x="24"/>
        <item x="25"/>
        <item x="26"/>
        <item x="27"/>
        <item x="28"/>
        <item x="29"/>
        <item x="30"/>
        <item x="31"/>
        <item x="34"/>
        <item x="39"/>
        <item x="61"/>
        <item x="86"/>
        <item x="98"/>
        <item x="14"/>
        <item x="15"/>
        <item x="16"/>
        <item x="7"/>
        <item x="8"/>
        <item x="9"/>
        <item x="10"/>
        <item x="11"/>
        <item x="12"/>
        <item x="13"/>
        <item x="191"/>
        <item x="6"/>
        <item x="0"/>
        <item x="1"/>
        <item x="2"/>
        <item x="3"/>
        <item x="4"/>
        <item x="5"/>
        <item x="17"/>
      </items>
    </pivotField>
    <pivotField compact="0" outline="0" showAll="0" defaultSubtotal="0"/>
    <pivotField axis="axisRow" compact="0" outline="0" showAll="0" defaultSubtotal="0">
      <items count="143">
        <item x="54"/>
        <item x="61"/>
        <item x="38"/>
        <item x="17"/>
        <item x="58"/>
        <item x="88"/>
        <item x="84"/>
        <item x="78"/>
        <item x="26"/>
        <item x="23"/>
        <item x="50"/>
        <item x="11"/>
        <item x="91"/>
        <item x="79"/>
        <item x="13"/>
        <item x="63"/>
        <item x="64"/>
        <item m="1" x="130"/>
        <item m="1" x="140"/>
        <item x="32"/>
        <item x="72"/>
        <item x="55"/>
        <item x="62"/>
        <item x="110"/>
        <item x="111"/>
        <item x="46"/>
        <item x="44"/>
        <item x="53"/>
        <item x="93"/>
        <item x="109"/>
        <item x="47"/>
        <item x="95"/>
        <item x="87"/>
        <item x="120"/>
        <item x="86"/>
        <item x="82"/>
        <item x="81"/>
        <item x="77"/>
        <item x="94"/>
        <item x="48"/>
        <item m="1" x="139"/>
        <item m="1" x="138"/>
        <item x="92"/>
        <item x="60"/>
        <item m="1" x="129"/>
        <item x="51"/>
        <item x="56"/>
        <item m="1" x="131"/>
        <item m="1" x="127"/>
        <item x="5"/>
        <item x="99"/>
        <item x="101"/>
        <item m="1" x="122"/>
        <item x="73"/>
        <item x="59"/>
        <item x="75"/>
        <item x="98"/>
        <item x="9"/>
        <item x="116"/>
        <item x="114"/>
        <item x="115"/>
        <item m="1" x="128"/>
        <item x="57"/>
        <item m="1" x="126"/>
        <item m="1" x="125"/>
        <item x="103"/>
        <item x="113"/>
        <item x="100"/>
        <item m="1" x="141"/>
        <item x="97"/>
        <item x="119"/>
        <item x="80"/>
        <item x="69"/>
        <item x="22"/>
        <item x="49"/>
        <item x="106"/>
        <item m="1" x="124"/>
        <item x="107"/>
        <item x="108"/>
        <item x="112"/>
        <item x="33"/>
        <item x="65"/>
        <item m="1" x="123"/>
        <item x="90"/>
        <item x="74"/>
        <item m="1" x="137"/>
        <item m="1" x="135"/>
        <item x="66"/>
        <item x="89"/>
        <item m="1" x="136"/>
        <item x="7"/>
        <item x="45"/>
        <item m="1" x="133"/>
        <item x="67"/>
        <item x="52"/>
        <item x="118"/>
        <item x="104"/>
        <item m="1" x="132"/>
        <item x="96"/>
        <item x="121"/>
        <item x="105"/>
        <item x="70"/>
        <item x="85"/>
        <item x="43"/>
        <item x="40"/>
        <item x="42"/>
        <item x="76"/>
        <item x="83"/>
        <item x="37"/>
        <item x="41"/>
        <item m="1" x="134"/>
        <item x="36"/>
        <item x="29"/>
        <item x="30"/>
        <item x="18"/>
        <item x="19"/>
        <item x="20"/>
        <item x="21"/>
        <item x="24"/>
        <item x="25"/>
        <item x="27"/>
        <item x="28"/>
        <item x="31"/>
        <item x="34"/>
        <item m="1" x="142"/>
        <item x="39"/>
        <item x="68"/>
        <item x="117"/>
        <item x="14"/>
        <item x="15"/>
        <item x="16"/>
        <item x="8"/>
        <item x="10"/>
        <item x="12"/>
        <item x="6"/>
        <item x="0"/>
        <item x="1"/>
        <item x="2"/>
        <item x="3"/>
        <item x="4"/>
        <item x="35"/>
        <item x="71"/>
        <item x="102"/>
      </items>
    </pivotField>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3">
        <item x="2"/>
        <item x="1"/>
        <item x="0"/>
      </items>
    </pivotField>
    <pivotField compact="0" outline="0" showAll="0" defaultSubtotal="0"/>
    <pivotField compact="0" outline="0" showAll="0" defaultSubtotal="0"/>
    <pivotField name="STAND-BY" axis="axisPage" compact="0" outline="0" showAll="0" defaultSubtotal="0">
      <items count="14">
        <item x="2"/>
        <item x="0"/>
        <item x="3"/>
        <item x="4"/>
        <item x="6"/>
        <item x="1"/>
        <item m="1" x="7"/>
        <item m="1" x="9"/>
        <item m="1" x="10"/>
        <item m="1" x="8"/>
        <item m="1" x="11"/>
        <item m="1" x="13"/>
        <item m="1" x="12"/>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outline="0" showAll="0" defaultSubtotal="0"/>
    <pivotField compact="0" numFmtId="166" outline="0" showAll="0" defaultSubtotal="0"/>
  </pivotFields>
  <rowFields count="4">
    <field x="0"/>
    <field x="6"/>
    <field x="7"/>
    <field x="2"/>
  </rowFields>
  <rowItems count="13">
    <i>
      <x v="19"/>
      <x v="1"/>
      <x/>
      <x v="24"/>
    </i>
    <i>
      <x v="23"/>
      <x/>
      <x/>
      <x v="3"/>
    </i>
    <i>
      <x v="44"/>
      <x/>
      <x/>
      <x v="107"/>
    </i>
    <i>
      <x v="90"/>
      <x v="2"/>
      <x/>
      <x v="10"/>
    </i>
    <i>
      <x v="105"/>
      <x/>
      <x/>
      <x v="23"/>
    </i>
    <i>
      <x v="123"/>
      <x v="2"/>
      <x/>
      <x v="71"/>
    </i>
    <i>
      <x v="136"/>
      <x/>
      <x/>
      <x v="12"/>
    </i>
    <i>
      <x v="159"/>
      <x v="2"/>
      <x/>
      <x v="113"/>
    </i>
    <i>
      <x v="161"/>
      <x v="2"/>
      <x/>
      <x v="80"/>
    </i>
    <i>
      <x v="163"/>
      <x v="2"/>
      <x/>
      <x v="115"/>
    </i>
    <i>
      <x v="164"/>
      <x v="2"/>
      <x/>
      <x v="116"/>
    </i>
    <i>
      <x v="167"/>
      <x v="2"/>
      <x/>
      <x v="9"/>
    </i>
    <i t="grand">
      <x/>
    </i>
  </rowItems>
  <colFields count="1">
    <field x="-2"/>
  </colFields>
  <colItems count="4">
    <i>
      <x/>
    </i>
    <i i="1">
      <x v="1"/>
    </i>
    <i i="2">
      <x v="2"/>
    </i>
    <i i="3">
      <x v="3"/>
    </i>
  </colItems>
  <pageFields count="1">
    <pageField fld="10" item="13" hier="-1"/>
  </pageFields>
  <dataFields count="4">
    <dataField name=" Total Project Volume" fld="105" baseField="2" baseItem="3" numFmtId="165"/>
    <dataField name=" Total Project Volume (IPK)" fld="76" baseField="0" baseItem="0" numFmtId="168"/>
    <dataField name=" Total Project Volume (ITA)" fld="86" baseField="0" baseItem="0" numFmtId="168"/>
    <dataField name=" Total Project Volume (Other)" fld="102" baseField="2" baseItem="3" numFmtId="165"/>
  </dataFields>
  <formats count="75">
    <format dxfId="844">
      <pivotArea type="all" dataOnly="0" outline="0" fieldPosition="0"/>
    </format>
    <format dxfId="843">
      <pivotArea field="0" type="button" dataOnly="0" labelOnly="1" outline="0" axis="axisRow" fieldPosition="0"/>
    </format>
    <format dxfId="842">
      <pivotArea dataOnly="0" labelOnly="1" grandRow="1" outline="0" fieldPosition="0"/>
    </format>
    <format dxfId="841">
      <pivotArea outline="0" fieldPosition="0">
        <references count="1">
          <reference field="4294967294" count="1">
            <x v="0"/>
          </reference>
        </references>
      </pivotArea>
    </format>
    <format dxfId="840">
      <pivotArea outline="0" fieldPosition="0">
        <references count="1">
          <reference field="4294967294" count="1">
            <x v="3"/>
          </reference>
        </references>
      </pivotArea>
    </format>
    <format dxfId="839">
      <pivotArea type="all" dataOnly="0" outline="0" fieldPosition="0"/>
    </format>
    <format dxfId="838">
      <pivotArea outline="0" collapsedLevelsAreSubtotals="1" fieldPosition="0"/>
    </format>
    <format dxfId="837">
      <pivotArea field="0" type="button" dataOnly="0" labelOnly="1" outline="0" axis="axisRow" fieldPosition="0"/>
    </format>
    <format dxfId="836">
      <pivotArea field="6" type="button" dataOnly="0" labelOnly="1" outline="0" axis="axisRow" fieldPosition="1"/>
    </format>
    <format dxfId="835">
      <pivotArea field="7" type="button" dataOnly="0" labelOnly="1" outline="0" axis="axisRow" fieldPosition="2"/>
    </format>
    <format dxfId="834">
      <pivotArea field="2" type="button" dataOnly="0" labelOnly="1" outline="0" axis="axisRow" fieldPosition="3"/>
    </format>
    <format dxfId="833">
      <pivotArea dataOnly="0" labelOnly="1" grandRow="1" outline="0" fieldPosition="0"/>
    </format>
    <format dxfId="832">
      <pivotArea dataOnly="0" labelOnly="1" outline="0" fieldPosition="0">
        <references count="1">
          <reference field="4294967294" count="2">
            <x v="0"/>
            <x v="3"/>
          </reference>
        </references>
      </pivotArea>
    </format>
    <format dxfId="831">
      <pivotArea field="0" type="button" dataOnly="0" labelOnly="1" outline="0" axis="axisRow" fieldPosition="0"/>
    </format>
    <format dxfId="830">
      <pivotArea field="6" type="button" dataOnly="0" labelOnly="1" outline="0" axis="axisRow" fieldPosition="1"/>
    </format>
    <format dxfId="829">
      <pivotArea field="7" type="button" dataOnly="0" labelOnly="1" outline="0" axis="axisRow" fieldPosition="2"/>
    </format>
    <format dxfId="828">
      <pivotArea field="2" type="button" dataOnly="0" labelOnly="1" outline="0" axis="axisRow" fieldPosition="3"/>
    </format>
    <format dxfId="827">
      <pivotArea dataOnly="0" labelOnly="1" outline="0" fieldPosition="0">
        <references count="1">
          <reference field="4294967294" count="2">
            <x v="0"/>
            <x v="3"/>
          </reference>
        </references>
      </pivotArea>
    </format>
    <format dxfId="826">
      <pivotArea grandRow="1" outline="0" collapsedLevelsAreSubtotals="1" fieldPosition="0"/>
    </format>
    <format dxfId="825">
      <pivotArea dataOnly="0" labelOnly="1" grandRow="1" outline="0" fieldPosition="0"/>
    </format>
    <format dxfId="824">
      <pivotArea type="all" dataOnly="0" outline="0" fieldPosition="0"/>
    </format>
    <format dxfId="823">
      <pivotArea outline="0" collapsedLevelsAreSubtotals="1" fieldPosition="0"/>
    </format>
    <format dxfId="822">
      <pivotArea field="0" type="button" dataOnly="0" labelOnly="1" outline="0" axis="axisRow" fieldPosition="0"/>
    </format>
    <format dxfId="821">
      <pivotArea field="6" type="button" dataOnly="0" labelOnly="1" outline="0" axis="axisRow" fieldPosition="1"/>
    </format>
    <format dxfId="820">
      <pivotArea field="7" type="button" dataOnly="0" labelOnly="1" outline="0" axis="axisRow" fieldPosition="2"/>
    </format>
    <format dxfId="819">
      <pivotArea field="2" type="button" dataOnly="0" labelOnly="1" outline="0" axis="axisRow" fieldPosition="3"/>
    </format>
    <format dxfId="818">
      <pivotArea dataOnly="0" labelOnly="1" grandRow="1" outline="0" fieldPosition="0"/>
    </format>
    <format dxfId="817">
      <pivotArea dataOnly="0" labelOnly="1" outline="0" fieldPosition="0">
        <references count="1">
          <reference field="4294967294" count="2">
            <x v="0"/>
            <x v="3"/>
          </reference>
        </references>
      </pivotArea>
    </format>
    <format dxfId="816">
      <pivotArea type="all" dataOnly="0" outline="0" fieldPosition="0"/>
    </format>
    <format dxfId="815">
      <pivotArea outline="0" collapsedLevelsAreSubtotals="1" fieldPosition="0"/>
    </format>
    <format dxfId="814">
      <pivotArea field="0" type="button" dataOnly="0" labelOnly="1" outline="0" axis="axisRow" fieldPosition="0"/>
    </format>
    <format dxfId="813">
      <pivotArea field="6" type="button" dataOnly="0" labelOnly="1" outline="0" axis="axisRow" fieldPosition="1"/>
    </format>
    <format dxfId="812">
      <pivotArea field="7" type="button" dataOnly="0" labelOnly="1" outline="0" axis="axisRow" fieldPosition="2"/>
    </format>
    <format dxfId="811">
      <pivotArea field="2" type="button" dataOnly="0" labelOnly="1" outline="0" axis="axisRow" fieldPosition="3"/>
    </format>
    <format dxfId="810">
      <pivotArea dataOnly="0" labelOnly="1" grandRow="1" outline="0" fieldPosition="0"/>
    </format>
    <format dxfId="809">
      <pivotArea dataOnly="0" labelOnly="1" outline="0" fieldPosition="0">
        <references count="1">
          <reference field="4294967294" count="2">
            <x v="0"/>
            <x v="3"/>
          </reference>
        </references>
      </pivotArea>
    </format>
    <format dxfId="808">
      <pivotArea dataOnly="0" outline="0" fieldPosition="0">
        <references count="1">
          <reference field="4294967294" count="2">
            <x v="0"/>
            <x v="3"/>
          </reference>
        </references>
      </pivotArea>
    </format>
    <format dxfId="807">
      <pivotArea dataOnly="0" outline="0" fieldPosition="0">
        <references count="1">
          <reference field="4294967294" count="2">
            <x v="0"/>
            <x v="3"/>
          </reference>
        </references>
      </pivotArea>
    </format>
    <format dxfId="806">
      <pivotArea dataOnly="0" outline="0" fieldPosition="0">
        <references count="1">
          <reference field="4294967294" count="2">
            <x v="0"/>
            <x v="3"/>
          </reference>
        </references>
      </pivotArea>
    </format>
    <format dxfId="805">
      <pivotArea outline="0" fieldPosition="0">
        <references count="1">
          <reference field="4294967294" count="2" selected="0">
            <x v="1"/>
            <x v="2"/>
          </reference>
        </references>
      </pivotArea>
    </format>
    <format dxfId="804">
      <pivotArea field="10" type="button" dataOnly="0" labelOnly="1" outline="0" axis="axisPage" fieldPosition="0"/>
    </format>
    <format dxfId="803">
      <pivotArea field="10" type="button" dataOnly="0" labelOnly="1" outline="0" axis="axisPage" fieldPosition="0"/>
    </format>
    <format dxfId="802">
      <pivotArea field="10" type="button" dataOnly="0" labelOnly="1" outline="0" axis="axisPage" fieldPosition="0"/>
    </format>
    <format dxfId="801">
      <pivotArea dataOnly="0" labelOnly="1" outline="0" fieldPosition="0">
        <references count="1">
          <reference field="10" count="1">
            <x v="13"/>
          </reference>
        </references>
      </pivotArea>
    </format>
    <format dxfId="800">
      <pivotArea field="0" type="button" dataOnly="0" labelOnly="1" outline="0" axis="axisRow" fieldPosition="0"/>
    </format>
    <format dxfId="799">
      <pivotArea field="6" type="button" dataOnly="0" labelOnly="1" outline="0" axis="axisRow" fieldPosition="1"/>
    </format>
    <format dxfId="798">
      <pivotArea field="7" type="button" dataOnly="0" labelOnly="1" outline="0" axis="axisRow" fieldPosition="2"/>
    </format>
    <format dxfId="797">
      <pivotArea field="2" type="button" dataOnly="0" labelOnly="1" outline="0" axis="axisRow" fieldPosition="3"/>
    </format>
    <format dxfId="796">
      <pivotArea dataOnly="0" labelOnly="1" outline="0" fieldPosition="0">
        <references count="1">
          <reference field="4294967294" count="4">
            <x v="0"/>
            <x v="1"/>
            <x v="2"/>
            <x v="3"/>
          </reference>
        </references>
      </pivotArea>
    </format>
    <format dxfId="795">
      <pivotArea grandRow="1" outline="0" collapsedLevelsAreSubtotals="1" fieldPosition="0"/>
    </format>
    <format dxfId="794">
      <pivotArea dataOnly="0" labelOnly="1" grandRow="1" outline="0" fieldPosition="0"/>
    </format>
    <format dxfId="793">
      <pivotArea field="10" type="button" dataOnly="0" labelOnly="1" outline="0" axis="axisPage" fieldPosition="0"/>
    </format>
    <format dxfId="792">
      <pivotArea field="10" type="button" dataOnly="0" labelOnly="1" outline="0" axis="axisPage" fieldPosition="0"/>
    </format>
    <format dxfId="791">
      <pivotArea field="10" type="button" dataOnly="0" labelOnly="1" outline="0" axis="axisPage" fieldPosition="0"/>
    </format>
    <format dxfId="790">
      <pivotArea type="all" dataOnly="0" outline="0" fieldPosition="0"/>
    </format>
    <format dxfId="789">
      <pivotArea outline="0" collapsedLevelsAreSubtotals="1" fieldPosition="0"/>
    </format>
    <format dxfId="788">
      <pivotArea field="0" type="button" dataOnly="0" labelOnly="1" outline="0" axis="axisRow" fieldPosition="0"/>
    </format>
    <format dxfId="787">
      <pivotArea field="6" type="button" dataOnly="0" labelOnly="1" outline="0" axis="axisRow" fieldPosition="1"/>
    </format>
    <format dxfId="786">
      <pivotArea field="7" type="button" dataOnly="0" labelOnly="1" outline="0" axis="axisRow" fieldPosition="2"/>
    </format>
    <format dxfId="785">
      <pivotArea field="2" type="button" dataOnly="0" labelOnly="1" outline="0" axis="axisRow" fieldPosition="3"/>
    </format>
    <format dxfId="784">
      <pivotArea dataOnly="0" labelOnly="1" outline="0" fieldPosition="0">
        <references count="1">
          <reference field="0" count="6">
            <x v="15"/>
            <x v="16"/>
            <x v="21"/>
            <x v="23"/>
            <x v="115"/>
            <x v="136"/>
          </reference>
        </references>
      </pivotArea>
    </format>
    <format dxfId="783">
      <pivotArea dataOnly="0" labelOnly="1" grandRow="1" outline="0" fieldPosition="0"/>
    </format>
    <format dxfId="782">
      <pivotArea dataOnly="0" labelOnly="1" outline="0" fieldPosition="0">
        <references count="2">
          <reference field="0" count="1" selected="0">
            <x v="15"/>
          </reference>
          <reference field="6" count="1">
            <x v="0"/>
          </reference>
        </references>
      </pivotArea>
    </format>
    <format dxfId="781">
      <pivotArea dataOnly="0" labelOnly="1" outline="0" fieldPosition="0">
        <references count="2">
          <reference field="0" count="1" selected="0">
            <x v="115"/>
          </reference>
          <reference field="6" count="1">
            <x v="1"/>
          </reference>
        </references>
      </pivotArea>
    </format>
    <format dxfId="780">
      <pivotArea dataOnly="0" labelOnly="1" outline="0" fieldPosition="0">
        <references count="2">
          <reference field="0" count="1" selected="0">
            <x v="136"/>
          </reference>
          <reference field="6" count="1">
            <x v="0"/>
          </reference>
        </references>
      </pivotArea>
    </format>
    <format dxfId="779">
      <pivotArea dataOnly="0" labelOnly="1" outline="0" fieldPosition="0">
        <references count="3">
          <reference field="0" count="1" selected="0">
            <x v="15"/>
          </reference>
          <reference field="6" count="1" selected="0">
            <x v="0"/>
          </reference>
          <reference field="7" count="1">
            <x v="0"/>
          </reference>
        </references>
      </pivotArea>
    </format>
    <format dxfId="778">
      <pivotArea dataOnly="0" labelOnly="1" outline="0" fieldPosition="0">
        <references count="3">
          <reference field="0" count="1" selected="0">
            <x v="21"/>
          </reference>
          <reference field="6" count="1" selected="0">
            <x v="0"/>
          </reference>
          <reference field="7" count="1">
            <x v="1"/>
          </reference>
        </references>
      </pivotArea>
    </format>
    <format dxfId="777">
      <pivotArea dataOnly="0" labelOnly="1" outline="0" fieldPosition="0">
        <references count="3">
          <reference field="0" count="1" selected="0">
            <x v="23"/>
          </reference>
          <reference field="6" count="1" selected="0">
            <x v="0"/>
          </reference>
          <reference field="7" count="1">
            <x v="0"/>
          </reference>
        </references>
      </pivotArea>
    </format>
    <format dxfId="776">
      <pivotArea dataOnly="0" labelOnly="1" outline="0" fieldPosition="0">
        <references count="4">
          <reference field="0" count="1" selected="0">
            <x v="15"/>
          </reference>
          <reference field="2" count="1">
            <x v="3"/>
          </reference>
          <reference field="6" count="1" selected="0">
            <x v="0"/>
          </reference>
          <reference field="7" count="1" selected="0">
            <x v="0"/>
          </reference>
        </references>
      </pivotArea>
    </format>
    <format dxfId="775">
      <pivotArea dataOnly="0" labelOnly="1" outline="0" fieldPosition="0">
        <references count="4">
          <reference field="0" count="1" selected="0">
            <x v="16"/>
          </reference>
          <reference field="2" count="1">
            <x v="3"/>
          </reference>
          <reference field="6" count="1" selected="0">
            <x v="0"/>
          </reference>
          <reference field="7" count="1" selected="0">
            <x v="0"/>
          </reference>
        </references>
      </pivotArea>
    </format>
    <format dxfId="774">
      <pivotArea dataOnly="0" labelOnly="1" outline="0" fieldPosition="0">
        <references count="4">
          <reference field="0" count="1" selected="0">
            <x v="21"/>
          </reference>
          <reference field="2" count="1">
            <x v="26"/>
          </reference>
          <reference field="6" count="1" selected="0">
            <x v="0"/>
          </reference>
          <reference field="7" count="1" selected="0">
            <x v="1"/>
          </reference>
        </references>
      </pivotArea>
    </format>
    <format dxfId="773">
      <pivotArea dataOnly="0" labelOnly="1" outline="0" fieldPosition="0">
        <references count="4">
          <reference field="0" count="1" selected="0">
            <x v="23"/>
          </reference>
          <reference field="2" count="1">
            <x v="3"/>
          </reference>
          <reference field="6" count="1" selected="0">
            <x v="0"/>
          </reference>
          <reference field="7" count="1" selected="0">
            <x v="0"/>
          </reference>
        </references>
      </pivotArea>
    </format>
    <format dxfId="772">
      <pivotArea dataOnly="0" labelOnly="1" outline="0" fieldPosition="0">
        <references count="4">
          <reference field="0" count="1" selected="0">
            <x v="115"/>
          </reference>
          <reference field="2" count="1">
            <x v="88"/>
          </reference>
          <reference field="6" count="1" selected="0">
            <x v="1"/>
          </reference>
          <reference field="7" count="1" selected="0">
            <x v="0"/>
          </reference>
        </references>
      </pivotArea>
    </format>
    <format dxfId="771">
      <pivotArea dataOnly="0" labelOnly="1" outline="0" fieldPosition="0">
        <references count="4">
          <reference field="0" count="1" selected="0">
            <x v="136"/>
          </reference>
          <reference field="2" count="1">
            <x v="12"/>
          </reference>
          <reference field="6" count="1" selected="0">
            <x v="0"/>
          </reference>
          <reference field="7" count="1" selected="0">
            <x v="0"/>
          </reference>
        </references>
      </pivotArea>
    </format>
    <format dxfId="770">
      <pivotArea dataOnly="0" labelOnly="1" outline="0" fieldPosition="0">
        <references count="1">
          <reference field="4294967294" count="4">
            <x v="0"/>
            <x v="1"/>
            <x v="2"/>
            <x v="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16" applyNumberFormats="0" applyBorderFormats="0" applyFontFormats="0" applyPatternFormats="0" applyAlignmentFormats="0" applyWidthHeightFormats="1" dataCaption="Werte" grandTotalCaption="Total" updatedVersion="6" minRefreshableVersion="3" showDrill="0" useAutoFormatting="1" itemPrintTitles="1" createdVersion="6" indent="0" compact="0" compactData="0" multipleFieldFilters="0">
  <location ref="B213:I226" firstHeaderRow="0" firstDataRow="1" firstDataCol="4" rowPageCount="1" colPageCount="1"/>
  <pivotFields count="118">
    <pivotField axis="axisRow" compact="0" outline="0" showAll="0" defaultSubtotal="0">
      <items count="200">
        <item x="83"/>
        <item x="119"/>
        <item x="122"/>
        <item x="137"/>
        <item x="138"/>
        <item x="172"/>
        <item x="182"/>
        <item x="130"/>
        <item x="84"/>
        <item x="120"/>
        <item x="167"/>
        <item x="82"/>
        <item x="164"/>
        <item x="103"/>
        <item x="67"/>
        <item x="142"/>
        <item x="89"/>
        <item x="163"/>
        <item x="179"/>
        <item x="178"/>
        <item x="53"/>
        <item x="50"/>
        <item x="70"/>
        <item x="139"/>
        <item x="147"/>
        <item x="176"/>
        <item x="54"/>
        <item x="64"/>
        <item x="126"/>
        <item x="170"/>
        <item x="117"/>
        <item x="141"/>
        <item x="128"/>
        <item x="127"/>
        <item x="136"/>
        <item x="156"/>
        <item x="192"/>
        <item x="123"/>
        <item x="116"/>
        <item x="149"/>
        <item x="55"/>
        <item x="92"/>
        <item x="146"/>
        <item x="77"/>
        <item x="129"/>
        <item x="60"/>
        <item x="68"/>
        <item x="193"/>
        <item x="150"/>
        <item x="57"/>
        <item x="181"/>
        <item x="78"/>
        <item x="155"/>
        <item x="159"/>
        <item x="132"/>
        <item x="104"/>
        <item x="74"/>
        <item x="111"/>
        <item x="110"/>
        <item x="109"/>
        <item x="189"/>
        <item x="190"/>
        <item x="154"/>
        <item x="165"/>
        <item x="188"/>
        <item x="186"/>
        <item x="187"/>
        <item x="69"/>
        <item x="95"/>
        <item x="62"/>
        <item x="166"/>
        <item x="56"/>
        <item x="65"/>
        <item x="152"/>
        <item x="58"/>
        <item x="195"/>
        <item x="90"/>
        <item x="114"/>
        <item x="108"/>
        <item x="63"/>
        <item m="1" x="199"/>
        <item x="71"/>
        <item x="88"/>
        <item x="52"/>
        <item x="85"/>
        <item x="153"/>
        <item x="135"/>
        <item x="196"/>
        <item x="133"/>
        <item x="162"/>
        <item x="59"/>
        <item x="87"/>
        <item x="76"/>
        <item x="184"/>
        <item x="158"/>
        <item x="161"/>
        <item x="113"/>
        <item x="173"/>
        <item x="125"/>
        <item x="180"/>
        <item x="171"/>
        <item x="140"/>
        <item x="73"/>
        <item x="91"/>
        <item x="194"/>
        <item x="177"/>
        <item x="97"/>
        <item x="144"/>
        <item x="106"/>
        <item x="105"/>
        <item x="100"/>
        <item x="183"/>
        <item x="148"/>
        <item x="75"/>
        <item x="102"/>
        <item x="143"/>
        <item x="51"/>
        <item x="107"/>
        <item x="157"/>
        <item x="168"/>
        <item x="93"/>
        <item x="66"/>
        <item x="160"/>
        <item x="121"/>
        <item x="79"/>
        <item x="96"/>
        <item x="101"/>
        <item x="151"/>
        <item x="198"/>
        <item x="118"/>
        <item x="169"/>
        <item x="185"/>
        <item x="94"/>
        <item x="80"/>
        <item x="99"/>
        <item x="81"/>
        <item x="145"/>
        <item x="131"/>
        <item x="134"/>
        <item x="174"/>
        <item x="175"/>
        <item x="43"/>
        <item x="44"/>
        <item x="45"/>
        <item x="47"/>
        <item x="48"/>
        <item x="112"/>
        <item x="115"/>
        <item x="124"/>
        <item x="197"/>
        <item x="42"/>
        <item x="41"/>
        <item x="46"/>
        <item x="40"/>
        <item x="72"/>
        <item x="38"/>
        <item x="49"/>
        <item x="37"/>
        <item x="32"/>
        <item x="33"/>
        <item x="35"/>
        <item x="36"/>
        <item x="18"/>
        <item x="19"/>
        <item x="20"/>
        <item x="21"/>
        <item x="22"/>
        <item x="23"/>
        <item x="24"/>
        <item x="25"/>
        <item x="26"/>
        <item x="27"/>
        <item x="28"/>
        <item x="29"/>
        <item x="30"/>
        <item x="31"/>
        <item x="34"/>
        <item x="39"/>
        <item x="61"/>
        <item x="86"/>
        <item x="98"/>
        <item x="14"/>
        <item x="15"/>
        <item x="16"/>
        <item x="7"/>
        <item x="8"/>
        <item x="9"/>
        <item x="10"/>
        <item x="11"/>
        <item x="12"/>
        <item x="13"/>
        <item x="191"/>
        <item x="6"/>
        <item x="0"/>
        <item x="1"/>
        <item x="2"/>
        <item x="3"/>
        <item x="4"/>
        <item x="5"/>
        <item x="17"/>
      </items>
    </pivotField>
    <pivotField compact="0" outline="0" showAll="0" defaultSubtotal="0"/>
    <pivotField axis="axisRow" compact="0" outline="0" showAll="0" defaultSubtotal="0">
      <items count="143">
        <item x="54"/>
        <item x="61"/>
        <item x="38"/>
        <item x="58"/>
        <item x="88"/>
        <item x="78"/>
        <item x="26"/>
        <item x="17"/>
        <item x="84"/>
        <item x="23"/>
        <item x="50"/>
        <item x="11"/>
        <item x="91"/>
        <item x="79"/>
        <item x="13"/>
        <item x="63"/>
        <item x="64"/>
        <item m="1" x="130"/>
        <item m="1" x="140"/>
        <item x="32"/>
        <item x="72"/>
        <item x="55"/>
        <item x="62"/>
        <item x="110"/>
        <item x="111"/>
        <item x="46"/>
        <item x="44"/>
        <item x="53"/>
        <item x="93"/>
        <item x="109"/>
        <item x="47"/>
        <item x="95"/>
        <item x="87"/>
        <item x="120"/>
        <item x="86"/>
        <item x="82"/>
        <item x="81"/>
        <item x="77"/>
        <item x="94"/>
        <item x="48"/>
        <item m="1" x="139"/>
        <item m="1" x="138"/>
        <item x="92"/>
        <item x="60"/>
        <item m="1" x="129"/>
        <item x="51"/>
        <item x="56"/>
        <item m="1" x="131"/>
        <item m="1" x="127"/>
        <item x="5"/>
        <item x="99"/>
        <item x="101"/>
        <item m="1" x="122"/>
        <item x="73"/>
        <item x="59"/>
        <item x="75"/>
        <item x="98"/>
        <item x="9"/>
        <item x="116"/>
        <item x="114"/>
        <item x="115"/>
        <item m="1" x="128"/>
        <item x="57"/>
        <item m="1" x="126"/>
        <item m="1" x="125"/>
        <item x="103"/>
        <item x="113"/>
        <item x="100"/>
        <item m="1" x="141"/>
        <item x="97"/>
        <item x="119"/>
        <item x="80"/>
        <item x="69"/>
        <item x="22"/>
        <item x="49"/>
        <item x="106"/>
        <item m="1" x="124"/>
        <item x="107"/>
        <item x="108"/>
        <item x="112"/>
        <item x="33"/>
        <item x="65"/>
        <item m="1" x="123"/>
        <item x="90"/>
        <item x="74"/>
        <item m="1" x="137"/>
        <item m="1" x="135"/>
        <item x="66"/>
        <item x="89"/>
        <item m="1" x="136"/>
        <item x="7"/>
        <item x="45"/>
        <item m="1" x="133"/>
        <item x="67"/>
        <item x="52"/>
        <item x="118"/>
        <item x="104"/>
        <item m="1" x="132"/>
        <item x="96"/>
        <item x="121"/>
        <item x="105"/>
        <item x="70"/>
        <item x="85"/>
        <item x="43"/>
        <item x="40"/>
        <item x="42"/>
        <item x="76"/>
        <item x="83"/>
        <item x="37"/>
        <item x="41"/>
        <item m="1" x="134"/>
        <item x="36"/>
        <item x="29"/>
        <item x="30"/>
        <item x="18"/>
        <item x="19"/>
        <item x="20"/>
        <item x="21"/>
        <item x="24"/>
        <item x="25"/>
        <item x="27"/>
        <item x="28"/>
        <item x="31"/>
        <item x="34"/>
        <item m="1" x="142"/>
        <item x="39"/>
        <item x="68"/>
        <item x="117"/>
        <item x="14"/>
        <item x="15"/>
        <item x="16"/>
        <item x="8"/>
        <item x="10"/>
        <item x="12"/>
        <item x="6"/>
        <item x="0"/>
        <item x="1"/>
        <item x="2"/>
        <item x="3"/>
        <item x="4"/>
        <item x="35"/>
        <item x="71"/>
        <item x="102"/>
      </items>
    </pivotField>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3">
        <item x="2"/>
        <item x="1"/>
        <item x="0"/>
      </items>
    </pivotField>
    <pivotField compact="0" outline="0" showAll="0" defaultSubtotal="0"/>
    <pivotField compact="0" outline="0" showAll="0" defaultSubtotal="0"/>
    <pivotField name="SUBMITTED" axis="axisPage" compact="0" outline="0" showAll="0" defaultSubtotal="0">
      <items count="14">
        <item x="2"/>
        <item x="0"/>
        <item x="3"/>
        <item x="4"/>
        <item x="6"/>
        <item x="1"/>
        <item m="1" x="7"/>
        <item m="1" x="9"/>
        <item m="1" x="10"/>
        <item m="1" x="8"/>
        <item m="1" x="11"/>
        <item m="1" x="13"/>
        <item m="1" x="12"/>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9"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9" outline="0" showAll="0" defaultSubtotal="0"/>
    <pivotField compact="0" numFmtId="166" outline="0" showAll="0" defaultSubtotal="0"/>
    <pivotField compact="0" numFmtId="166" outline="0" showAll="0" defaultSubtotal="0"/>
    <pivotField compact="0" numFmtId="166" outline="0" showAll="0" defaultSubtotal="0"/>
  </pivotFields>
  <rowFields count="4">
    <field x="0"/>
    <field x="6"/>
    <field x="7"/>
    <field x="2"/>
  </rowFields>
  <rowItems count="13">
    <i>
      <x v="95"/>
      <x v="2"/>
      <x v="1"/>
      <x v="142"/>
    </i>
    <i>
      <x v="110"/>
      <x v="1"/>
      <x v="1"/>
      <x v="141"/>
    </i>
    <i>
      <x v="134"/>
      <x v="2"/>
      <x v="1"/>
      <x v="101"/>
    </i>
    <i>
      <x v="142"/>
      <x v="2"/>
      <x v="1"/>
      <x v="90"/>
    </i>
    <i>
      <x v="168"/>
      <x v="2"/>
      <x v="1"/>
      <x v="118"/>
    </i>
    <i>
      <x v="175"/>
      <x v="2"/>
      <x/>
      <x v="7"/>
    </i>
    <i>
      <x v="177"/>
      <x v="2"/>
      <x/>
      <x v="140"/>
    </i>
    <i>
      <x v="181"/>
      <x/>
      <x/>
      <x v="128"/>
    </i>
    <i>
      <x v="182"/>
      <x/>
      <x/>
      <x v="129"/>
    </i>
    <i>
      <x v="184"/>
      <x v="2"/>
      <x v="1"/>
      <x v="90"/>
    </i>
    <i>
      <x v="190"/>
      <x/>
      <x/>
      <x v="14"/>
    </i>
    <i>
      <x v="192"/>
      <x/>
      <x/>
      <x v="134"/>
    </i>
    <i t="grand">
      <x/>
    </i>
  </rowItems>
  <colFields count="1">
    <field x="-2"/>
  </colFields>
  <colItems count="4">
    <i>
      <x/>
    </i>
    <i i="1">
      <x v="1"/>
    </i>
    <i i="2">
      <x v="2"/>
    </i>
    <i i="3">
      <x v="3"/>
    </i>
  </colItems>
  <pageFields count="1">
    <pageField fld="10" item="2" hier="-1"/>
  </pageFields>
  <dataFields count="4">
    <dataField name=" Total Project Volume" fld="105" baseField="2" baseItem="3" numFmtId="165"/>
    <dataField name=" Total Project Volume (IPK)" fld="76" baseField="0" baseItem="0" numFmtId="168"/>
    <dataField name=" Total Project Volume (ITA)" fld="86" baseField="0" baseItem="0" numFmtId="168"/>
    <dataField name=" Total Project Volume (Other)" fld="102" baseField="2" baseItem="3" numFmtId="165"/>
  </dataFields>
  <formats count="79">
    <format dxfId="923">
      <pivotArea type="all" dataOnly="0" outline="0" fieldPosition="0"/>
    </format>
    <format dxfId="922">
      <pivotArea outline="0" collapsedLevelsAreSubtotals="1" fieldPosition="0"/>
    </format>
    <format dxfId="921">
      <pivotArea field="0" type="button" dataOnly="0" labelOnly="1" outline="0" axis="axisRow" fieldPosition="0"/>
    </format>
    <format dxfId="920">
      <pivotArea field="6" type="button" dataOnly="0" labelOnly="1" outline="0" axis="axisRow" fieldPosition="1"/>
    </format>
    <format dxfId="919">
      <pivotArea field="7" type="button" dataOnly="0" labelOnly="1" outline="0" axis="axisRow" fieldPosition="2"/>
    </format>
    <format dxfId="918">
      <pivotArea field="2" type="button" dataOnly="0" labelOnly="1" outline="0" axis="axisRow" fieldPosition="3"/>
    </format>
    <format dxfId="917">
      <pivotArea dataOnly="0" labelOnly="1" grandRow="1" outline="0" fieldPosition="0"/>
    </format>
    <format dxfId="916">
      <pivotArea dataOnly="0" labelOnly="1" outline="0" fieldPosition="0">
        <references count="1">
          <reference field="4294967294" count="2">
            <x v="0"/>
            <x v="3"/>
          </reference>
        </references>
      </pivotArea>
    </format>
    <format dxfId="915">
      <pivotArea type="all" dataOnly="0" outline="0" fieldPosition="0"/>
    </format>
    <format dxfId="914">
      <pivotArea outline="0" collapsedLevelsAreSubtotals="1" fieldPosition="0"/>
    </format>
    <format dxfId="913">
      <pivotArea field="0" type="button" dataOnly="0" labelOnly="1" outline="0" axis="axisRow" fieldPosition="0"/>
    </format>
    <format dxfId="912">
      <pivotArea field="6" type="button" dataOnly="0" labelOnly="1" outline="0" axis="axisRow" fieldPosition="1"/>
    </format>
    <format dxfId="911">
      <pivotArea field="7" type="button" dataOnly="0" labelOnly="1" outline="0" axis="axisRow" fieldPosition="2"/>
    </format>
    <format dxfId="910">
      <pivotArea field="2" type="button" dataOnly="0" labelOnly="1" outline="0" axis="axisRow" fieldPosition="3"/>
    </format>
    <format dxfId="909">
      <pivotArea dataOnly="0" labelOnly="1" grandRow="1" outline="0" fieldPosition="0"/>
    </format>
    <format dxfId="908">
      <pivotArea dataOnly="0" labelOnly="1" outline="0" fieldPosition="0">
        <references count="1">
          <reference field="4294967294" count="2">
            <x v="0"/>
            <x v="3"/>
          </reference>
        </references>
      </pivotArea>
    </format>
    <format dxfId="907">
      <pivotArea type="all" dataOnly="0" outline="0" fieldPosition="0"/>
    </format>
    <format dxfId="906">
      <pivotArea outline="0" collapsedLevelsAreSubtotals="1" fieldPosition="0"/>
    </format>
    <format dxfId="905">
      <pivotArea field="0" type="button" dataOnly="0" labelOnly="1" outline="0" axis="axisRow" fieldPosition="0"/>
    </format>
    <format dxfId="904">
      <pivotArea field="6" type="button" dataOnly="0" labelOnly="1" outline="0" axis="axisRow" fieldPosition="1"/>
    </format>
    <format dxfId="903">
      <pivotArea field="7" type="button" dataOnly="0" labelOnly="1" outline="0" axis="axisRow" fieldPosition="2"/>
    </format>
    <format dxfId="902">
      <pivotArea field="2" type="button" dataOnly="0" labelOnly="1" outline="0" axis="axisRow" fieldPosition="3"/>
    </format>
    <format dxfId="901">
      <pivotArea dataOnly="0" labelOnly="1" grandRow="1" outline="0" fieldPosition="0"/>
    </format>
    <format dxfId="900">
      <pivotArea dataOnly="0" labelOnly="1" outline="0" fieldPosition="0">
        <references count="1">
          <reference field="4294967294" count="2">
            <x v="0"/>
            <x v="3"/>
          </reference>
        </references>
      </pivotArea>
    </format>
    <format dxfId="899">
      <pivotArea type="all" dataOnly="0" outline="0" fieldPosition="0"/>
    </format>
    <format dxfId="898">
      <pivotArea outline="0" collapsedLevelsAreSubtotals="1" fieldPosition="0"/>
    </format>
    <format dxfId="897">
      <pivotArea field="0" type="button" dataOnly="0" labelOnly="1" outline="0" axis="axisRow" fieldPosition="0"/>
    </format>
    <format dxfId="896">
      <pivotArea field="6" type="button" dataOnly="0" labelOnly="1" outline="0" axis="axisRow" fieldPosition="1"/>
    </format>
    <format dxfId="895">
      <pivotArea field="7" type="button" dataOnly="0" labelOnly="1" outline="0" axis="axisRow" fieldPosition="2"/>
    </format>
    <format dxfId="894">
      <pivotArea field="2" type="button" dataOnly="0" labelOnly="1" outline="0" axis="axisRow" fieldPosition="3"/>
    </format>
    <format dxfId="893">
      <pivotArea dataOnly="0" labelOnly="1" grandRow="1" outline="0" fieldPosition="0"/>
    </format>
    <format dxfId="892">
      <pivotArea dataOnly="0" labelOnly="1" outline="0" fieldPosition="0">
        <references count="1">
          <reference field="4294967294" count="2">
            <x v="0"/>
            <x v="3"/>
          </reference>
        </references>
      </pivotArea>
    </format>
    <format dxfId="891">
      <pivotArea type="all" dataOnly="0" outline="0" fieldPosition="0"/>
    </format>
    <format dxfId="890">
      <pivotArea outline="0" collapsedLevelsAreSubtotals="1" fieldPosition="0"/>
    </format>
    <format dxfId="889">
      <pivotArea field="0" type="button" dataOnly="0" labelOnly="1" outline="0" axis="axisRow" fieldPosition="0"/>
    </format>
    <format dxfId="888">
      <pivotArea field="6" type="button" dataOnly="0" labelOnly="1" outline="0" axis="axisRow" fieldPosition="1"/>
    </format>
    <format dxfId="887">
      <pivotArea field="7" type="button" dataOnly="0" labelOnly="1" outline="0" axis="axisRow" fieldPosition="2"/>
    </format>
    <format dxfId="886">
      <pivotArea field="2" type="button" dataOnly="0" labelOnly="1" outline="0" axis="axisRow" fieldPosition="3"/>
    </format>
    <format dxfId="885">
      <pivotArea dataOnly="0" labelOnly="1" grandRow="1" outline="0" fieldPosition="0"/>
    </format>
    <format dxfId="884">
      <pivotArea dataOnly="0" labelOnly="1" outline="0" fieldPosition="0">
        <references count="1">
          <reference field="4294967294" count="2">
            <x v="0"/>
            <x v="3"/>
          </reference>
        </references>
      </pivotArea>
    </format>
    <format dxfId="883">
      <pivotArea field="0" type="button" dataOnly="0" labelOnly="1" outline="0" axis="axisRow" fieldPosition="0"/>
    </format>
    <format dxfId="882">
      <pivotArea field="6" type="button" dataOnly="0" labelOnly="1" outline="0" axis="axisRow" fieldPosition="1"/>
    </format>
    <format dxfId="881">
      <pivotArea field="7" type="button" dataOnly="0" labelOnly="1" outline="0" axis="axisRow" fieldPosition="2"/>
    </format>
    <format dxfId="880">
      <pivotArea field="2" type="button" dataOnly="0" labelOnly="1" outline="0" axis="axisRow" fieldPosition="3"/>
    </format>
    <format dxfId="879">
      <pivotArea dataOnly="0" labelOnly="1" outline="0" fieldPosition="0">
        <references count="1">
          <reference field="4294967294" count="2">
            <x v="0"/>
            <x v="3"/>
          </reference>
        </references>
      </pivotArea>
    </format>
    <format dxfId="878">
      <pivotArea grandRow="1" outline="0" collapsedLevelsAreSubtotals="1" fieldPosition="0"/>
    </format>
    <format dxfId="877">
      <pivotArea dataOnly="0" labelOnly="1" grandRow="1" outline="0" fieldPosition="0"/>
    </format>
    <format dxfId="876">
      <pivotArea field="0" type="button" dataOnly="0" labelOnly="1" outline="0" axis="axisRow" fieldPosition="0"/>
    </format>
    <format dxfId="875">
      <pivotArea field="6" type="button" dataOnly="0" labelOnly="1" outline="0" axis="axisRow" fieldPosition="1"/>
    </format>
    <format dxfId="874">
      <pivotArea field="7" type="button" dataOnly="0" labelOnly="1" outline="0" axis="axisRow" fieldPosition="2"/>
    </format>
    <format dxfId="873">
      <pivotArea field="2" type="button" dataOnly="0" labelOnly="1" outline="0" axis="axisRow" fieldPosition="3"/>
    </format>
    <format dxfId="872">
      <pivotArea dataOnly="0" labelOnly="1" outline="0" fieldPosition="0">
        <references count="1">
          <reference field="4294967294" count="1">
            <x v="0"/>
          </reference>
        </references>
      </pivotArea>
    </format>
    <format dxfId="871">
      <pivotArea dataOnly="0" labelOnly="1" outline="0" fieldPosition="0">
        <references count="1">
          <reference field="4294967294" count="1">
            <x v="3"/>
          </reference>
        </references>
      </pivotArea>
    </format>
    <format dxfId="870">
      <pivotArea grandRow="1" outline="0" collapsedLevelsAreSubtotals="1" fieldPosition="0"/>
    </format>
    <format dxfId="869">
      <pivotArea dataOnly="0" labelOnly="1" grandRow="1" outline="0" fieldPosition="0"/>
    </format>
    <format dxfId="868">
      <pivotArea type="all" dataOnly="0" outline="0" fieldPosition="0"/>
    </format>
    <format dxfId="867">
      <pivotArea outline="0" collapsedLevelsAreSubtotals="1" fieldPosition="0"/>
    </format>
    <format dxfId="866">
      <pivotArea field="0" type="button" dataOnly="0" labelOnly="1" outline="0" axis="axisRow" fieldPosition="0"/>
    </format>
    <format dxfId="865">
      <pivotArea field="6" type="button" dataOnly="0" labelOnly="1" outline="0" axis="axisRow" fieldPosition="1"/>
    </format>
    <format dxfId="864">
      <pivotArea field="7" type="button" dataOnly="0" labelOnly="1" outline="0" axis="axisRow" fieldPosition="2"/>
    </format>
    <format dxfId="863">
      <pivotArea field="2" type="button" dataOnly="0" labelOnly="1" outline="0" axis="axisRow" fieldPosition="3"/>
    </format>
    <format dxfId="862">
      <pivotArea dataOnly="0" labelOnly="1" grandRow="1" outline="0" fieldPosition="0"/>
    </format>
    <format dxfId="861">
      <pivotArea dataOnly="0" labelOnly="1" outline="0" fieldPosition="0">
        <references count="1">
          <reference field="4294967294" count="2">
            <x v="0"/>
            <x v="3"/>
          </reference>
        </references>
      </pivotArea>
    </format>
    <format dxfId="860">
      <pivotArea type="all" dataOnly="0" outline="0" fieldPosition="0"/>
    </format>
    <format dxfId="859">
      <pivotArea outline="0" collapsedLevelsAreSubtotals="1" fieldPosition="0"/>
    </format>
    <format dxfId="858">
      <pivotArea field="0" type="button" dataOnly="0" labelOnly="1" outline="0" axis="axisRow" fieldPosition="0"/>
    </format>
    <format dxfId="857">
      <pivotArea field="6" type="button" dataOnly="0" labelOnly="1" outline="0" axis="axisRow" fieldPosition="1"/>
    </format>
    <format dxfId="856">
      <pivotArea field="7" type="button" dataOnly="0" labelOnly="1" outline="0" axis="axisRow" fieldPosition="2"/>
    </format>
    <format dxfId="855">
      <pivotArea field="2" type="button" dataOnly="0" labelOnly="1" outline="0" axis="axisRow" fieldPosition="3"/>
    </format>
    <format dxfId="854">
      <pivotArea dataOnly="0" labelOnly="1" grandRow="1" outline="0" fieldPosition="0"/>
    </format>
    <format dxfId="853">
      <pivotArea dataOnly="0" labelOnly="1" outline="0" fieldPosition="0">
        <references count="1">
          <reference field="4294967294" count="2">
            <x v="0"/>
            <x v="3"/>
          </reference>
        </references>
      </pivotArea>
    </format>
    <format dxfId="852">
      <pivotArea dataOnly="0" labelOnly="1" outline="0" fieldPosition="0">
        <references count="1">
          <reference field="4294967294" count="2">
            <x v="0"/>
            <x v="3"/>
          </reference>
        </references>
      </pivotArea>
    </format>
    <format dxfId="851">
      <pivotArea dataOnly="0" outline="0" fieldPosition="0">
        <references count="1">
          <reference field="4294967294" count="2">
            <x v="0"/>
            <x v="3"/>
          </reference>
        </references>
      </pivotArea>
    </format>
    <format dxfId="850">
      <pivotArea dataOnly="0" outline="0" fieldPosition="0">
        <references count="1">
          <reference field="4294967294" count="2">
            <x v="0"/>
            <x v="3"/>
          </reference>
        </references>
      </pivotArea>
    </format>
    <format dxfId="849">
      <pivotArea dataOnly="0" outline="0" fieldPosition="0">
        <references count="1">
          <reference field="4294967294" count="2">
            <x v="0"/>
            <x v="3"/>
          </reference>
        </references>
      </pivotArea>
    </format>
    <format dxfId="848">
      <pivotArea outline="0" fieldPosition="0">
        <references count="1">
          <reference field="4294967294" count="2" selected="0">
            <x v="1"/>
            <x v="2"/>
          </reference>
        </references>
      </pivotArea>
    </format>
    <format dxfId="847">
      <pivotArea outline="0" fieldPosition="0">
        <references count="5">
          <reference field="4294967294" count="2" selected="0">
            <x v="1"/>
            <x v="2"/>
          </reference>
          <reference field="0" count="2" selected="0">
            <x v="11"/>
            <x v="12"/>
          </reference>
          <reference field="2" count="2" selected="0">
            <x v="3"/>
            <x v="19"/>
          </reference>
          <reference field="6" count="1" selected="0">
            <x v="2"/>
          </reference>
          <reference field="7" count="0" selected="0"/>
        </references>
      </pivotArea>
    </format>
    <format dxfId="846">
      <pivotArea field="10" type="button" dataOnly="0" labelOnly="1" outline="0" axis="axisPage" fieldPosition="0"/>
    </format>
    <format dxfId="845">
      <pivotArea field="10" type="button" dataOnly="0" labelOnly="1" outline="0" axis="axisPage" fieldPosition="0"/>
    </format>
  </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16" applyNumberFormats="0" applyBorderFormats="0" applyFontFormats="0" applyPatternFormats="0" applyAlignmentFormats="0" applyWidthHeightFormats="1" dataCaption="Werte" grandTotalCaption="Total" updatedVersion="6" minRefreshableVersion="3" showDrill="0" useAutoFormatting="1" itemPrintTitles="1" createdVersion="6" indent="0" compact="0" compactData="0" multipleFieldFilters="0">
  <location ref="B8:I27" firstHeaderRow="0" firstDataRow="1" firstDataCol="4" rowPageCount="1" colPageCount="1"/>
  <pivotFields count="118">
    <pivotField axis="axisRow" compact="0" outline="0" showAll="0" defaultSubtotal="0">
      <items count="200">
        <item x="83"/>
        <item x="119"/>
        <item x="122"/>
        <item x="137"/>
        <item x="138"/>
        <item x="172"/>
        <item x="182"/>
        <item x="130"/>
        <item x="84"/>
        <item x="120"/>
        <item x="167"/>
        <item x="82"/>
        <item x="164"/>
        <item x="103"/>
        <item x="67"/>
        <item x="142"/>
        <item x="89"/>
        <item x="163"/>
        <item x="179"/>
        <item x="178"/>
        <item x="53"/>
        <item x="50"/>
        <item x="70"/>
        <item x="139"/>
        <item x="147"/>
        <item x="176"/>
        <item x="54"/>
        <item x="64"/>
        <item x="126"/>
        <item x="170"/>
        <item x="117"/>
        <item x="141"/>
        <item x="128"/>
        <item x="127"/>
        <item x="136"/>
        <item x="156"/>
        <item x="192"/>
        <item x="123"/>
        <item x="116"/>
        <item x="149"/>
        <item x="55"/>
        <item x="92"/>
        <item x="146"/>
        <item x="77"/>
        <item x="129"/>
        <item x="60"/>
        <item x="68"/>
        <item x="193"/>
        <item x="150"/>
        <item x="57"/>
        <item x="181"/>
        <item x="78"/>
        <item x="155"/>
        <item x="159"/>
        <item x="132"/>
        <item x="104"/>
        <item x="74"/>
        <item x="111"/>
        <item x="110"/>
        <item x="109"/>
        <item x="189"/>
        <item x="190"/>
        <item x="154"/>
        <item x="165"/>
        <item x="188"/>
        <item x="186"/>
        <item x="187"/>
        <item x="69"/>
        <item x="95"/>
        <item x="62"/>
        <item x="166"/>
        <item x="56"/>
        <item x="65"/>
        <item x="152"/>
        <item x="58"/>
        <item x="195"/>
        <item x="90"/>
        <item x="114"/>
        <item x="108"/>
        <item x="63"/>
        <item m="1" x="199"/>
        <item x="71"/>
        <item x="88"/>
        <item x="52"/>
        <item x="85"/>
        <item x="153"/>
        <item x="135"/>
        <item x="196"/>
        <item x="133"/>
        <item x="162"/>
        <item x="59"/>
        <item x="87"/>
        <item x="76"/>
        <item x="184"/>
        <item x="158"/>
        <item x="161"/>
        <item x="113"/>
        <item x="173"/>
        <item x="125"/>
        <item x="180"/>
        <item x="171"/>
        <item x="140"/>
        <item x="73"/>
        <item x="91"/>
        <item x="194"/>
        <item x="177"/>
        <item x="97"/>
        <item x="144"/>
        <item x="106"/>
        <item x="105"/>
        <item x="100"/>
        <item x="183"/>
        <item x="148"/>
        <item x="75"/>
        <item x="102"/>
        <item x="143"/>
        <item x="51"/>
        <item x="107"/>
        <item x="157"/>
        <item x="168"/>
        <item x="93"/>
        <item x="66"/>
        <item x="160"/>
        <item x="121"/>
        <item x="79"/>
        <item x="96"/>
        <item x="101"/>
        <item x="151"/>
        <item x="198"/>
        <item x="118"/>
        <item x="169"/>
        <item x="185"/>
        <item x="94"/>
        <item x="80"/>
        <item x="99"/>
        <item x="81"/>
        <item x="145"/>
        <item x="131"/>
        <item x="134"/>
        <item x="174"/>
        <item x="175"/>
        <item x="43"/>
        <item x="44"/>
        <item x="45"/>
        <item x="47"/>
        <item x="48"/>
        <item x="112"/>
        <item x="115"/>
        <item x="124"/>
        <item x="197"/>
        <item x="42"/>
        <item x="41"/>
        <item x="46"/>
        <item x="40"/>
        <item x="72"/>
        <item x="38"/>
        <item x="49"/>
        <item x="37"/>
        <item x="32"/>
        <item x="33"/>
        <item x="35"/>
        <item x="36"/>
        <item x="18"/>
        <item x="19"/>
        <item x="20"/>
        <item x="21"/>
        <item x="22"/>
        <item x="23"/>
        <item x="24"/>
        <item x="25"/>
        <item x="26"/>
        <item x="27"/>
        <item x="28"/>
        <item x="29"/>
        <item x="30"/>
        <item x="31"/>
        <item x="34"/>
        <item x="39"/>
        <item x="61"/>
        <item x="86"/>
        <item x="98"/>
        <item x="14"/>
        <item x="15"/>
        <item x="16"/>
        <item x="7"/>
        <item x="8"/>
        <item x="9"/>
        <item x="10"/>
        <item x="11"/>
        <item x="12"/>
        <item x="13"/>
        <item x="191"/>
        <item x="6"/>
        <item x="0"/>
        <item x="1"/>
        <item x="2"/>
        <item x="3"/>
        <item x="4"/>
        <item x="5"/>
        <item x="17"/>
      </items>
    </pivotField>
    <pivotField compact="0" outline="0" showAll="0" defaultSubtotal="0"/>
    <pivotField axis="axisRow" compact="0" outline="0" showAll="0" defaultSubtotal="0">
      <items count="143">
        <item x="54"/>
        <item x="61"/>
        <item x="38"/>
        <item x="58"/>
        <item x="88"/>
        <item x="78"/>
        <item x="26"/>
        <item x="17"/>
        <item x="84"/>
        <item x="23"/>
        <item x="50"/>
        <item x="11"/>
        <item x="91"/>
        <item x="79"/>
        <item x="13"/>
        <item x="63"/>
        <item x="64"/>
        <item m="1" x="130"/>
        <item m="1" x="140"/>
        <item x="32"/>
        <item x="72"/>
        <item x="55"/>
        <item x="62"/>
        <item x="110"/>
        <item x="111"/>
        <item x="46"/>
        <item x="44"/>
        <item x="53"/>
        <item x="93"/>
        <item x="109"/>
        <item x="47"/>
        <item x="95"/>
        <item x="87"/>
        <item x="120"/>
        <item x="86"/>
        <item x="82"/>
        <item x="81"/>
        <item x="77"/>
        <item x="94"/>
        <item x="48"/>
        <item m="1" x="139"/>
        <item m="1" x="138"/>
        <item x="92"/>
        <item x="60"/>
        <item m="1" x="129"/>
        <item x="51"/>
        <item x="56"/>
        <item m="1" x="131"/>
        <item m="1" x="127"/>
        <item x="5"/>
        <item x="99"/>
        <item x="101"/>
        <item m="1" x="122"/>
        <item x="73"/>
        <item x="59"/>
        <item x="75"/>
        <item x="98"/>
        <item x="9"/>
        <item x="116"/>
        <item x="114"/>
        <item x="115"/>
        <item m="1" x="128"/>
        <item x="57"/>
        <item m="1" x="126"/>
        <item m="1" x="125"/>
        <item x="103"/>
        <item x="113"/>
        <item x="100"/>
        <item m="1" x="141"/>
        <item x="97"/>
        <item x="119"/>
        <item x="80"/>
        <item x="69"/>
        <item x="22"/>
        <item x="49"/>
        <item x="106"/>
        <item m="1" x="124"/>
        <item x="107"/>
        <item x="108"/>
        <item x="112"/>
        <item x="33"/>
        <item x="65"/>
        <item m="1" x="123"/>
        <item x="90"/>
        <item x="74"/>
        <item m="1" x="137"/>
        <item m="1" x="135"/>
        <item x="66"/>
        <item x="89"/>
        <item m="1" x="136"/>
        <item x="7"/>
        <item x="45"/>
        <item m="1" x="133"/>
        <item x="67"/>
        <item x="52"/>
        <item x="118"/>
        <item x="104"/>
        <item m="1" x="132"/>
        <item x="96"/>
        <item x="121"/>
        <item x="105"/>
        <item x="70"/>
        <item x="85"/>
        <item x="43"/>
        <item x="40"/>
        <item x="42"/>
        <item x="76"/>
        <item x="83"/>
        <item x="37"/>
        <item x="41"/>
        <item m="1" x="134"/>
        <item x="36"/>
        <item x="29"/>
        <item x="30"/>
        <item x="18"/>
        <item x="19"/>
        <item x="20"/>
        <item x="21"/>
        <item x="24"/>
        <item x="25"/>
        <item x="27"/>
        <item x="28"/>
        <item x="31"/>
        <item x="34"/>
        <item m="1" x="142"/>
        <item x="39"/>
        <item x="68"/>
        <item x="117"/>
        <item x="14"/>
        <item x="15"/>
        <item x="16"/>
        <item x="8"/>
        <item x="10"/>
        <item x="12"/>
        <item x="6"/>
        <item x="0"/>
        <item x="1"/>
        <item x="2"/>
        <item x="3"/>
        <item x="4"/>
        <item x="35"/>
        <item x="71"/>
        <item x="102"/>
      </items>
    </pivotField>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3">
        <item x="2"/>
        <item x="1"/>
        <item x="0"/>
      </items>
    </pivotField>
    <pivotField compact="0" outline="0" showAll="0" defaultSubtotal="0"/>
    <pivotField compact="0" outline="0" showAll="0" defaultSubtotal="0"/>
    <pivotField name=" FINISHED" axis="axisPage" compact="0" outline="0" multipleItemSelectionAllowed="1" showAll="0" defaultSubtotal="0">
      <items count="14">
        <item h="1" x="2"/>
        <item h="1" x="0"/>
        <item h="1" x="3"/>
        <item h="1" x="4"/>
        <item x="6"/>
        <item h="1" x="1"/>
        <item h="1" m="1" x="7"/>
        <item h="1" m="1" x="9"/>
        <item h="1" m="1" x="10"/>
        <item h="1" m="1" x="8"/>
        <item h="1" m="1" x="11"/>
        <item h="1" m="1" x="13"/>
        <item h="1" m="1" x="12"/>
        <item h="1"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9"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9" outline="0" showAll="0" defaultSubtotal="0"/>
    <pivotField compact="0" numFmtId="166" outline="0" showAll="0" defaultSubtotal="0"/>
    <pivotField compact="0" numFmtId="166" outline="0" showAll="0" defaultSubtotal="0"/>
    <pivotField compact="0" numFmtId="166" outline="0" showAll="0" defaultSubtotal="0"/>
  </pivotFields>
  <rowFields count="4">
    <field x="0"/>
    <field x="6"/>
    <field x="7"/>
    <field x="2"/>
  </rowFields>
  <rowItems count="19">
    <i>
      <x/>
      <x v="2"/>
      <x/>
      <x v="1"/>
    </i>
    <i>
      <x v="1"/>
      <x/>
      <x/>
      <x v="2"/>
    </i>
    <i>
      <x v="2"/>
      <x/>
      <x/>
      <x v="5"/>
    </i>
    <i>
      <x v="3"/>
      <x v="1"/>
      <x v="1"/>
      <x/>
    </i>
    <i>
      <x v="4"/>
      <x v="2"/>
      <x/>
      <x v="4"/>
    </i>
    <i>
      <x v="5"/>
      <x v="2"/>
      <x/>
      <x v="4"/>
    </i>
    <i>
      <x v="6"/>
      <x/>
      <x/>
      <x v="1"/>
    </i>
    <i>
      <x v="10"/>
      <x/>
      <x v="1"/>
      <x v="14"/>
    </i>
    <i>
      <x v="17"/>
      <x v="1"/>
      <x/>
      <x v="22"/>
    </i>
    <i>
      <x v="18"/>
      <x/>
      <x/>
      <x v="23"/>
    </i>
    <i>
      <x v="42"/>
      <x/>
      <x v="1"/>
      <x v="42"/>
    </i>
    <i>
      <x v="46"/>
      <x v="1"/>
      <x/>
      <x v="46"/>
    </i>
    <i>
      <x v="47"/>
      <x v="1"/>
      <x v="1"/>
      <x v="11"/>
    </i>
    <i>
      <x v="68"/>
      <x v="2"/>
      <x/>
      <x v="7"/>
    </i>
    <i>
      <x v="97"/>
      <x v="2"/>
      <x/>
      <x v="4"/>
    </i>
    <i>
      <x v="121"/>
      <x v="2"/>
      <x/>
      <x v="73"/>
    </i>
    <i>
      <x v="148"/>
      <x v="2"/>
      <x v="1"/>
      <x v="14"/>
    </i>
    <i>
      <x v="179"/>
      <x v="1"/>
      <x v="1"/>
      <x v="11"/>
    </i>
    <i t="grand">
      <x/>
    </i>
  </rowItems>
  <colFields count="1">
    <field x="-2"/>
  </colFields>
  <colItems count="4">
    <i>
      <x/>
    </i>
    <i i="1">
      <x v="1"/>
    </i>
    <i i="2">
      <x v="2"/>
    </i>
    <i i="3">
      <x v="3"/>
    </i>
  </colItems>
  <pageFields count="1">
    <pageField fld="10" hier="-1"/>
  </pageFields>
  <dataFields count="4">
    <dataField name=" Total Project Volume" fld="105" baseField="2" baseItem="1" numFmtId="165"/>
    <dataField name=" Total Project Volume (IPK)" fld="76" baseField="0" baseItem="0" numFmtId="168"/>
    <dataField name=" Total Project Volume (ITA)" fld="86" baseField="0" baseItem="0" numFmtId="168"/>
    <dataField name=" Total Project Volume (Other)" fld="102" baseField="2" baseItem="1" numFmtId="165"/>
  </dataFields>
  <formats count="189">
    <format dxfId="1112">
      <pivotArea type="all" dataOnly="0" outline="0" fieldPosition="0"/>
    </format>
    <format dxfId="1111">
      <pivotArea outline="0" collapsedLevelsAreSubtotals="1" fieldPosition="0"/>
    </format>
    <format dxfId="1110">
      <pivotArea field="0" type="button" dataOnly="0" labelOnly="1" outline="0" axis="axisRow" fieldPosition="0"/>
    </format>
    <format dxfId="1109">
      <pivotArea field="6" type="button" dataOnly="0" labelOnly="1" outline="0" axis="axisRow" fieldPosition="1"/>
    </format>
    <format dxfId="1108">
      <pivotArea field="7" type="button" dataOnly="0" labelOnly="1" outline="0" axis="axisRow" fieldPosition="2"/>
    </format>
    <format dxfId="1107">
      <pivotArea field="2" type="button" dataOnly="0" labelOnly="1" outline="0" axis="axisRow" fieldPosition="3"/>
    </format>
    <format dxfId="1106">
      <pivotArea dataOnly="0" labelOnly="1" outline="0" fieldPosition="0">
        <references count="1">
          <reference field="0" count="7">
            <x v="0"/>
            <x v="1"/>
            <x v="2"/>
            <x v="3"/>
            <x v="4"/>
            <x v="5"/>
            <x v="6"/>
          </reference>
        </references>
      </pivotArea>
    </format>
    <format dxfId="1105">
      <pivotArea dataOnly="0" labelOnly="1" grandRow="1" outline="0" fieldPosition="0"/>
    </format>
    <format dxfId="1104">
      <pivotArea dataOnly="0" labelOnly="1" outline="0" fieldPosition="0">
        <references count="2">
          <reference field="0" count="1" selected="0">
            <x v="0"/>
          </reference>
          <reference field="6" count="1">
            <x v="2"/>
          </reference>
        </references>
      </pivotArea>
    </format>
    <format dxfId="1103">
      <pivotArea dataOnly="0" labelOnly="1" outline="0" fieldPosition="0">
        <references count="2">
          <reference field="0" count="1" selected="0">
            <x v="1"/>
          </reference>
          <reference field="6" count="1">
            <x v="0"/>
          </reference>
        </references>
      </pivotArea>
    </format>
    <format dxfId="1102">
      <pivotArea dataOnly="0" labelOnly="1" outline="0" fieldPosition="0">
        <references count="2">
          <reference field="0" count="1" selected="0">
            <x v="3"/>
          </reference>
          <reference field="6" count="1">
            <x v="1"/>
          </reference>
        </references>
      </pivotArea>
    </format>
    <format dxfId="1101">
      <pivotArea dataOnly="0" labelOnly="1" outline="0" fieldPosition="0">
        <references count="2">
          <reference field="0" count="1" selected="0">
            <x v="4"/>
          </reference>
          <reference field="6" count="1">
            <x v="2"/>
          </reference>
        </references>
      </pivotArea>
    </format>
    <format dxfId="1100">
      <pivotArea dataOnly="0" labelOnly="1" outline="0" fieldPosition="0">
        <references count="2">
          <reference field="0" count="1" selected="0">
            <x v="6"/>
          </reference>
          <reference field="6" count="1">
            <x v="0"/>
          </reference>
        </references>
      </pivotArea>
    </format>
    <format dxfId="1099">
      <pivotArea dataOnly="0" labelOnly="1" outline="0" fieldPosition="0">
        <references count="3">
          <reference field="0" count="1" selected="0">
            <x v="0"/>
          </reference>
          <reference field="6" count="1" selected="0">
            <x v="2"/>
          </reference>
          <reference field="7" count="1">
            <x v="0"/>
          </reference>
        </references>
      </pivotArea>
    </format>
    <format dxfId="1098">
      <pivotArea dataOnly="0" labelOnly="1" outline="0" fieldPosition="0">
        <references count="3">
          <reference field="0" count="1" selected="0">
            <x v="3"/>
          </reference>
          <reference field="6" count="1" selected="0">
            <x v="1"/>
          </reference>
          <reference field="7" count="1">
            <x v="1"/>
          </reference>
        </references>
      </pivotArea>
    </format>
    <format dxfId="1097">
      <pivotArea dataOnly="0" labelOnly="1" outline="0" fieldPosition="0">
        <references count="3">
          <reference field="0" count="1" selected="0">
            <x v="4"/>
          </reference>
          <reference field="6" count="1" selected="0">
            <x v="2"/>
          </reference>
          <reference field="7" count="1">
            <x v="0"/>
          </reference>
        </references>
      </pivotArea>
    </format>
    <format dxfId="1096">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095">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094">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093">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092">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091">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090">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089">
      <pivotArea dataOnly="0" labelOnly="1" outline="0" fieldPosition="0">
        <references count="1">
          <reference field="4294967294" count="2">
            <x v="0"/>
            <x v="3"/>
          </reference>
        </references>
      </pivotArea>
    </format>
    <format dxfId="1088">
      <pivotArea type="all" dataOnly="0" outline="0" fieldPosition="0"/>
    </format>
    <format dxfId="1087">
      <pivotArea outline="0" collapsedLevelsAreSubtotals="1" fieldPosition="0"/>
    </format>
    <format dxfId="1086">
      <pivotArea field="0" type="button" dataOnly="0" labelOnly="1" outline="0" axis="axisRow" fieldPosition="0"/>
    </format>
    <format dxfId="1085">
      <pivotArea field="6" type="button" dataOnly="0" labelOnly="1" outline="0" axis="axisRow" fieldPosition="1"/>
    </format>
    <format dxfId="1084">
      <pivotArea field="7" type="button" dataOnly="0" labelOnly="1" outline="0" axis="axisRow" fieldPosition="2"/>
    </format>
    <format dxfId="1083">
      <pivotArea field="2" type="button" dataOnly="0" labelOnly="1" outline="0" axis="axisRow" fieldPosition="3"/>
    </format>
    <format dxfId="1082">
      <pivotArea dataOnly="0" labelOnly="1" outline="0" fieldPosition="0">
        <references count="1">
          <reference field="0" count="7">
            <x v="0"/>
            <x v="1"/>
            <x v="2"/>
            <x v="3"/>
            <x v="4"/>
            <x v="5"/>
            <x v="6"/>
          </reference>
        </references>
      </pivotArea>
    </format>
    <format dxfId="1081">
      <pivotArea dataOnly="0" labelOnly="1" grandRow="1" outline="0" fieldPosition="0"/>
    </format>
    <format dxfId="1080">
      <pivotArea dataOnly="0" labelOnly="1" outline="0" fieldPosition="0">
        <references count="2">
          <reference field="0" count="1" selected="0">
            <x v="0"/>
          </reference>
          <reference field="6" count="1">
            <x v="2"/>
          </reference>
        </references>
      </pivotArea>
    </format>
    <format dxfId="1079">
      <pivotArea dataOnly="0" labelOnly="1" outline="0" fieldPosition="0">
        <references count="2">
          <reference field="0" count="1" selected="0">
            <x v="1"/>
          </reference>
          <reference field="6" count="1">
            <x v="0"/>
          </reference>
        </references>
      </pivotArea>
    </format>
    <format dxfId="1078">
      <pivotArea dataOnly="0" labelOnly="1" outline="0" fieldPosition="0">
        <references count="2">
          <reference field="0" count="1" selected="0">
            <x v="3"/>
          </reference>
          <reference field="6" count="1">
            <x v="1"/>
          </reference>
        </references>
      </pivotArea>
    </format>
    <format dxfId="1077">
      <pivotArea dataOnly="0" labelOnly="1" outline="0" fieldPosition="0">
        <references count="2">
          <reference field="0" count="1" selected="0">
            <x v="4"/>
          </reference>
          <reference field="6" count="1">
            <x v="2"/>
          </reference>
        </references>
      </pivotArea>
    </format>
    <format dxfId="1076">
      <pivotArea dataOnly="0" labelOnly="1" outline="0" fieldPosition="0">
        <references count="2">
          <reference field="0" count="1" selected="0">
            <x v="6"/>
          </reference>
          <reference field="6" count="1">
            <x v="0"/>
          </reference>
        </references>
      </pivotArea>
    </format>
    <format dxfId="1075">
      <pivotArea dataOnly="0" labelOnly="1" outline="0" fieldPosition="0">
        <references count="3">
          <reference field="0" count="1" selected="0">
            <x v="0"/>
          </reference>
          <reference field="6" count="1" selected="0">
            <x v="2"/>
          </reference>
          <reference field="7" count="1">
            <x v="0"/>
          </reference>
        </references>
      </pivotArea>
    </format>
    <format dxfId="1074">
      <pivotArea dataOnly="0" labelOnly="1" outline="0" fieldPosition="0">
        <references count="3">
          <reference field="0" count="1" selected="0">
            <x v="3"/>
          </reference>
          <reference field="6" count="1" selected="0">
            <x v="1"/>
          </reference>
          <reference field="7" count="1">
            <x v="1"/>
          </reference>
        </references>
      </pivotArea>
    </format>
    <format dxfId="1073">
      <pivotArea dataOnly="0" labelOnly="1" outline="0" fieldPosition="0">
        <references count="3">
          <reference field="0" count="1" selected="0">
            <x v="4"/>
          </reference>
          <reference field="6" count="1" selected="0">
            <x v="2"/>
          </reference>
          <reference field="7" count="1">
            <x v="0"/>
          </reference>
        </references>
      </pivotArea>
    </format>
    <format dxfId="1072">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071">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070">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069">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068">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067">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066">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065">
      <pivotArea dataOnly="0" labelOnly="1" outline="0" fieldPosition="0">
        <references count="1">
          <reference field="4294967294" count="2">
            <x v="0"/>
            <x v="3"/>
          </reference>
        </references>
      </pivotArea>
    </format>
    <format dxfId="1064">
      <pivotArea type="all" dataOnly="0" outline="0" fieldPosition="0"/>
    </format>
    <format dxfId="1063">
      <pivotArea outline="0" collapsedLevelsAreSubtotals="1" fieldPosition="0"/>
    </format>
    <format dxfId="1062">
      <pivotArea field="0" type="button" dataOnly="0" labelOnly="1" outline="0" axis="axisRow" fieldPosition="0"/>
    </format>
    <format dxfId="1061">
      <pivotArea field="6" type="button" dataOnly="0" labelOnly="1" outline="0" axis="axisRow" fieldPosition="1"/>
    </format>
    <format dxfId="1060">
      <pivotArea field="7" type="button" dataOnly="0" labelOnly="1" outline="0" axis="axisRow" fieldPosition="2"/>
    </format>
    <format dxfId="1059">
      <pivotArea field="2" type="button" dataOnly="0" labelOnly="1" outline="0" axis="axisRow" fieldPosition="3"/>
    </format>
    <format dxfId="1058">
      <pivotArea dataOnly="0" labelOnly="1" outline="0" fieldPosition="0">
        <references count="1">
          <reference field="0" count="7">
            <x v="0"/>
            <x v="1"/>
            <x v="2"/>
            <x v="3"/>
            <x v="4"/>
            <x v="5"/>
            <x v="6"/>
          </reference>
        </references>
      </pivotArea>
    </format>
    <format dxfId="1057">
      <pivotArea dataOnly="0" labelOnly="1" grandRow="1" outline="0" fieldPosition="0"/>
    </format>
    <format dxfId="1056">
      <pivotArea dataOnly="0" labelOnly="1" outline="0" fieldPosition="0">
        <references count="2">
          <reference field="0" count="1" selected="0">
            <x v="0"/>
          </reference>
          <reference field="6" count="1">
            <x v="2"/>
          </reference>
        </references>
      </pivotArea>
    </format>
    <format dxfId="1055">
      <pivotArea dataOnly="0" labelOnly="1" outline="0" fieldPosition="0">
        <references count="2">
          <reference field="0" count="1" selected="0">
            <x v="1"/>
          </reference>
          <reference field="6" count="1">
            <x v="0"/>
          </reference>
        </references>
      </pivotArea>
    </format>
    <format dxfId="1054">
      <pivotArea dataOnly="0" labelOnly="1" outline="0" fieldPosition="0">
        <references count="2">
          <reference field="0" count="1" selected="0">
            <x v="3"/>
          </reference>
          <reference field="6" count="1">
            <x v="1"/>
          </reference>
        </references>
      </pivotArea>
    </format>
    <format dxfId="1053">
      <pivotArea dataOnly="0" labelOnly="1" outline="0" fieldPosition="0">
        <references count="2">
          <reference field="0" count="1" selected="0">
            <x v="4"/>
          </reference>
          <reference field="6" count="1">
            <x v="2"/>
          </reference>
        </references>
      </pivotArea>
    </format>
    <format dxfId="1052">
      <pivotArea dataOnly="0" labelOnly="1" outline="0" fieldPosition="0">
        <references count="2">
          <reference field="0" count="1" selected="0">
            <x v="6"/>
          </reference>
          <reference field="6" count="1">
            <x v="0"/>
          </reference>
        </references>
      </pivotArea>
    </format>
    <format dxfId="1051">
      <pivotArea dataOnly="0" labelOnly="1" outline="0" fieldPosition="0">
        <references count="3">
          <reference field="0" count="1" selected="0">
            <x v="0"/>
          </reference>
          <reference field="6" count="1" selected="0">
            <x v="2"/>
          </reference>
          <reference field="7" count="1">
            <x v="0"/>
          </reference>
        </references>
      </pivotArea>
    </format>
    <format dxfId="1050">
      <pivotArea dataOnly="0" labelOnly="1" outline="0" fieldPosition="0">
        <references count="3">
          <reference field="0" count="1" selected="0">
            <x v="3"/>
          </reference>
          <reference field="6" count="1" selected="0">
            <x v="1"/>
          </reference>
          <reference field="7" count="1">
            <x v="1"/>
          </reference>
        </references>
      </pivotArea>
    </format>
    <format dxfId="1049">
      <pivotArea dataOnly="0" labelOnly="1" outline="0" fieldPosition="0">
        <references count="3">
          <reference field="0" count="1" selected="0">
            <x v="4"/>
          </reference>
          <reference field="6" count="1" selected="0">
            <x v="2"/>
          </reference>
          <reference field="7" count="1">
            <x v="0"/>
          </reference>
        </references>
      </pivotArea>
    </format>
    <format dxfId="1048">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047">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046">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045">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044">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043">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042">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041">
      <pivotArea dataOnly="0" labelOnly="1" outline="0" fieldPosition="0">
        <references count="1">
          <reference field="4294967294" count="2">
            <x v="0"/>
            <x v="3"/>
          </reference>
        </references>
      </pivotArea>
    </format>
    <format dxfId="1040">
      <pivotArea dataOnly="0" labelOnly="1" outline="0" fieldPosition="0">
        <references count="1">
          <reference field="6" count="0"/>
        </references>
      </pivotArea>
    </format>
    <format dxfId="1039">
      <pivotArea dataOnly="0" labelOnly="1" outline="0" fieldPosition="0">
        <references count="1">
          <reference field="6" count="0"/>
        </references>
      </pivotArea>
    </format>
    <format dxfId="1038">
      <pivotArea dataOnly="0" labelOnly="1" outline="0" fieldPosition="0">
        <references count="1">
          <reference field="6" count="0"/>
        </references>
      </pivotArea>
    </format>
    <format dxfId="1037">
      <pivotArea dataOnly="0" labelOnly="1" outline="0" fieldPosition="0">
        <references count="1">
          <reference field="6" count="0"/>
        </references>
      </pivotArea>
    </format>
    <format dxfId="1036">
      <pivotArea type="all" dataOnly="0" outline="0" fieldPosition="0"/>
    </format>
    <format dxfId="1035">
      <pivotArea outline="0" collapsedLevelsAreSubtotals="1" fieldPosition="0"/>
    </format>
    <format dxfId="1034">
      <pivotArea field="0" type="button" dataOnly="0" labelOnly="1" outline="0" axis="axisRow" fieldPosition="0"/>
    </format>
    <format dxfId="1033">
      <pivotArea field="6" type="button" dataOnly="0" labelOnly="1" outline="0" axis="axisRow" fieldPosition="1"/>
    </format>
    <format dxfId="1032">
      <pivotArea field="7" type="button" dataOnly="0" labelOnly="1" outline="0" axis="axisRow" fieldPosition="2"/>
    </format>
    <format dxfId="1031">
      <pivotArea field="2" type="button" dataOnly="0" labelOnly="1" outline="0" axis="axisRow" fieldPosition="3"/>
    </format>
    <format dxfId="1030">
      <pivotArea dataOnly="0" labelOnly="1" outline="0" fieldPosition="0">
        <references count="1">
          <reference field="0" count="7">
            <x v="0"/>
            <x v="1"/>
            <x v="2"/>
            <x v="3"/>
            <x v="4"/>
            <x v="5"/>
            <x v="6"/>
          </reference>
        </references>
      </pivotArea>
    </format>
    <format dxfId="1029">
      <pivotArea dataOnly="0" labelOnly="1" grandRow="1" outline="0" fieldPosition="0"/>
    </format>
    <format dxfId="1028">
      <pivotArea dataOnly="0" labelOnly="1" outline="0" fieldPosition="0">
        <references count="2">
          <reference field="0" count="1" selected="0">
            <x v="0"/>
          </reference>
          <reference field="6" count="1">
            <x v="2"/>
          </reference>
        </references>
      </pivotArea>
    </format>
    <format dxfId="1027">
      <pivotArea dataOnly="0" labelOnly="1" outline="0" fieldPosition="0">
        <references count="2">
          <reference field="0" count="1" selected="0">
            <x v="1"/>
          </reference>
          <reference field="6" count="1">
            <x v="0"/>
          </reference>
        </references>
      </pivotArea>
    </format>
    <format dxfId="1026">
      <pivotArea dataOnly="0" labelOnly="1" outline="0" fieldPosition="0">
        <references count="2">
          <reference field="0" count="1" selected="0">
            <x v="3"/>
          </reference>
          <reference field="6" count="1">
            <x v="1"/>
          </reference>
        </references>
      </pivotArea>
    </format>
    <format dxfId="1025">
      <pivotArea dataOnly="0" labelOnly="1" outline="0" fieldPosition="0">
        <references count="2">
          <reference field="0" count="1" selected="0">
            <x v="4"/>
          </reference>
          <reference field="6" count="1">
            <x v="2"/>
          </reference>
        </references>
      </pivotArea>
    </format>
    <format dxfId="1024">
      <pivotArea dataOnly="0" labelOnly="1" outline="0" fieldPosition="0">
        <references count="2">
          <reference field="0" count="1" selected="0">
            <x v="6"/>
          </reference>
          <reference field="6" count="1">
            <x v="0"/>
          </reference>
        </references>
      </pivotArea>
    </format>
    <format dxfId="1023">
      <pivotArea dataOnly="0" labelOnly="1" outline="0" fieldPosition="0">
        <references count="3">
          <reference field="0" count="1" selected="0">
            <x v="0"/>
          </reference>
          <reference field="6" count="1" selected="0">
            <x v="2"/>
          </reference>
          <reference field="7" count="1">
            <x v="0"/>
          </reference>
        </references>
      </pivotArea>
    </format>
    <format dxfId="1022">
      <pivotArea dataOnly="0" labelOnly="1" outline="0" fieldPosition="0">
        <references count="3">
          <reference field="0" count="1" selected="0">
            <x v="3"/>
          </reference>
          <reference field="6" count="1" selected="0">
            <x v="1"/>
          </reference>
          <reference field="7" count="1">
            <x v="1"/>
          </reference>
        </references>
      </pivotArea>
    </format>
    <format dxfId="1021">
      <pivotArea dataOnly="0" labelOnly="1" outline="0" fieldPosition="0">
        <references count="3">
          <reference field="0" count="1" selected="0">
            <x v="4"/>
          </reference>
          <reference field="6" count="1" selected="0">
            <x v="2"/>
          </reference>
          <reference field="7" count="1">
            <x v="0"/>
          </reference>
        </references>
      </pivotArea>
    </format>
    <format dxfId="1020">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019">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018">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017">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016">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015">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014">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013">
      <pivotArea dataOnly="0" labelOnly="1" outline="0" fieldPosition="0">
        <references count="1">
          <reference field="4294967294" count="2">
            <x v="0"/>
            <x v="3"/>
          </reference>
        </references>
      </pivotArea>
    </format>
    <format dxfId="1012">
      <pivotArea type="all" dataOnly="0" outline="0" fieldPosition="0"/>
    </format>
    <format dxfId="1011">
      <pivotArea outline="0" collapsedLevelsAreSubtotals="1" fieldPosition="0"/>
    </format>
    <format dxfId="1010">
      <pivotArea field="0" type="button" dataOnly="0" labelOnly="1" outline="0" axis="axisRow" fieldPosition="0"/>
    </format>
    <format dxfId="1009">
      <pivotArea field="6" type="button" dataOnly="0" labelOnly="1" outline="0" axis="axisRow" fieldPosition="1"/>
    </format>
    <format dxfId="1008">
      <pivotArea field="7" type="button" dataOnly="0" labelOnly="1" outline="0" axis="axisRow" fieldPosition="2"/>
    </format>
    <format dxfId="1007">
      <pivotArea field="2" type="button" dataOnly="0" labelOnly="1" outline="0" axis="axisRow" fieldPosition="3"/>
    </format>
    <format dxfId="1006">
      <pivotArea dataOnly="0" labelOnly="1" outline="0" fieldPosition="0">
        <references count="1">
          <reference field="0" count="7">
            <x v="0"/>
            <x v="1"/>
            <x v="2"/>
            <x v="3"/>
            <x v="4"/>
            <x v="5"/>
            <x v="6"/>
          </reference>
        </references>
      </pivotArea>
    </format>
    <format dxfId="1005">
      <pivotArea dataOnly="0" labelOnly="1" grandRow="1" outline="0" fieldPosition="0"/>
    </format>
    <format dxfId="1004">
      <pivotArea dataOnly="0" labelOnly="1" outline="0" fieldPosition="0">
        <references count="2">
          <reference field="0" count="1" selected="0">
            <x v="0"/>
          </reference>
          <reference field="6" count="1">
            <x v="2"/>
          </reference>
        </references>
      </pivotArea>
    </format>
    <format dxfId="1003">
      <pivotArea dataOnly="0" labelOnly="1" outline="0" fieldPosition="0">
        <references count="2">
          <reference field="0" count="1" selected="0">
            <x v="1"/>
          </reference>
          <reference field="6" count="1">
            <x v="0"/>
          </reference>
        </references>
      </pivotArea>
    </format>
    <format dxfId="1002">
      <pivotArea dataOnly="0" labelOnly="1" outline="0" fieldPosition="0">
        <references count="2">
          <reference field="0" count="1" selected="0">
            <x v="3"/>
          </reference>
          <reference field="6" count="1">
            <x v="1"/>
          </reference>
        </references>
      </pivotArea>
    </format>
    <format dxfId="1001">
      <pivotArea dataOnly="0" labelOnly="1" outline="0" fieldPosition="0">
        <references count="2">
          <reference field="0" count="1" selected="0">
            <x v="4"/>
          </reference>
          <reference field="6" count="1">
            <x v="2"/>
          </reference>
        </references>
      </pivotArea>
    </format>
    <format dxfId="1000">
      <pivotArea dataOnly="0" labelOnly="1" outline="0" fieldPosition="0">
        <references count="2">
          <reference field="0" count="1" selected="0">
            <x v="6"/>
          </reference>
          <reference field="6" count="1">
            <x v="0"/>
          </reference>
        </references>
      </pivotArea>
    </format>
    <format dxfId="999">
      <pivotArea dataOnly="0" labelOnly="1" outline="0" fieldPosition="0">
        <references count="3">
          <reference field="0" count="1" selected="0">
            <x v="0"/>
          </reference>
          <reference field="6" count="1" selected="0">
            <x v="2"/>
          </reference>
          <reference field="7" count="1">
            <x v="0"/>
          </reference>
        </references>
      </pivotArea>
    </format>
    <format dxfId="998">
      <pivotArea dataOnly="0" labelOnly="1" outline="0" fieldPosition="0">
        <references count="3">
          <reference field="0" count="1" selected="0">
            <x v="3"/>
          </reference>
          <reference field="6" count="1" selected="0">
            <x v="1"/>
          </reference>
          <reference field="7" count="1">
            <x v="1"/>
          </reference>
        </references>
      </pivotArea>
    </format>
    <format dxfId="997">
      <pivotArea dataOnly="0" labelOnly="1" outline="0" fieldPosition="0">
        <references count="3">
          <reference field="0" count="1" selected="0">
            <x v="4"/>
          </reference>
          <reference field="6" count="1" selected="0">
            <x v="2"/>
          </reference>
          <reference field="7" count="1">
            <x v="0"/>
          </reference>
        </references>
      </pivotArea>
    </format>
    <format dxfId="996">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995">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994">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993">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992">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991">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990">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989">
      <pivotArea dataOnly="0" labelOnly="1" outline="0" fieldPosition="0">
        <references count="1">
          <reference field="4294967294" count="2">
            <x v="0"/>
            <x v="3"/>
          </reference>
        </references>
      </pivotArea>
    </format>
    <format dxfId="988">
      <pivotArea field="0" type="button" dataOnly="0" labelOnly="1" outline="0" axis="axisRow" fieldPosition="0"/>
    </format>
    <format dxfId="987">
      <pivotArea field="6" type="button" dataOnly="0" labelOnly="1" outline="0" axis="axisRow" fieldPosition="1"/>
    </format>
    <format dxfId="986">
      <pivotArea field="7" type="button" dataOnly="0" labelOnly="1" outline="0" axis="axisRow" fieldPosition="2"/>
    </format>
    <format dxfId="985">
      <pivotArea field="2" type="button" dataOnly="0" labelOnly="1" outline="0" axis="axisRow" fieldPosition="3"/>
    </format>
    <format dxfId="984">
      <pivotArea dataOnly="0" labelOnly="1" outline="0" fieldPosition="0">
        <references count="1">
          <reference field="4294967294" count="2">
            <x v="0"/>
            <x v="3"/>
          </reference>
        </references>
      </pivotArea>
    </format>
    <format dxfId="983">
      <pivotArea grandRow="1" outline="0" collapsedLevelsAreSubtotals="1" fieldPosition="0"/>
    </format>
    <format dxfId="982">
      <pivotArea dataOnly="0" labelOnly="1" grandRow="1" outline="0" fieldPosition="0"/>
    </format>
    <format dxfId="981">
      <pivotArea type="all" dataOnly="0" outline="0" fieldPosition="0"/>
    </format>
    <format dxfId="980">
      <pivotArea outline="0" collapsedLevelsAreSubtotals="1" fieldPosition="0"/>
    </format>
    <format dxfId="979">
      <pivotArea field="0" type="button" dataOnly="0" labelOnly="1" outline="0" axis="axisRow" fieldPosition="0"/>
    </format>
    <format dxfId="978">
      <pivotArea field="6" type="button" dataOnly="0" labelOnly="1" outline="0" axis="axisRow" fieldPosition="1"/>
    </format>
    <format dxfId="977">
      <pivotArea field="7" type="button" dataOnly="0" labelOnly="1" outline="0" axis="axisRow" fieldPosition="2"/>
    </format>
    <format dxfId="976">
      <pivotArea field="2" type="button" dataOnly="0" labelOnly="1" outline="0" axis="axisRow" fieldPosition="3"/>
    </format>
    <format dxfId="975">
      <pivotArea dataOnly="0" labelOnly="1" outline="0" fieldPosition="0">
        <references count="1">
          <reference field="0" count="7">
            <x v="0"/>
            <x v="1"/>
            <x v="2"/>
            <x v="3"/>
            <x v="4"/>
            <x v="5"/>
            <x v="6"/>
          </reference>
        </references>
      </pivotArea>
    </format>
    <format dxfId="974">
      <pivotArea dataOnly="0" labelOnly="1" grandRow="1" outline="0" fieldPosition="0"/>
    </format>
    <format dxfId="973">
      <pivotArea dataOnly="0" labelOnly="1" outline="0" fieldPosition="0">
        <references count="2">
          <reference field="0" count="1" selected="0">
            <x v="0"/>
          </reference>
          <reference field="6" count="1">
            <x v="2"/>
          </reference>
        </references>
      </pivotArea>
    </format>
    <format dxfId="972">
      <pivotArea dataOnly="0" labelOnly="1" outline="0" fieldPosition="0">
        <references count="2">
          <reference field="0" count="1" selected="0">
            <x v="1"/>
          </reference>
          <reference field="6" count="1">
            <x v="0"/>
          </reference>
        </references>
      </pivotArea>
    </format>
    <format dxfId="971">
      <pivotArea dataOnly="0" labelOnly="1" outline="0" fieldPosition="0">
        <references count="2">
          <reference field="0" count="1" selected="0">
            <x v="3"/>
          </reference>
          <reference field="6" count="1">
            <x v="1"/>
          </reference>
        </references>
      </pivotArea>
    </format>
    <format dxfId="970">
      <pivotArea dataOnly="0" labelOnly="1" outline="0" fieldPosition="0">
        <references count="2">
          <reference field="0" count="1" selected="0">
            <x v="4"/>
          </reference>
          <reference field="6" count="1">
            <x v="2"/>
          </reference>
        </references>
      </pivotArea>
    </format>
    <format dxfId="969">
      <pivotArea dataOnly="0" labelOnly="1" outline="0" fieldPosition="0">
        <references count="2">
          <reference field="0" count="1" selected="0">
            <x v="6"/>
          </reference>
          <reference field="6" count="1">
            <x v="0"/>
          </reference>
        </references>
      </pivotArea>
    </format>
    <format dxfId="968">
      <pivotArea dataOnly="0" labelOnly="1" outline="0" fieldPosition="0">
        <references count="3">
          <reference field="0" count="1" selected="0">
            <x v="0"/>
          </reference>
          <reference field="6" count="1" selected="0">
            <x v="2"/>
          </reference>
          <reference field="7" count="1">
            <x v="0"/>
          </reference>
        </references>
      </pivotArea>
    </format>
    <format dxfId="967">
      <pivotArea dataOnly="0" labelOnly="1" outline="0" fieldPosition="0">
        <references count="3">
          <reference field="0" count="1" selected="0">
            <x v="3"/>
          </reference>
          <reference field="6" count="1" selected="0">
            <x v="1"/>
          </reference>
          <reference field="7" count="1">
            <x v="1"/>
          </reference>
        </references>
      </pivotArea>
    </format>
    <format dxfId="966">
      <pivotArea dataOnly="0" labelOnly="1" outline="0" fieldPosition="0">
        <references count="3">
          <reference field="0" count="1" selected="0">
            <x v="4"/>
          </reference>
          <reference field="6" count="1" selected="0">
            <x v="2"/>
          </reference>
          <reference field="7" count="1">
            <x v="0"/>
          </reference>
        </references>
      </pivotArea>
    </format>
    <format dxfId="965">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964">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963">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962">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961">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960">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959">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958">
      <pivotArea dataOnly="0" labelOnly="1" outline="0" fieldPosition="0">
        <references count="1">
          <reference field="4294967294" count="2">
            <x v="0"/>
            <x v="3"/>
          </reference>
        </references>
      </pivotArea>
    </format>
    <format dxfId="957">
      <pivotArea type="all" dataOnly="0" outline="0" fieldPosition="0"/>
    </format>
    <format dxfId="956">
      <pivotArea outline="0" collapsedLevelsAreSubtotals="1" fieldPosition="0"/>
    </format>
    <format dxfId="955">
      <pivotArea field="0" type="button" dataOnly="0" labelOnly="1" outline="0" axis="axisRow" fieldPosition="0"/>
    </format>
    <format dxfId="954">
      <pivotArea field="6" type="button" dataOnly="0" labelOnly="1" outline="0" axis="axisRow" fieldPosition="1"/>
    </format>
    <format dxfId="953">
      <pivotArea field="7" type="button" dataOnly="0" labelOnly="1" outline="0" axis="axisRow" fieldPosition="2"/>
    </format>
    <format dxfId="952">
      <pivotArea field="2" type="button" dataOnly="0" labelOnly="1" outline="0" axis="axisRow" fieldPosition="3"/>
    </format>
    <format dxfId="951">
      <pivotArea dataOnly="0" labelOnly="1" outline="0" fieldPosition="0">
        <references count="1">
          <reference field="0" count="7">
            <x v="0"/>
            <x v="1"/>
            <x v="2"/>
            <x v="3"/>
            <x v="4"/>
            <x v="5"/>
            <x v="6"/>
          </reference>
        </references>
      </pivotArea>
    </format>
    <format dxfId="950">
      <pivotArea dataOnly="0" labelOnly="1" grandRow="1" outline="0" fieldPosition="0"/>
    </format>
    <format dxfId="949">
      <pivotArea dataOnly="0" labelOnly="1" outline="0" fieldPosition="0">
        <references count="2">
          <reference field="0" count="1" selected="0">
            <x v="0"/>
          </reference>
          <reference field="6" count="1">
            <x v="2"/>
          </reference>
        </references>
      </pivotArea>
    </format>
    <format dxfId="948">
      <pivotArea dataOnly="0" labelOnly="1" outline="0" fieldPosition="0">
        <references count="2">
          <reference field="0" count="1" selected="0">
            <x v="1"/>
          </reference>
          <reference field="6" count="1">
            <x v="0"/>
          </reference>
        </references>
      </pivotArea>
    </format>
    <format dxfId="947">
      <pivotArea dataOnly="0" labelOnly="1" outline="0" fieldPosition="0">
        <references count="2">
          <reference field="0" count="1" selected="0">
            <x v="3"/>
          </reference>
          <reference field="6" count="1">
            <x v="1"/>
          </reference>
        </references>
      </pivotArea>
    </format>
    <format dxfId="946">
      <pivotArea dataOnly="0" labelOnly="1" outline="0" fieldPosition="0">
        <references count="2">
          <reference field="0" count="1" selected="0">
            <x v="4"/>
          </reference>
          <reference field="6" count="1">
            <x v="2"/>
          </reference>
        </references>
      </pivotArea>
    </format>
    <format dxfId="945">
      <pivotArea dataOnly="0" labelOnly="1" outline="0" fieldPosition="0">
        <references count="2">
          <reference field="0" count="1" selected="0">
            <x v="6"/>
          </reference>
          <reference field="6" count="1">
            <x v="0"/>
          </reference>
        </references>
      </pivotArea>
    </format>
    <format dxfId="944">
      <pivotArea dataOnly="0" labelOnly="1" outline="0" fieldPosition="0">
        <references count="3">
          <reference field="0" count="1" selected="0">
            <x v="0"/>
          </reference>
          <reference field="6" count="1" selected="0">
            <x v="2"/>
          </reference>
          <reference field="7" count="1">
            <x v="0"/>
          </reference>
        </references>
      </pivotArea>
    </format>
    <format dxfId="943">
      <pivotArea dataOnly="0" labelOnly="1" outline="0" fieldPosition="0">
        <references count="3">
          <reference field="0" count="1" selected="0">
            <x v="3"/>
          </reference>
          <reference field="6" count="1" selected="0">
            <x v="1"/>
          </reference>
          <reference field="7" count="1">
            <x v="1"/>
          </reference>
        </references>
      </pivotArea>
    </format>
    <format dxfId="942">
      <pivotArea dataOnly="0" labelOnly="1" outline="0" fieldPosition="0">
        <references count="3">
          <reference field="0" count="1" selected="0">
            <x v="4"/>
          </reference>
          <reference field="6" count="1" selected="0">
            <x v="2"/>
          </reference>
          <reference field="7" count="1">
            <x v="0"/>
          </reference>
        </references>
      </pivotArea>
    </format>
    <format dxfId="941">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940">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939">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938">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937">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936">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935">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934">
      <pivotArea dataOnly="0" labelOnly="1" outline="0" fieldPosition="0">
        <references count="1">
          <reference field="4294967294" count="2">
            <x v="0"/>
            <x v="3"/>
          </reference>
        </references>
      </pivotArea>
    </format>
    <format dxfId="933">
      <pivotArea dataOnly="0" outline="0" fieldPosition="0">
        <references count="1">
          <reference field="4294967294" count="2">
            <x v="0"/>
            <x v="3"/>
          </reference>
        </references>
      </pivotArea>
    </format>
    <format dxfId="932">
      <pivotArea dataOnly="0" outline="0" fieldPosition="0">
        <references count="1">
          <reference field="4294967294" count="2">
            <x v="0"/>
            <x v="3"/>
          </reference>
        </references>
      </pivotArea>
    </format>
    <format dxfId="931">
      <pivotArea dataOnly="0" outline="0" fieldPosition="0">
        <references count="1">
          <reference field="4294967294" count="2">
            <x v="0"/>
            <x v="3"/>
          </reference>
        </references>
      </pivotArea>
    </format>
    <format dxfId="930">
      <pivotArea outline="0" fieldPosition="0">
        <references count="1">
          <reference field="4294967294" count="1" selected="0">
            <x v="1"/>
          </reference>
        </references>
      </pivotArea>
    </format>
    <format dxfId="929">
      <pivotArea outline="0" fieldPosition="0">
        <references count="1">
          <reference field="4294967294" count="1" selected="0">
            <x v="2"/>
          </reference>
        </references>
      </pivotArea>
    </format>
    <format dxfId="928">
      <pivotArea field="10" type="button" dataOnly="0" labelOnly="1" outline="0" axis="axisPage" fieldPosition="0"/>
    </format>
    <format dxfId="927">
      <pivotArea field="10" type="button" dataOnly="0" labelOnly="1" outline="0" axis="axisPage" fieldPosition="0"/>
    </format>
    <format dxfId="926">
      <pivotArea dataOnly="0" labelOnly="1" outline="0" fieldPosition="0">
        <references count="1">
          <reference field="0" count="1">
            <x v="80"/>
          </reference>
        </references>
      </pivotArea>
    </format>
    <format dxfId="925">
      <pivotArea dataOnly="0" labelOnly="1" outline="0" fieldPosition="0">
        <references count="1">
          <reference field="0" count="1">
            <x v="80"/>
          </reference>
        </references>
      </pivotArea>
    </format>
    <format dxfId="924">
      <pivotArea field="10" type="button" dataOnly="0" labelOnly="1" outline="0" axis="axisPage"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PivotTable5" cacheId="16" applyNumberFormats="0" applyBorderFormats="0" applyFontFormats="0" applyPatternFormats="0" applyAlignmentFormats="0" applyWidthHeightFormats="1" dataCaption="Werte" grandTotalCaption="Total" updatedVersion="6" minRefreshableVersion="3" showDrill="0" useAutoFormatting="1" itemPrintTitles="1" createdVersion="6" indent="0" compact="0" compactData="0" multipleFieldFilters="0">
  <location ref="B110:I139" firstHeaderRow="0" firstDataRow="1" firstDataCol="4" rowPageCount="1" colPageCount="1"/>
  <pivotFields count="118">
    <pivotField axis="axisRow" compact="0" outline="0" showAll="0" defaultSubtotal="0">
      <items count="200">
        <item x="83"/>
        <item x="119"/>
        <item x="122"/>
        <item x="137"/>
        <item x="138"/>
        <item x="172"/>
        <item x="182"/>
        <item x="130"/>
        <item x="84"/>
        <item x="120"/>
        <item x="167"/>
        <item x="82"/>
        <item x="164"/>
        <item x="103"/>
        <item x="67"/>
        <item x="142"/>
        <item x="89"/>
        <item x="163"/>
        <item x="179"/>
        <item x="178"/>
        <item x="53"/>
        <item x="50"/>
        <item x="70"/>
        <item x="139"/>
        <item x="147"/>
        <item x="176"/>
        <item x="54"/>
        <item x="64"/>
        <item x="126"/>
        <item x="170"/>
        <item x="117"/>
        <item x="141"/>
        <item x="128"/>
        <item x="127"/>
        <item x="136"/>
        <item x="156"/>
        <item x="192"/>
        <item x="123"/>
        <item x="116"/>
        <item x="149"/>
        <item x="55"/>
        <item x="92"/>
        <item x="146"/>
        <item x="77"/>
        <item x="129"/>
        <item x="60"/>
        <item x="68"/>
        <item x="193"/>
        <item x="150"/>
        <item x="57"/>
        <item x="181"/>
        <item x="78"/>
        <item x="155"/>
        <item x="159"/>
        <item x="132"/>
        <item x="104"/>
        <item x="74"/>
        <item x="111"/>
        <item x="110"/>
        <item x="109"/>
        <item x="189"/>
        <item x="190"/>
        <item x="154"/>
        <item x="165"/>
        <item x="188"/>
        <item x="186"/>
        <item x="187"/>
        <item x="69"/>
        <item x="95"/>
        <item x="62"/>
        <item x="166"/>
        <item x="56"/>
        <item x="65"/>
        <item x="152"/>
        <item x="58"/>
        <item x="195"/>
        <item x="90"/>
        <item x="114"/>
        <item x="108"/>
        <item x="63"/>
        <item m="1" x="199"/>
        <item x="71"/>
        <item x="88"/>
        <item x="52"/>
        <item x="85"/>
        <item x="153"/>
        <item x="135"/>
        <item x="196"/>
        <item x="133"/>
        <item x="162"/>
        <item x="59"/>
        <item x="87"/>
        <item x="76"/>
        <item x="184"/>
        <item x="158"/>
        <item x="161"/>
        <item x="113"/>
        <item x="173"/>
        <item x="125"/>
        <item x="180"/>
        <item x="171"/>
        <item x="140"/>
        <item x="73"/>
        <item x="91"/>
        <item x="194"/>
        <item x="177"/>
        <item x="97"/>
        <item x="144"/>
        <item x="106"/>
        <item x="105"/>
        <item x="100"/>
        <item x="183"/>
        <item x="148"/>
        <item x="75"/>
        <item x="102"/>
        <item x="143"/>
        <item x="51"/>
        <item x="107"/>
        <item x="157"/>
        <item x="168"/>
        <item x="93"/>
        <item x="66"/>
        <item x="160"/>
        <item x="121"/>
        <item x="79"/>
        <item x="96"/>
        <item x="101"/>
        <item x="151"/>
        <item x="198"/>
        <item x="118"/>
        <item x="169"/>
        <item x="185"/>
        <item x="94"/>
        <item x="80"/>
        <item x="99"/>
        <item x="81"/>
        <item x="145"/>
        <item x="131"/>
        <item x="134"/>
        <item x="174"/>
        <item x="175"/>
        <item x="43"/>
        <item x="44"/>
        <item x="45"/>
        <item x="47"/>
        <item x="48"/>
        <item x="112"/>
        <item x="115"/>
        <item x="124"/>
        <item x="197"/>
        <item x="42"/>
        <item x="41"/>
        <item x="46"/>
        <item x="40"/>
        <item x="72"/>
        <item x="38"/>
        <item x="49"/>
        <item x="37"/>
        <item x="32"/>
        <item x="33"/>
        <item x="35"/>
        <item x="36"/>
        <item x="18"/>
        <item x="19"/>
        <item x="20"/>
        <item x="21"/>
        <item x="22"/>
        <item x="23"/>
        <item x="24"/>
        <item x="25"/>
        <item x="26"/>
        <item x="27"/>
        <item x="28"/>
        <item x="29"/>
        <item x="30"/>
        <item x="31"/>
        <item x="34"/>
        <item x="39"/>
        <item x="61"/>
        <item x="86"/>
        <item x="98"/>
        <item x="14"/>
        <item x="15"/>
        <item x="16"/>
        <item x="7"/>
        <item x="8"/>
        <item x="9"/>
        <item x="10"/>
        <item x="11"/>
        <item x="12"/>
        <item x="13"/>
        <item x="191"/>
        <item x="6"/>
        <item x="0"/>
        <item x="1"/>
        <item x="2"/>
        <item x="3"/>
        <item x="4"/>
        <item x="5"/>
        <item x="17"/>
      </items>
    </pivotField>
    <pivotField compact="0" outline="0" showAll="0" defaultSubtotal="0"/>
    <pivotField axis="axisRow" compact="0" outline="0" showAll="0" defaultSubtotal="0">
      <items count="143">
        <item x="54"/>
        <item x="61"/>
        <item x="38"/>
        <item x="58"/>
        <item x="88"/>
        <item x="78"/>
        <item x="26"/>
        <item x="17"/>
        <item x="84"/>
        <item x="23"/>
        <item x="50"/>
        <item x="11"/>
        <item x="91"/>
        <item x="79"/>
        <item x="13"/>
        <item x="63"/>
        <item x="64"/>
        <item m="1" x="130"/>
        <item m="1" x="140"/>
        <item x="32"/>
        <item x="72"/>
        <item x="55"/>
        <item x="62"/>
        <item x="110"/>
        <item x="111"/>
        <item x="46"/>
        <item x="44"/>
        <item x="53"/>
        <item x="93"/>
        <item x="109"/>
        <item x="47"/>
        <item x="95"/>
        <item x="87"/>
        <item x="120"/>
        <item x="86"/>
        <item x="82"/>
        <item x="81"/>
        <item x="77"/>
        <item x="94"/>
        <item x="48"/>
        <item m="1" x="139"/>
        <item m="1" x="138"/>
        <item x="92"/>
        <item x="60"/>
        <item m="1" x="129"/>
        <item x="51"/>
        <item x="56"/>
        <item m="1" x="131"/>
        <item m="1" x="127"/>
        <item x="5"/>
        <item x="99"/>
        <item x="101"/>
        <item m="1" x="122"/>
        <item x="73"/>
        <item x="59"/>
        <item x="75"/>
        <item x="98"/>
        <item x="9"/>
        <item x="116"/>
        <item x="114"/>
        <item x="115"/>
        <item m="1" x="128"/>
        <item x="57"/>
        <item m="1" x="126"/>
        <item m="1" x="125"/>
        <item x="103"/>
        <item x="113"/>
        <item x="100"/>
        <item m="1" x="141"/>
        <item x="97"/>
        <item x="119"/>
        <item x="80"/>
        <item x="69"/>
        <item x="22"/>
        <item x="49"/>
        <item x="106"/>
        <item m="1" x="124"/>
        <item x="107"/>
        <item x="108"/>
        <item x="112"/>
        <item x="33"/>
        <item x="65"/>
        <item m="1" x="123"/>
        <item x="90"/>
        <item x="74"/>
        <item m="1" x="137"/>
        <item m="1" x="135"/>
        <item x="66"/>
        <item x="89"/>
        <item m="1" x="136"/>
        <item x="7"/>
        <item x="45"/>
        <item m="1" x="133"/>
        <item x="67"/>
        <item x="52"/>
        <item x="118"/>
        <item x="104"/>
        <item m="1" x="132"/>
        <item x="96"/>
        <item x="121"/>
        <item x="105"/>
        <item x="70"/>
        <item x="85"/>
        <item x="43"/>
        <item x="40"/>
        <item x="42"/>
        <item x="76"/>
        <item x="83"/>
        <item x="37"/>
        <item x="41"/>
        <item m="1" x="134"/>
        <item x="36"/>
        <item x="29"/>
        <item x="30"/>
        <item x="18"/>
        <item x="19"/>
        <item x="20"/>
        <item x="21"/>
        <item x="24"/>
        <item x="25"/>
        <item x="27"/>
        <item x="28"/>
        <item x="31"/>
        <item x="34"/>
        <item m="1" x="142"/>
        <item x="39"/>
        <item x="68"/>
        <item x="117"/>
        <item x="14"/>
        <item x="15"/>
        <item x="16"/>
        <item x="8"/>
        <item x="10"/>
        <item x="12"/>
        <item x="6"/>
        <item x="0"/>
        <item x="1"/>
        <item x="2"/>
        <item x="3"/>
        <item x="4"/>
        <item x="35"/>
        <item x="71"/>
        <item x="102"/>
      </items>
    </pivotField>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3">
        <item x="2"/>
        <item x="1"/>
        <item x="0"/>
      </items>
    </pivotField>
    <pivotField compact="0" outline="0" showAll="0" defaultSubtotal="0"/>
    <pivotField compact="0" outline="0" showAll="0" defaultSubtotal="0"/>
    <pivotField name="APPROVED AND RUNNING " axis="axisPage" compact="0" outline="0" multipleItemSelectionAllowed="1" showAll="0" defaultSubtotal="0">
      <items count="14">
        <item h="1" x="2"/>
        <item h="1" x="0"/>
        <item h="1" x="3"/>
        <item x="4"/>
        <item h="1" x="6"/>
        <item h="1" x="1"/>
        <item h="1" m="1" x="7"/>
        <item h="1" m="1" x="9"/>
        <item h="1" m="1" x="10"/>
        <item h="1" m="1" x="8"/>
        <item h="1" m="1" x="11"/>
        <item h="1" m="1" x="13"/>
        <item h="1" m="1" x="12"/>
        <item h="1"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9"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9" outline="0" showAll="0" defaultSubtotal="0"/>
    <pivotField compact="0" numFmtId="166" outline="0" showAll="0" defaultSubtotal="0"/>
    <pivotField compact="0" numFmtId="166" outline="0" showAll="0" defaultSubtotal="0"/>
    <pivotField compact="0" numFmtId="166" outline="0" showAll="0" defaultSubtotal="0"/>
  </pivotFields>
  <rowFields count="4">
    <field x="0"/>
    <field x="6"/>
    <field x="7"/>
    <field x="2"/>
  </rowFields>
  <rowItems count="29">
    <i>
      <x v="11"/>
      <x v="2"/>
      <x v="1"/>
      <x v="3"/>
    </i>
    <i>
      <x v="12"/>
      <x v="2"/>
      <x/>
      <x v="19"/>
    </i>
    <i>
      <x v="59"/>
      <x v="2"/>
      <x/>
      <x v="55"/>
    </i>
    <i>
      <x v="62"/>
      <x v="2"/>
      <x/>
      <x v="56"/>
    </i>
    <i>
      <x v="69"/>
      <x v="2"/>
      <x/>
      <x v="94"/>
    </i>
    <i>
      <x v="70"/>
      <x v="2"/>
      <x/>
      <x v="65"/>
    </i>
    <i>
      <x v="71"/>
      <x v="2"/>
      <x v="1"/>
      <x v="74"/>
    </i>
    <i>
      <x v="96"/>
      <x v="2"/>
      <x/>
      <x v="9"/>
    </i>
    <i>
      <x v="102"/>
      <x/>
      <x/>
      <x v="80"/>
    </i>
    <i>
      <x v="103"/>
      <x/>
      <x/>
      <x v="81"/>
    </i>
    <i>
      <x v="104"/>
      <x/>
      <x v="1"/>
      <x v="95"/>
    </i>
    <i>
      <x v="122"/>
      <x v="2"/>
      <x/>
      <x v="7"/>
    </i>
    <i>
      <x v="124"/>
      <x v="2"/>
      <x v="1"/>
      <x v="74"/>
    </i>
    <i>
      <x v="126"/>
      <x v="2"/>
      <x v="1"/>
      <x v="3"/>
    </i>
    <i>
      <x v="128"/>
      <x/>
      <x v="1"/>
      <x v="99"/>
    </i>
    <i>
      <x v="133"/>
      <x v="2"/>
      <x v="1"/>
      <x v="90"/>
    </i>
    <i>
      <x v="135"/>
      <x v="2"/>
      <x/>
      <x v="90"/>
    </i>
    <i>
      <x v="138"/>
      <x v="2"/>
      <x v="1"/>
      <x v="90"/>
    </i>
    <i>
      <x v="141"/>
      <x v="2"/>
      <x/>
      <x v="125"/>
    </i>
    <i>
      <x v="144"/>
      <x v="2"/>
      <x v="1"/>
      <x v="90"/>
    </i>
    <i>
      <x v="146"/>
      <x v="2"/>
      <x/>
      <x v="9"/>
    </i>
    <i>
      <x v="147"/>
      <x v="2"/>
      <x v="1"/>
      <x v="106"/>
    </i>
    <i>
      <x v="149"/>
      <x v="2"/>
      <x/>
      <x v="33"/>
    </i>
    <i>
      <x v="153"/>
      <x/>
      <x/>
      <x v="111"/>
    </i>
    <i>
      <x v="157"/>
      <x v="2"/>
      <x/>
      <x v="123"/>
    </i>
    <i>
      <x v="178"/>
      <x v="1"/>
      <x/>
      <x v="90"/>
    </i>
    <i>
      <x v="188"/>
      <x v="1"/>
      <x v="1"/>
      <x v="11"/>
    </i>
    <i>
      <x v="191"/>
      <x v="2"/>
      <x/>
      <x v="127"/>
    </i>
    <i t="grand">
      <x/>
    </i>
  </rowItems>
  <colFields count="1">
    <field x="-2"/>
  </colFields>
  <colItems count="4">
    <i>
      <x/>
    </i>
    <i i="1">
      <x v="1"/>
    </i>
    <i i="2">
      <x v="2"/>
    </i>
    <i i="3">
      <x v="3"/>
    </i>
  </colItems>
  <pageFields count="1">
    <pageField fld="10" hier="-1"/>
  </pageFields>
  <dataFields count="4">
    <dataField name=" Total Project Volume" fld="105" baseField="2" baseItem="1" numFmtId="165"/>
    <dataField name=" Total Project Volume (IPK)" fld="76" baseField="0" baseItem="0" numFmtId="168"/>
    <dataField name=" Total Project Volume (ITA)" fld="86" baseField="0" baseItem="0" numFmtId="168"/>
    <dataField name=" Total Project Volume (Other)" fld="102" baseField="2" baseItem="1" numFmtId="165"/>
  </dataFields>
  <formats count="191">
    <format dxfId="1303">
      <pivotArea type="all" dataOnly="0" outline="0" fieldPosition="0"/>
    </format>
    <format dxfId="1302">
      <pivotArea outline="0" collapsedLevelsAreSubtotals="1" fieldPosition="0"/>
    </format>
    <format dxfId="1301">
      <pivotArea field="0" type="button" dataOnly="0" labelOnly="1" outline="0" axis="axisRow" fieldPosition="0"/>
    </format>
    <format dxfId="1300">
      <pivotArea field="6" type="button" dataOnly="0" labelOnly="1" outline="0" axis="axisRow" fieldPosition="1"/>
    </format>
    <format dxfId="1299">
      <pivotArea field="7" type="button" dataOnly="0" labelOnly="1" outline="0" axis="axisRow" fieldPosition="2"/>
    </format>
    <format dxfId="1298">
      <pivotArea field="2" type="button" dataOnly="0" labelOnly="1" outline="0" axis="axisRow" fieldPosition="3"/>
    </format>
    <format dxfId="1297">
      <pivotArea dataOnly="0" labelOnly="1" outline="0" fieldPosition="0">
        <references count="1">
          <reference field="0" count="7">
            <x v="0"/>
            <x v="1"/>
            <x v="2"/>
            <x v="3"/>
            <x v="4"/>
            <x v="5"/>
            <x v="6"/>
          </reference>
        </references>
      </pivotArea>
    </format>
    <format dxfId="1296">
      <pivotArea dataOnly="0" labelOnly="1" grandRow="1" outline="0" fieldPosition="0"/>
    </format>
    <format dxfId="1295">
      <pivotArea dataOnly="0" labelOnly="1" outline="0" fieldPosition="0">
        <references count="2">
          <reference field="0" count="1" selected="0">
            <x v="0"/>
          </reference>
          <reference field="6" count="1">
            <x v="2"/>
          </reference>
        </references>
      </pivotArea>
    </format>
    <format dxfId="1294">
      <pivotArea dataOnly="0" labelOnly="1" outline="0" fieldPosition="0">
        <references count="2">
          <reference field="0" count="1" selected="0">
            <x v="1"/>
          </reference>
          <reference field="6" count="1">
            <x v="0"/>
          </reference>
        </references>
      </pivotArea>
    </format>
    <format dxfId="1293">
      <pivotArea dataOnly="0" labelOnly="1" outline="0" fieldPosition="0">
        <references count="2">
          <reference field="0" count="1" selected="0">
            <x v="3"/>
          </reference>
          <reference field="6" count="1">
            <x v="1"/>
          </reference>
        </references>
      </pivotArea>
    </format>
    <format dxfId="1292">
      <pivotArea dataOnly="0" labelOnly="1" outline="0" fieldPosition="0">
        <references count="2">
          <reference field="0" count="1" selected="0">
            <x v="4"/>
          </reference>
          <reference field="6" count="1">
            <x v="2"/>
          </reference>
        </references>
      </pivotArea>
    </format>
    <format dxfId="1291">
      <pivotArea dataOnly="0" labelOnly="1" outline="0" fieldPosition="0">
        <references count="2">
          <reference field="0" count="1" selected="0">
            <x v="6"/>
          </reference>
          <reference field="6" count="1">
            <x v="0"/>
          </reference>
        </references>
      </pivotArea>
    </format>
    <format dxfId="1290">
      <pivotArea dataOnly="0" labelOnly="1" outline="0" fieldPosition="0">
        <references count="3">
          <reference field="0" count="1" selected="0">
            <x v="0"/>
          </reference>
          <reference field="6" count="1" selected="0">
            <x v="2"/>
          </reference>
          <reference field="7" count="1">
            <x v="0"/>
          </reference>
        </references>
      </pivotArea>
    </format>
    <format dxfId="1289">
      <pivotArea dataOnly="0" labelOnly="1" outline="0" fieldPosition="0">
        <references count="3">
          <reference field="0" count="1" selected="0">
            <x v="3"/>
          </reference>
          <reference field="6" count="1" selected="0">
            <x v="1"/>
          </reference>
          <reference field="7" count="1">
            <x v="1"/>
          </reference>
        </references>
      </pivotArea>
    </format>
    <format dxfId="1288">
      <pivotArea dataOnly="0" labelOnly="1" outline="0" fieldPosition="0">
        <references count="3">
          <reference field="0" count="1" selected="0">
            <x v="4"/>
          </reference>
          <reference field="6" count="1" selected="0">
            <x v="2"/>
          </reference>
          <reference field="7" count="1">
            <x v="0"/>
          </reference>
        </references>
      </pivotArea>
    </format>
    <format dxfId="1287">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286">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285">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284">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283">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282">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281">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280">
      <pivotArea dataOnly="0" labelOnly="1" outline="0" fieldPosition="0">
        <references count="1">
          <reference field="4294967294" count="2">
            <x v="0"/>
            <x v="3"/>
          </reference>
        </references>
      </pivotArea>
    </format>
    <format dxfId="1279">
      <pivotArea type="all" dataOnly="0" outline="0" fieldPosition="0"/>
    </format>
    <format dxfId="1278">
      <pivotArea outline="0" collapsedLevelsAreSubtotals="1" fieldPosition="0"/>
    </format>
    <format dxfId="1277">
      <pivotArea field="0" type="button" dataOnly="0" labelOnly="1" outline="0" axis="axisRow" fieldPosition="0"/>
    </format>
    <format dxfId="1276">
      <pivotArea field="6" type="button" dataOnly="0" labelOnly="1" outline="0" axis="axisRow" fieldPosition="1"/>
    </format>
    <format dxfId="1275">
      <pivotArea field="7" type="button" dataOnly="0" labelOnly="1" outline="0" axis="axisRow" fieldPosition="2"/>
    </format>
    <format dxfId="1274">
      <pivotArea field="2" type="button" dataOnly="0" labelOnly="1" outline="0" axis="axisRow" fieldPosition="3"/>
    </format>
    <format dxfId="1273">
      <pivotArea dataOnly="0" labelOnly="1" outline="0" fieldPosition="0">
        <references count="1">
          <reference field="0" count="7">
            <x v="0"/>
            <x v="1"/>
            <x v="2"/>
            <x v="3"/>
            <x v="4"/>
            <x v="5"/>
            <x v="6"/>
          </reference>
        </references>
      </pivotArea>
    </format>
    <format dxfId="1272">
      <pivotArea dataOnly="0" labelOnly="1" grandRow="1" outline="0" fieldPosition="0"/>
    </format>
    <format dxfId="1271">
      <pivotArea dataOnly="0" labelOnly="1" outline="0" fieldPosition="0">
        <references count="2">
          <reference field="0" count="1" selected="0">
            <x v="0"/>
          </reference>
          <reference field="6" count="1">
            <x v="2"/>
          </reference>
        </references>
      </pivotArea>
    </format>
    <format dxfId="1270">
      <pivotArea dataOnly="0" labelOnly="1" outline="0" fieldPosition="0">
        <references count="2">
          <reference field="0" count="1" selected="0">
            <x v="1"/>
          </reference>
          <reference field="6" count="1">
            <x v="0"/>
          </reference>
        </references>
      </pivotArea>
    </format>
    <format dxfId="1269">
      <pivotArea dataOnly="0" labelOnly="1" outline="0" fieldPosition="0">
        <references count="2">
          <reference field="0" count="1" selected="0">
            <x v="3"/>
          </reference>
          <reference field="6" count="1">
            <x v="1"/>
          </reference>
        </references>
      </pivotArea>
    </format>
    <format dxfId="1268">
      <pivotArea dataOnly="0" labelOnly="1" outline="0" fieldPosition="0">
        <references count="2">
          <reference field="0" count="1" selected="0">
            <x v="4"/>
          </reference>
          <reference field="6" count="1">
            <x v="2"/>
          </reference>
        </references>
      </pivotArea>
    </format>
    <format dxfId="1267">
      <pivotArea dataOnly="0" labelOnly="1" outline="0" fieldPosition="0">
        <references count="2">
          <reference field="0" count="1" selected="0">
            <x v="6"/>
          </reference>
          <reference field="6" count="1">
            <x v="0"/>
          </reference>
        </references>
      </pivotArea>
    </format>
    <format dxfId="1266">
      <pivotArea dataOnly="0" labelOnly="1" outline="0" fieldPosition="0">
        <references count="3">
          <reference field="0" count="1" selected="0">
            <x v="0"/>
          </reference>
          <reference field="6" count="1" selected="0">
            <x v="2"/>
          </reference>
          <reference field="7" count="1">
            <x v="0"/>
          </reference>
        </references>
      </pivotArea>
    </format>
    <format dxfId="1265">
      <pivotArea dataOnly="0" labelOnly="1" outline="0" fieldPosition="0">
        <references count="3">
          <reference field="0" count="1" selected="0">
            <x v="3"/>
          </reference>
          <reference field="6" count="1" selected="0">
            <x v="1"/>
          </reference>
          <reference field="7" count="1">
            <x v="1"/>
          </reference>
        </references>
      </pivotArea>
    </format>
    <format dxfId="1264">
      <pivotArea dataOnly="0" labelOnly="1" outline="0" fieldPosition="0">
        <references count="3">
          <reference field="0" count="1" selected="0">
            <x v="4"/>
          </reference>
          <reference field="6" count="1" selected="0">
            <x v="2"/>
          </reference>
          <reference field="7" count="1">
            <x v="0"/>
          </reference>
        </references>
      </pivotArea>
    </format>
    <format dxfId="1263">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262">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261">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260">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259">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258">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257">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256">
      <pivotArea dataOnly="0" labelOnly="1" outline="0" fieldPosition="0">
        <references count="1">
          <reference field="4294967294" count="2">
            <x v="0"/>
            <x v="3"/>
          </reference>
        </references>
      </pivotArea>
    </format>
    <format dxfId="1255">
      <pivotArea type="all" dataOnly="0" outline="0" fieldPosition="0"/>
    </format>
    <format dxfId="1254">
      <pivotArea outline="0" collapsedLevelsAreSubtotals="1" fieldPosition="0"/>
    </format>
    <format dxfId="1253">
      <pivotArea field="0" type="button" dataOnly="0" labelOnly="1" outline="0" axis="axisRow" fieldPosition="0"/>
    </format>
    <format dxfId="1252">
      <pivotArea field="6" type="button" dataOnly="0" labelOnly="1" outline="0" axis="axisRow" fieldPosition="1"/>
    </format>
    <format dxfId="1251">
      <pivotArea field="7" type="button" dataOnly="0" labelOnly="1" outline="0" axis="axisRow" fieldPosition="2"/>
    </format>
    <format dxfId="1250">
      <pivotArea field="2" type="button" dataOnly="0" labelOnly="1" outline="0" axis="axisRow" fieldPosition="3"/>
    </format>
    <format dxfId="1249">
      <pivotArea dataOnly="0" labelOnly="1" outline="0" fieldPosition="0">
        <references count="1">
          <reference field="0" count="7">
            <x v="0"/>
            <x v="1"/>
            <x v="2"/>
            <x v="3"/>
            <x v="4"/>
            <x v="5"/>
            <x v="6"/>
          </reference>
        </references>
      </pivotArea>
    </format>
    <format dxfId="1248">
      <pivotArea dataOnly="0" labelOnly="1" grandRow="1" outline="0" fieldPosition="0"/>
    </format>
    <format dxfId="1247">
      <pivotArea dataOnly="0" labelOnly="1" outline="0" fieldPosition="0">
        <references count="2">
          <reference field="0" count="1" selected="0">
            <x v="0"/>
          </reference>
          <reference field="6" count="1">
            <x v="2"/>
          </reference>
        </references>
      </pivotArea>
    </format>
    <format dxfId="1246">
      <pivotArea dataOnly="0" labelOnly="1" outline="0" fieldPosition="0">
        <references count="2">
          <reference field="0" count="1" selected="0">
            <x v="1"/>
          </reference>
          <reference field="6" count="1">
            <x v="0"/>
          </reference>
        </references>
      </pivotArea>
    </format>
    <format dxfId="1245">
      <pivotArea dataOnly="0" labelOnly="1" outline="0" fieldPosition="0">
        <references count="2">
          <reference field="0" count="1" selected="0">
            <x v="3"/>
          </reference>
          <reference field="6" count="1">
            <x v="1"/>
          </reference>
        </references>
      </pivotArea>
    </format>
    <format dxfId="1244">
      <pivotArea dataOnly="0" labelOnly="1" outline="0" fieldPosition="0">
        <references count="2">
          <reference field="0" count="1" selected="0">
            <x v="4"/>
          </reference>
          <reference field="6" count="1">
            <x v="2"/>
          </reference>
        </references>
      </pivotArea>
    </format>
    <format dxfId="1243">
      <pivotArea dataOnly="0" labelOnly="1" outline="0" fieldPosition="0">
        <references count="2">
          <reference field="0" count="1" selected="0">
            <x v="6"/>
          </reference>
          <reference field="6" count="1">
            <x v="0"/>
          </reference>
        </references>
      </pivotArea>
    </format>
    <format dxfId="1242">
      <pivotArea dataOnly="0" labelOnly="1" outline="0" fieldPosition="0">
        <references count="3">
          <reference field="0" count="1" selected="0">
            <x v="0"/>
          </reference>
          <reference field="6" count="1" selected="0">
            <x v="2"/>
          </reference>
          <reference field="7" count="1">
            <x v="0"/>
          </reference>
        </references>
      </pivotArea>
    </format>
    <format dxfId="1241">
      <pivotArea dataOnly="0" labelOnly="1" outline="0" fieldPosition="0">
        <references count="3">
          <reference field="0" count="1" selected="0">
            <x v="3"/>
          </reference>
          <reference field="6" count="1" selected="0">
            <x v="1"/>
          </reference>
          <reference field="7" count="1">
            <x v="1"/>
          </reference>
        </references>
      </pivotArea>
    </format>
    <format dxfId="1240">
      <pivotArea dataOnly="0" labelOnly="1" outline="0" fieldPosition="0">
        <references count="3">
          <reference field="0" count="1" selected="0">
            <x v="4"/>
          </reference>
          <reference field="6" count="1" selected="0">
            <x v="2"/>
          </reference>
          <reference field="7" count="1">
            <x v="0"/>
          </reference>
        </references>
      </pivotArea>
    </format>
    <format dxfId="1239">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238">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237">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236">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235">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234">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233">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232">
      <pivotArea dataOnly="0" labelOnly="1" outline="0" fieldPosition="0">
        <references count="1">
          <reference field="4294967294" count="2">
            <x v="0"/>
            <x v="3"/>
          </reference>
        </references>
      </pivotArea>
    </format>
    <format dxfId="1231">
      <pivotArea dataOnly="0" labelOnly="1" outline="0" fieldPosition="0">
        <references count="1">
          <reference field="6" count="0"/>
        </references>
      </pivotArea>
    </format>
    <format dxfId="1230">
      <pivotArea dataOnly="0" labelOnly="1" outline="0" fieldPosition="0">
        <references count="1">
          <reference field="6" count="0"/>
        </references>
      </pivotArea>
    </format>
    <format dxfId="1229">
      <pivotArea dataOnly="0" labelOnly="1" outline="0" fieldPosition="0">
        <references count="1">
          <reference field="6" count="0"/>
        </references>
      </pivotArea>
    </format>
    <format dxfId="1228">
      <pivotArea dataOnly="0" labelOnly="1" outline="0" fieldPosition="0">
        <references count="1">
          <reference field="6" count="0"/>
        </references>
      </pivotArea>
    </format>
    <format dxfId="1227">
      <pivotArea type="all" dataOnly="0" outline="0" fieldPosition="0"/>
    </format>
    <format dxfId="1226">
      <pivotArea outline="0" collapsedLevelsAreSubtotals="1" fieldPosition="0"/>
    </format>
    <format dxfId="1225">
      <pivotArea field="0" type="button" dataOnly="0" labelOnly="1" outline="0" axis="axisRow" fieldPosition="0"/>
    </format>
    <format dxfId="1224">
      <pivotArea field="6" type="button" dataOnly="0" labelOnly="1" outline="0" axis="axisRow" fieldPosition="1"/>
    </format>
    <format dxfId="1223">
      <pivotArea field="7" type="button" dataOnly="0" labelOnly="1" outline="0" axis="axisRow" fieldPosition="2"/>
    </format>
    <format dxfId="1222">
      <pivotArea field="2" type="button" dataOnly="0" labelOnly="1" outline="0" axis="axisRow" fieldPosition="3"/>
    </format>
    <format dxfId="1221">
      <pivotArea dataOnly="0" labelOnly="1" outline="0" fieldPosition="0">
        <references count="1">
          <reference field="0" count="7">
            <x v="0"/>
            <x v="1"/>
            <x v="2"/>
            <x v="3"/>
            <x v="4"/>
            <x v="5"/>
            <x v="6"/>
          </reference>
        </references>
      </pivotArea>
    </format>
    <format dxfId="1220">
      <pivotArea dataOnly="0" labelOnly="1" grandRow="1" outline="0" fieldPosition="0"/>
    </format>
    <format dxfId="1219">
      <pivotArea dataOnly="0" labelOnly="1" outline="0" fieldPosition="0">
        <references count="2">
          <reference field="0" count="1" selected="0">
            <x v="0"/>
          </reference>
          <reference field="6" count="1">
            <x v="2"/>
          </reference>
        </references>
      </pivotArea>
    </format>
    <format dxfId="1218">
      <pivotArea dataOnly="0" labelOnly="1" outline="0" fieldPosition="0">
        <references count="2">
          <reference field="0" count="1" selected="0">
            <x v="1"/>
          </reference>
          <reference field="6" count="1">
            <x v="0"/>
          </reference>
        </references>
      </pivotArea>
    </format>
    <format dxfId="1217">
      <pivotArea dataOnly="0" labelOnly="1" outline="0" fieldPosition="0">
        <references count="2">
          <reference field="0" count="1" selected="0">
            <x v="3"/>
          </reference>
          <reference field="6" count="1">
            <x v="1"/>
          </reference>
        </references>
      </pivotArea>
    </format>
    <format dxfId="1216">
      <pivotArea dataOnly="0" labelOnly="1" outline="0" fieldPosition="0">
        <references count="2">
          <reference field="0" count="1" selected="0">
            <x v="4"/>
          </reference>
          <reference field="6" count="1">
            <x v="2"/>
          </reference>
        </references>
      </pivotArea>
    </format>
    <format dxfId="1215">
      <pivotArea dataOnly="0" labelOnly="1" outline="0" fieldPosition="0">
        <references count="2">
          <reference field="0" count="1" selected="0">
            <x v="6"/>
          </reference>
          <reference field="6" count="1">
            <x v="0"/>
          </reference>
        </references>
      </pivotArea>
    </format>
    <format dxfId="1214">
      <pivotArea dataOnly="0" labelOnly="1" outline="0" fieldPosition="0">
        <references count="3">
          <reference field="0" count="1" selected="0">
            <x v="0"/>
          </reference>
          <reference field="6" count="1" selected="0">
            <x v="2"/>
          </reference>
          <reference field="7" count="1">
            <x v="0"/>
          </reference>
        </references>
      </pivotArea>
    </format>
    <format dxfId="1213">
      <pivotArea dataOnly="0" labelOnly="1" outline="0" fieldPosition="0">
        <references count="3">
          <reference field="0" count="1" selected="0">
            <x v="3"/>
          </reference>
          <reference field="6" count="1" selected="0">
            <x v="1"/>
          </reference>
          <reference field="7" count="1">
            <x v="1"/>
          </reference>
        </references>
      </pivotArea>
    </format>
    <format dxfId="1212">
      <pivotArea dataOnly="0" labelOnly="1" outline="0" fieldPosition="0">
        <references count="3">
          <reference field="0" count="1" selected="0">
            <x v="4"/>
          </reference>
          <reference field="6" count="1" selected="0">
            <x v="2"/>
          </reference>
          <reference field="7" count="1">
            <x v="0"/>
          </reference>
        </references>
      </pivotArea>
    </format>
    <format dxfId="1211">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210">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209">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208">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207">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206">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205">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204">
      <pivotArea dataOnly="0" labelOnly="1" outline="0" fieldPosition="0">
        <references count="1">
          <reference field="4294967294" count="2">
            <x v="0"/>
            <x v="3"/>
          </reference>
        </references>
      </pivotArea>
    </format>
    <format dxfId="1203">
      <pivotArea type="all" dataOnly="0" outline="0" fieldPosition="0"/>
    </format>
    <format dxfId="1202">
      <pivotArea outline="0" collapsedLevelsAreSubtotals="1" fieldPosition="0"/>
    </format>
    <format dxfId="1201">
      <pivotArea field="0" type="button" dataOnly="0" labelOnly="1" outline="0" axis="axisRow" fieldPosition="0"/>
    </format>
    <format dxfId="1200">
      <pivotArea field="6" type="button" dataOnly="0" labelOnly="1" outline="0" axis="axisRow" fieldPosition="1"/>
    </format>
    <format dxfId="1199">
      <pivotArea field="7" type="button" dataOnly="0" labelOnly="1" outline="0" axis="axisRow" fieldPosition="2"/>
    </format>
    <format dxfId="1198">
      <pivotArea field="2" type="button" dataOnly="0" labelOnly="1" outline="0" axis="axisRow" fieldPosition="3"/>
    </format>
    <format dxfId="1197">
      <pivotArea dataOnly="0" labelOnly="1" outline="0" fieldPosition="0">
        <references count="1">
          <reference field="0" count="7">
            <x v="0"/>
            <x v="1"/>
            <x v="2"/>
            <x v="3"/>
            <x v="4"/>
            <x v="5"/>
            <x v="6"/>
          </reference>
        </references>
      </pivotArea>
    </format>
    <format dxfId="1196">
      <pivotArea dataOnly="0" labelOnly="1" grandRow="1" outline="0" fieldPosition="0"/>
    </format>
    <format dxfId="1195">
      <pivotArea dataOnly="0" labelOnly="1" outline="0" fieldPosition="0">
        <references count="2">
          <reference field="0" count="1" selected="0">
            <x v="0"/>
          </reference>
          <reference field="6" count="1">
            <x v="2"/>
          </reference>
        </references>
      </pivotArea>
    </format>
    <format dxfId="1194">
      <pivotArea dataOnly="0" labelOnly="1" outline="0" fieldPosition="0">
        <references count="2">
          <reference field="0" count="1" selected="0">
            <x v="1"/>
          </reference>
          <reference field="6" count="1">
            <x v="0"/>
          </reference>
        </references>
      </pivotArea>
    </format>
    <format dxfId="1193">
      <pivotArea dataOnly="0" labelOnly="1" outline="0" fieldPosition="0">
        <references count="2">
          <reference field="0" count="1" selected="0">
            <x v="3"/>
          </reference>
          <reference field="6" count="1">
            <x v="1"/>
          </reference>
        </references>
      </pivotArea>
    </format>
    <format dxfId="1192">
      <pivotArea dataOnly="0" labelOnly="1" outline="0" fieldPosition="0">
        <references count="2">
          <reference field="0" count="1" selected="0">
            <x v="4"/>
          </reference>
          <reference field="6" count="1">
            <x v="2"/>
          </reference>
        </references>
      </pivotArea>
    </format>
    <format dxfId="1191">
      <pivotArea dataOnly="0" labelOnly="1" outline="0" fieldPosition="0">
        <references count="2">
          <reference field="0" count="1" selected="0">
            <x v="6"/>
          </reference>
          <reference field="6" count="1">
            <x v="0"/>
          </reference>
        </references>
      </pivotArea>
    </format>
    <format dxfId="1190">
      <pivotArea dataOnly="0" labelOnly="1" outline="0" fieldPosition="0">
        <references count="3">
          <reference field="0" count="1" selected="0">
            <x v="0"/>
          </reference>
          <reference field="6" count="1" selected="0">
            <x v="2"/>
          </reference>
          <reference field="7" count="1">
            <x v="0"/>
          </reference>
        </references>
      </pivotArea>
    </format>
    <format dxfId="1189">
      <pivotArea dataOnly="0" labelOnly="1" outline="0" fieldPosition="0">
        <references count="3">
          <reference field="0" count="1" selected="0">
            <x v="3"/>
          </reference>
          <reference field="6" count="1" selected="0">
            <x v="1"/>
          </reference>
          <reference field="7" count="1">
            <x v="1"/>
          </reference>
        </references>
      </pivotArea>
    </format>
    <format dxfId="1188">
      <pivotArea dataOnly="0" labelOnly="1" outline="0" fieldPosition="0">
        <references count="3">
          <reference field="0" count="1" selected="0">
            <x v="4"/>
          </reference>
          <reference field="6" count="1" selected="0">
            <x v="2"/>
          </reference>
          <reference field="7" count="1">
            <x v="0"/>
          </reference>
        </references>
      </pivotArea>
    </format>
    <format dxfId="1187">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186">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185">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184">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183">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182">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181">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180">
      <pivotArea dataOnly="0" labelOnly="1" outline="0" fieldPosition="0">
        <references count="1">
          <reference field="4294967294" count="2">
            <x v="0"/>
            <x v="3"/>
          </reference>
        </references>
      </pivotArea>
    </format>
    <format dxfId="1179">
      <pivotArea field="0" type="button" dataOnly="0" labelOnly="1" outline="0" axis="axisRow" fieldPosition="0"/>
    </format>
    <format dxfId="1178">
      <pivotArea field="6" type="button" dataOnly="0" labelOnly="1" outline="0" axis="axisRow" fieldPosition="1"/>
    </format>
    <format dxfId="1177">
      <pivotArea field="7" type="button" dataOnly="0" labelOnly="1" outline="0" axis="axisRow" fieldPosition="2"/>
    </format>
    <format dxfId="1176">
      <pivotArea field="2" type="button" dataOnly="0" labelOnly="1" outline="0" axis="axisRow" fieldPosition="3"/>
    </format>
    <format dxfId="1175">
      <pivotArea dataOnly="0" labelOnly="1" outline="0" fieldPosition="0">
        <references count="1">
          <reference field="4294967294" count="2">
            <x v="0"/>
            <x v="3"/>
          </reference>
        </references>
      </pivotArea>
    </format>
    <format dxfId="1174">
      <pivotArea grandRow="1" outline="0" collapsedLevelsAreSubtotals="1" fieldPosition="0"/>
    </format>
    <format dxfId="1173">
      <pivotArea dataOnly="0" labelOnly="1" grandRow="1" outline="0" fieldPosition="0"/>
    </format>
    <format dxfId="1172">
      <pivotArea type="all" dataOnly="0" outline="0" fieldPosition="0"/>
    </format>
    <format dxfId="1171">
      <pivotArea outline="0" collapsedLevelsAreSubtotals="1" fieldPosition="0"/>
    </format>
    <format dxfId="1170">
      <pivotArea field="0" type="button" dataOnly="0" labelOnly="1" outline="0" axis="axisRow" fieldPosition="0"/>
    </format>
    <format dxfId="1169">
      <pivotArea field="6" type="button" dataOnly="0" labelOnly="1" outline="0" axis="axisRow" fieldPosition="1"/>
    </format>
    <format dxfId="1168">
      <pivotArea field="7" type="button" dataOnly="0" labelOnly="1" outline="0" axis="axisRow" fieldPosition="2"/>
    </format>
    <format dxfId="1167">
      <pivotArea field="2" type="button" dataOnly="0" labelOnly="1" outline="0" axis="axisRow" fieldPosition="3"/>
    </format>
    <format dxfId="1166">
      <pivotArea dataOnly="0" labelOnly="1" outline="0" fieldPosition="0">
        <references count="1">
          <reference field="0" count="7">
            <x v="0"/>
            <x v="1"/>
            <x v="2"/>
            <x v="3"/>
            <x v="4"/>
            <x v="5"/>
            <x v="6"/>
          </reference>
        </references>
      </pivotArea>
    </format>
    <format dxfId="1165">
      <pivotArea dataOnly="0" labelOnly="1" grandRow="1" outline="0" fieldPosition="0"/>
    </format>
    <format dxfId="1164">
      <pivotArea dataOnly="0" labelOnly="1" outline="0" fieldPosition="0">
        <references count="2">
          <reference field="0" count="1" selected="0">
            <x v="0"/>
          </reference>
          <reference field="6" count="1">
            <x v="2"/>
          </reference>
        </references>
      </pivotArea>
    </format>
    <format dxfId="1163">
      <pivotArea dataOnly="0" labelOnly="1" outline="0" fieldPosition="0">
        <references count="2">
          <reference field="0" count="1" selected="0">
            <x v="1"/>
          </reference>
          <reference field="6" count="1">
            <x v="0"/>
          </reference>
        </references>
      </pivotArea>
    </format>
    <format dxfId="1162">
      <pivotArea dataOnly="0" labelOnly="1" outline="0" fieldPosition="0">
        <references count="2">
          <reference field="0" count="1" selected="0">
            <x v="3"/>
          </reference>
          <reference field="6" count="1">
            <x v="1"/>
          </reference>
        </references>
      </pivotArea>
    </format>
    <format dxfId="1161">
      <pivotArea dataOnly="0" labelOnly="1" outline="0" fieldPosition="0">
        <references count="2">
          <reference field="0" count="1" selected="0">
            <x v="4"/>
          </reference>
          <reference field="6" count="1">
            <x v="2"/>
          </reference>
        </references>
      </pivotArea>
    </format>
    <format dxfId="1160">
      <pivotArea dataOnly="0" labelOnly="1" outline="0" fieldPosition="0">
        <references count="2">
          <reference field="0" count="1" selected="0">
            <x v="6"/>
          </reference>
          <reference field="6" count="1">
            <x v="0"/>
          </reference>
        </references>
      </pivotArea>
    </format>
    <format dxfId="1159">
      <pivotArea dataOnly="0" labelOnly="1" outline="0" fieldPosition="0">
        <references count="3">
          <reference field="0" count="1" selected="0">
            <x v="0"/>
          </reference>
          <reference field="6" count="1" selected="0">
            <x v="2"/>
          </reference>
          <reference field="7" count="1">
            <x v="0"/>
          </reference>
        </references>
      </pivotArea>
    </format>
    <format dxfId="1158">
      <pivotArea dataOnly="0" labelOnly="1" outline="0" fieldPosition="0">
        <references count="3">
          <reference field="0" count="1" selected="0">
            <x v="3"/>
          </reference>
          <reference field="6" count="1" selected="0">
            <x v="1"/>
          </reference>
          <reference field="7" count="1">
            <x v="1"/>
          </reference>
        </references>
      </pivotArea>
    </format>
    <format dxfId="1157">
      <pivotArea dataOnly="0" labelOnly="1" outline="0" fieldPosition="0">
        <references count="3">
          <reference field="0" count="1" selected="0">
            <x v="4"/>
          </reference>
          <reference field="6" count="1" selected="0">
            <x v="2"/>
          </reference>
          <reference field="7" count="1">
            <x v="0"/>
          </reference>
        </references>
      </pivotArea>
    </format>
    <format dxfId="1156">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155">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154">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153">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152">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151">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150">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149">
      <pivotArea dataOnly="0" labelOnly="1" outline="0" fieldPosition="0">
        <references count="1">
          <reference field="4294967294" count="2">
            <x v="0"/>
            <x v="3"/>
          </reference>
        </references>
      </pivotArea>
    </format>
    <format dxfId="1148">
      <pivotArea type="all" dataOnly="0" outline="0" fieldPosition="0"/>
    </format>
    <format dxfId="1147">
      <pivotArea outline="0" collapsedLevelsAreSubtotals="1" fieldPosition="0"/>
    </format>
    <format dxfId="1146">
      <pivotArea field="0" type="button" dataOnly="0" labelOnly="1" outline="0" axis="axisRow" fieldPosition="0"/>
    </format>
    <format dxfId="1145">
      <pivotArea field="6" type="button" dataOnly="0" labelOnly="1" outline="0" axis="axisRow" fieldPosition="1"/>
    </format>
    <format dxfId="1144">
      <pivotArea field="7" type="button" dataOnly="0" labelOnly="1" outline="0" axis="axisRow" fieldPosition="2"/>
    </format>
    <format dxfId="1143">
      <pivotArea field="2" type="button" dataOnly="0" labelOnly="1" outline="0" axis="axisRow" fieldPosition="3"/>
    </format>
    <format dxfId="1142">
      <pivotArea dataOnly="0" labelOnly="1" outline="0" fieldPosition="0">
        <references count="1">
          <reference field="0" count="7">
            <x v="0"/>
            <x v="1"/>
            <x v="2"/>
            <x v="3"/>
            <x v="4"/>
            <x v="5"/>
            <x v="6"/>
          </reference>
        </references>
      </pivotArea>
    </format>
    <format dxfId="1141">
      <pivotArea dataOnly="0" labelOnly="1" grandRow="1" outline="0" fieldPosition="0"/>
    </format>
    <format dxfId="1140">
      <pivotArea dataOnly="0" labelOnly="1" outline="0" fieldPosition="0">
        <references count="2">
          <reference field="0" count="1" selected="0">
            <x v="0"/>
          </reference>
          <reference field="6" count="1">
            <x v="2"/>
          </reference>
        </references>
      </pivotArea>
    </format>
    <format dxfId="1139">
      <pivotArea dataOnly="0" labelOnly="1" outline="0" fieldPosition="0">
        <references count="2">
          <reference field="0" count="1" selected="0">
            <x v="1"/>
          </reference>
          <reference field="6" count="1">
            <x v="0"/>
          </reference>
        </references>
      </pivotArea>
    </format>
    <format dxfId="1138">
      <pivotArea dataOnly="0" labelOnly="1" outline="0" fieldPosition="0">
        <references count="2">
          <reference field="0" count="1" selected="0">
            <x v="3"/>
          </reference>
          <reference field="6" count="1">
            <x v="1"/>
          </reference>
        </references>
      </pivotArea>
    </format>
    <format dxfId="1137">
      <pivotArea dataOnly="0" labelOnly="1" outline="0" fieldPosition="0">
        <references count="2">
          <reference field="0" count="1" selected="0">
            <x v="4"/>
          </reference>
          <reference field="6" count="1">
            <x v="2"/>
          </reference>
        </references>
      </pivotArea>
    </format>
    <format dxfId="1136">
      <pivotArea dataOnly="0" labelOnly="1" outline="0" fieldPosition="0">
        <references count="2">
          <reference field="0" count="1" selected="0">
            <x v="6"/>
          </reference>
          <reference field="6" count="1">
            <x v="0"/>
          </reference>
        </references>
      </pivotArea>
    </format>
    <format dxfId="1135">
      <pivotArea dataOnly="0" labelOnly="1" outline="0" fieldPosition="0">
        <references count="3">
          <reference field="0" count="1" selected="0">
            <x v="0"/>
          </reference>
          <reference field="6" count="1" selected="0">
            <x v="2"/>
          </reference>
          <reference field="7" count="1">
            <x v="0"/>
          </reference>
        </references>
      </pivotArea>
    </format>
    <format dxfId="1134">
      <pivotArea dataOnly="0" labelOnly="1" outline="0" fieldPosition="0">
        <references count="3">
          <reference field="0" count="1" selected="0">
            <x v="3"/>
          </reference>
          <reference field="6" count="1" selected="0">
            <x v="1"/>
          </reference>
          <reference field="7" count="1">
            <x v="1"/>
          </reference>
        </references>
      </pivotArea>
    </format>
    <format dxfId="1133">
      <pivotArea dataOnly="0" labelOnly="1" outline="0" fieldPosition="0">
        <references count="3">
          <reference field="0" count="1" selected="0">
            <x v="4"/>
          </reference>
          <reference field="6" count="1" selected="0">
            <x v="2"/>
          </reference>
          <reference field="7" count="1">
            <x v="0"/>
          </reference>
        </references>
      </pivotArea>
    </format>
    <format dxfId="1132">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131">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130">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129">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128">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127">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126">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125">
      <pivotArea dataOnly="0" labelOnly="1" outline="0" fieldPosition="0">
        <references count="1">
          <reference field="4294967294" count="2">
            <x v="0"/>
            <x v="3"/>
          </reference>
        </references>
      </pivotArea>
    </format>
    <format dxfId="1124">
      <pivotArea dataOnly="0" outline="0" fieldPosition="0">
        <references count="1">
          <reference field="4294967294" count="2">
            <x v="0"/>
            <x v="3"/>
          </reference>
        </references>
      </pivotArea>
    </format>
    <format dxfId="1123">
      <pivotArea dataOnly="0" outline="0" fieldPosition="0">
        <references count="1">
          <reference field="4294967294" count="2">
            <x v="0"/>
            <x v="3"/>
          </reference>
        </references>
      </pivotArea>
    </format>
    <format dxfId="1122">
      <pivotArea dataOnly="0" outline="0" fieldPosition="0">
        <references count="1">
          <reference field="4294967294" count="2">
            <x v="0"/>
            <x v="3"/>
          </reference>
        </references>
      </pivotArea>
    </format>
    <format dxfId="1121">
      <pivotArea outline="0" fieldPosition="0">
        <references count="1">
          <reference field="4294967294" count="1" selected="0">
            <x v="1"/>
          </reference>
        </references>
      </pivotArea>
    </format>
    <format dxfId="1120">
      <pivotArea outline="0" fieldPosition="0">
        <references count="1">
          <reference field="4294967294" count="1" selected="0">
            <x v="2"/>
          </reference>
        </references>
      </pivotArea>
    </format>
    <format dxfId="1119">
      <pivotArea field="10" type="button" dataOnly="0" labelOnly="1" outline="0" axis="axisPage" fieldPosition="0"/>
    </format>
    <format dxfId="1118">
      <pivotArea field="10" type="button" dataOnly="0" labelOnly="1" outline="0" axis="axisPage" fieldPosition="0"/>
    </format>
    <format dxfId="1117">
      <pivotArea dataOnly="0" labelOnly="1" outline="0" fieldPosition="0">
        <references count="1">
          <reference field="0" count="1">
            <x v="80"/>
          </reference>
        </references>
      </pivotArea>
    </format>
    <format dxfId="1116">
      <pivotArea dataOnly="0" labelOnly="1" outline="0" fieldPosition="0">
        <references count="1">
          <reference field="0" count="1">
            <x v="80"/>
          </reference>
        </references>
      </pivotArea>
    </format>
    <format dxfId="1115">
      <pivotArea field="10" type="button" dataOnly="0" labelOnly="1" outline="0" axis="axisPage" fieldPosition="0"/>
    </format>
    <format dxfId="1114">
      <pivotArea field="10" type="button" dataOnly="0" labelOnly="1" outline="0" axis="axisPage" fieldPosition="0"/>
    </format>
    <format dxfId="1113">
      <pivotArea field="10" type="button" dataOnly="0" labelOnly="1" outline="0" axis="axisPage"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4" cacheId="16" applyNumberFormats="0" applyBorderFormats="0" applyFontFormats="0" applyPatternFormats="0" applyAlignmentFormats="0" applyWidthHeightFormats="1" dataCaption="Werte" grandTotalCaption="Total" updatedVersion="6" minRefreshableVersion="3" showDrill="0" useAutoFormatting="1" itemPrintTitles="1" createdVersion="6" indent="0" compact="0" compactData="0" multipleFieldFilters="0">
  <location ref="B518:I626" firstHeaderRow="0" firstDataRow="1" firstDataCol="4" rowPageCount="1" colPageCount="1"/>
  <pivotFields count="118">
    <pivotField axis="axisRow" compact="0" outline="0" showAll="0" defaultSubtotal="0">
      <items count="200">
        <item x="83"/>
        <item x="119"/>
        <item x="122"/>
        <item x="130"/>
        <item x="137"/>
        <item x="138"/>
        <item x="172"/>
        <item x="182"/>
        <item x="84"/>
        <item x="120"/>
        <item x="167"/>
        <item x="82"/>
        <item x="164"/>
        <item x="103"/>
        <item x="67"/>
        <item x="142"/>
        <item x="89"/>
        <item x="163"/>
        <item x="179"/>
        <item x="178"/>
        <item x="53"/>
        <item x="50"/>
        <item x="70"/>
        <item x="139"/>
        <item x="147"/>
        <item x="176"/>
        <item x="54"/>
        <item x="64"/>
        <item x="126"/>
        <item x="170"/>
        <item x="117"/>
        <item x="141"/>
        <item x="128"/>
        <item x="127"/>
        <item x="136"/>
        <item x="156"/>
        <item x="192"/>
        <item x="123"/>
        <item x="116"/>
        <item x="149"/>
        <item x="55"/>
        <item x="92"/>
        <item x="146"/>
        <item x="77"/>
        <item x="129"/>
        <item x="60"/>
        <item x="68"/>
        <item x="193"/>
        <item x="150"/>
        <item x="57"/>
        <item x="181"/>
        <item x="78"/>
        <item x="155"/>
        <item x="159"/>
        <item x="132"/>
        <item x="104"/>
        <item x="74"/>
        <item x="111"/>
        <item x="110"/>
        <item x="109"/>
        <item x="189"/>
        <item x="190"/>
        <item x="154"/>
        <item x="165"/>
        <item x="188"/>
        <item x="186"/>
        <item x="187"/>
        <item x="69"/>
        <item x="95"/>
        <item x="62"/>
        <item x="166"/>
        <item x="56"/>
        <item x="65"/>
        <item x="152"/>
        <item x="58"/>
        <item x="195"/>
        <item x="90"/>
        <item x="114"/>
        <item x="108"/>
        <item x="63"/>
        <item m="1" x="199"/>
        <item x="71"/>
        <item x="88"/>
        <item x="52"/>
        <item x="85"/>
        <item x="153"/>
        <item x="135"/>
        <item x="196"/>
        <item x="133"/>
        <item x="162"/>
        <item x="59"/>
        <item x="87"/>
        <item x="76"/>
        <item x="184"/>
        <item x="158"/>
        <item x="161"/>
        <item x="113"/>
        <item x="173"/>
        <item x="125"/>
        <item x="180"/>
        <item x="171"/>
        <item x="140"/>
        <item x="73"/>
        <item x="91"/>
        <item x="194"/>
        <item x="177"/>
        <item x="97"/>
        <item x="144"/>
        <item x="106"/>
        <item x="105"/>
        <item x="100"/>
        <item x="183"/>
        <item x="148"/>
        <item x="75"/>
        <item x="102"/>
        <item x="143"/>
        <item x="51"/>
        <item x="107"/>
        <item x="157"/>
        <item x="168"/>
        <item x="93"/>
        <item x="66"/>
        <item x="160"/>
        <item x="121"/>
        <item x="79"/>
        <item x="96"/>
        <item x="101"/>
        <item x="151"/>
        <item x="198"/>
        <item x="118"/>
        <item x="169"/>
        <item x="185"/>
        <item x="94"/>
        <item x="80"/>
        <item x="99"/>
        <item x="81"/>
        <item x="145"/>
        <item x="131"/>
        <item x="134"/>
        <item x="174"/>
        <item x="175"/>
        <item x="43"/>
        <item x="44"/>
        <item x="45"/>
        <item x="47"/>
        <item x="48"/>
        <item x="112"/>
        <item x="115"/>
        <item x="124"/>
        <item x="197"/>
        <item x="42"/>
        <item x="41"/>
        <item x="46"/>
        <item x="40"/>
        <item x="72"/>
        <item x="38"/>
        <item x="49"/>
        <item x="37"/>
        <item x="32"/>
        <item x="33"/>
        <item x="35"/>
        <item x="36"/>
        <item x="18"/>
        <item x="19"/>
        <item x="20"/>
        <item x="21"/>
        <item x="22"/>
        <item x="23"/>
        <item x="24"/>
        <item x="25"/>
        <item x="26"/>
        <item x="27"/>
        <item x="28"/>
        <item x="29"/>
        <item x="30"/>
        <item x="31"/>
        <item x="34"/>
        <item x="39"/>
        <item x="61"/>
        <item x="86"/>
        <item x="98"/>
        <item x="14"/>
        <item x="15"/>
        <item x="16"/>
        <item x="7"/>
        <item x="8"/>
        <item x="9"/>
        <item x="10"/>
        <item x="11"/>
        <item x="12"/>
        <item x="13"/>
        <item x="191"/>
        <item x="6"/>
        <item x="0"/>
        <item x="1"/>
        <item x="2"/>
        <item x="3"/>
        <item x="4"/>
        <item x="5"/>
        <item x="17"/>
      </items>
    </pivotField>
    <pivotField compact="0" outline="0" showAll="0" defaultSubtotal="0"/>
    <pivotField axis="axisRow" compact="0" outline="0" showAll="0" defaultSubtotal="0">
      <items count="143">
        <item x="54"/>
        <item x="61"/>
        <item x="38"/>
        <item x="17"/>
        <item x="58"/>
        <item x="88"/>
        <item x="84"/>
        <item x="78"/>
        <item x="26"/>
        <item x="23"/>
        <item x="50"/>
        <item x="11"/>
        <item x="91"/>
        <item x="79"/>
        <item x="13"/>
        <item x="63"/>
        <item x="64"/>
        <item m="1" x="130"/>
        <item m="1" x="140"/>
        <item x="32"/>
        <item x="72"/>
        <item x="55"/>
        <item x="62"/>
        <item x="110"/>
        <item x="111"/>
        <item x="46"/>
        <item x="44"/>
        <item x="53"/>
        <item x="93"/>
        <item x="109"/>
        <item x="47"/>
        <item x="95"/>
        <item x="87"/>
        <item x="120"/>
        <item x="86"/>
        <item x="82"/>
        <item x="81"/>
        <item x="77"/>
        <item x="94"/>
        <item x="48"/>
        <item m="1" x="139"/>
        <item m="1" x="138"/>
        <item x="92"/>
        <item x="60"/>
        <item m="1" x="129"/>
        <item x="51"/>
        <item x="56"/>
        <item m="1" x="131"/>
        <item m="1" x="127"/>
        <item x="5"/>
        <item x="99"/>
        <item x="101"/>
        <item m="1" x="122"/>
        <item x="73"/>
        <item x="59"/>
        <item x="75"/>
        <item x="98"/>
        <item x="9"/>
        <item x="116"/>
        <item x="114"/>
        <item x="115"/>
        <item m="1" x="128"/>
        <item x="57"/>
        <item m="1" x="126"/>
        <item m="1" x="125"/>
        <item x="103"/>
        <item x="113"/>
        <item x="100"/>
        <item m="1" x="141"/>
        <item x="97"/>
        <item x="119"/>
        <item x="80"/>
        <item x="69"/>
        <item x="22"/>
        <item x="49"/>
        <item x="106"/>
        <item m="1" x="124"/>
        <item x="107"/>
        <item x="108"/>
        <item x="112"/>
        <item x="33"/>
        <item x="65"/>
        <item m="1" x="123"/>
        <item x="90"/>
        <item x="74"/>
        <item m="1" x="137"/>
        <item m="1" x="135"/>
        <item x="66"/>
        <item x="89"/>
        <item m="1" x="136"/>
        <item x="7"/>
        <item x="45"/>
        <item m="1" x="133"/>
        <item x="67"/>
        <item x="52"/>
        <item x="118"/>
        <item x="104"/>
        <item m="1" x="132"/>
        <item x="96"/>
        <item x="121"/>
        <item x="105"/>
        <item x="70"/>
        <item x="85"/>
        <item x="43"/>
        <item x="40"/>
        <item x="42"/>
        <item x="76"/>
        <item x="83"/>
        <item x="37"/>
        <item x="41"/>
        <item m="1" x="134"/>
        <item x="36"/>
        <item x="29"/>
        <item x="30"/>
        <item x="18"/>
        <item x="19"/>
        <item x="20"/>
        <item x="21"/>
        <item x="24"/>
        <item x="25"/>
        <item x="27"/>
        <item x="28"/>
        <item x="31"/>
        <item x="34"/>
        <item m="1" x="142"/>
        <item x="39"/>
        <item x="68"/>
        <item x="117"/>
        <item x="14"/>
        <item x="15"/>
        <item x="16"/>
        <item x="8"/>
        <item x="10"/>
        <item x="12"/>
        <item x="6"/>
        <item x="0"/>
        <item x="1"/>
        <item x="2"/>
        <item x="3"/>
        <item x="4"/>
        <item x="35"/>
        <item x="71"/>
        <item x="102"/>
      </items>
    </pivotField>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3">
        <item x="2"/>
        <item x="1"/>
        <item x="0"/>
      </items>
    </pivotField>
    <pivotField compact="0" outline="0" showAll="0" defaultSubtotal="0"/>
    <pivotField compact="0" outline="0" showAll="0" defaultSubtotal="0"/>
    <pivotField name="DECLINED PROPOSALS" axis="axisPage" compact="0" outline="0" showAll="0" defaultSubtotal="0">
      <items count="14">
        <item x="2"/>
        <item x="0"/>
        <item x="3"/>
        <item x="4"/>
        <item x="6"/>
        <item x="1"/>
        <item m="1" x="7"/>
        <item m="1" x="9"/>
        <item m="1" x="10"/>
        <item m="1" x="8"/>
        <item m="1" x="11"/>
        <item m="1" x="13"/>
        <item m="1" x="12"/>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9"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9" outline="0" showAll="0" defaultSubtotal="0"/>
    <pivotField compact="0" numFmtId="166" outline="0" showAll="0" defaultSubtotal="0"/>
    <pivotField compact="0" numFmtId="166" outline="0" showAll="0" defaultSubtotal="0"/>
    <pivotField compact="0" numFmtId="166" outline="0" showAll="0" defaultSubtotal="0"/>
  </pivotFields>
  <rowFields count="4">
    <field x="0"/>
    <field x="6"/>
    <field x="7"/>
    <field x="2"/>
  </rowFields>
  <rowItems count="108">
    <i>
      <x v="8"/>
      <x/>
      <x/>
      <x v="3"/>
    </i>
    <i>
      <x v="9"/>
      <x/>
      <x/>
      <x v="13"/>
    </i>
    <i>
      <x v="13"/>
      <x v="2"/>
      <x/>
      <x v="20"/>
    </i>
    <i>
      <x v="14"/>
      <x v="2"/>
      <x/>
      <x v="21"/>
    </i>
    <i>
      <x v="15"/>
      <x/>
      <x/>
      <x v="3"/>
    </i>
    <i>
      <x v="16"/>
      <x/>
      <x/>
      <x v="3"/>
    </i>
    <i>
      <x v="20"/>
      <x v="1"/>
      <x/>
      <x v="25"/>
    </i>
    <i>
      <x v="21"/>
      <x/>
      <x v="1"/>
      <x v="26"/>
    </i>
    <i>
      <x v="22"/>
      <x v="1"/>
      <x/>
      <x v="2"/>
    </i>
    <i>
      <x v="24"/>
      <x/>
      <x/>
      <x v="28"/>
    </i>
    <i>
      <x v="25"/>
      <x/>
      <x/>
      <x v="29"/>
    </i>
    <i>
      <x v="26"/>
      <x/>
      <x v="1"/>
      <x v="30"/>
    </i>
    <i>
      <x v="27"/>
      <x v="1"/>
      <x v="1"/>
      <x/>
    </i>
    <i>
      <x v="28"/>
      <x/>
      <x/>
      <x v="9"/>
    </i>
    <i>
      <x v="29"/>
      <x/>
      <x/>
      <x v="7"/>
    </i>
    <i>
      <x v="30"/>
      <x/>
      <x/>
      <x v="7"/>
    </i>
    <i>
      <x v="32"/>
      <x v="2"/>
      <x v="1"/>
      <x v="35"/>
    </i>
    <i>
      <x v="33"/>
      <x v="2"/>
      <x v="1"/>
      <x v="35"/>
    </i>
    <i>
      <x v="34"/>
      <x v="1"/>
      <x v="1"/>
      <x/>
    </i>
    <i>
      <x v="35"/>
      <x/>
      <x/>
      <x v="36"/>
    </i>
    <i>
      <x v="36"/>
      <x v="2"/>
      <x/>
      <x v="27"/>
    </i>
    <i>
      <x v="37"/>
      <x/>
      <x/>
      <x v="36"/>
    </i>
    <i>
      <x v="38"/>
      <x v="1"/>
      <x/>
      <x v="37"/>
    </i>
    <i>
      <x v="39"/>
      <x/>
      <x/>
      <x v="38"/>
    </i>
    <i>
      <x v="40"/>
      <x v="2"/>
      <x v="1"/>
      <x v="39"/>
    </i>
    <i>
      <x v="41"/>
      <x v="2"/>
      <x v="1"/>
      <x v="4"/>
    </i>
    <i>
      <x v="43"/>
      <x/>
      <x/>
      <x v="43"/>
    </i>
    <i>
      <x v="45"/>
      <x/>
      <x v="1"/>
      <x v="45"/>
    </i>
    <i>
      <x v="48"/>
      <x v="2"/>
      <x/>
      <x v="31"/>
    </i>
    <i>
      <x v="49"/>
      <x v="2"/>
      <x/>
      <x v="49"/>
    </i>
    <i>
      <x v="50"/>
      <x v="2"/>
      <x/>
      <x v="16"/>
    </i>
    <i>
      <x v="51"/>
      <x v="2"/>
      <x/>
      <x v="3"/>
    </i>
    <i>
      <x v="52"/>
      <x v="2"/>
      <x/>
      <x v="50"/>
    </i>
    <i>
      <x v="53"/>
      <x v="2"/>
      <x/>
      <x v="51"/>
    </i>
    <i>
      <x v="54"/>
      <x v="2"/>
      <x/>
      <x v="102"/>
    </i>
    <i>
      <x v="55"/>
      <x v="2"/>
      <x/>
      <x v="53"/>
    </i>
    <i>
      <x v="56"/>
      <x v="2"/>
      <x/>
      <x v="54"/>
    </i>
    <i>
      <x v="57"/>
      <x v="2"/>
      <x/>
      <x v="55"/>
    </i>
    <i>
      <x v="58"/>
      <x v="2"/>
      <x/>
      <x v="55"/>
    </i>
    <i>
      <x v="60"/>
      <x v="2"/>
      <x v="1"/>
      <x v="74"/>
    </i>
    <i>
      <x v="61"/>
      <x v="2"/>
      <x v="1"/>
      <x v="74"/>
    </i>
    <i>
      <x v="63"/>
      <x v="2"/>
      <x/>
      <x v="57"/>
    </i>
    <i>
      <x v="64"/>
      <x v="2"/>
      <x/>
      <x v="58"/>
    </i>
    <i>
      <x v="65"/>
      <x v="2"/>
      <x/>
      <x v="59"/>
    </i>
    <i>
      <x v="66"/>
      <x v="2"/>
      <x/>
      <x v="60"/>
    </i>
    <i>
      <x v="67"/>
      <x v="2"/>
      <x/>
      <x v="62"/>
    </i>
    <i>
      <x v="72"/>
      <x v="2"/>
      <x v="1"/>
      <x v="74"/>
    </i>
    <i>
      <x v="73"/>
      <x v="2"/>
      <x v="1"/>
      <x v="69"/>
    </i>
    <i>
      <x v="74"/>
      <x v="2"/>
      <x v="1"/>
      <x v="74"/>
    </i>
    <i>
      <x v="75"/>
      <x v="2"/>
      <x/>
      <x v="70"/>
    </i>
    <i>
      <x v="76"/>
      <x v="2"/>
      <x/>
      <x v="16"/>
    </i>
    <i>
      <x v="77"/>
      <x v="2"/>
      <x/>
      <x v="9"/>
    </i>
    <i>
      <x v="78"/>
      <x v="2"/>
      <x/>
      <x v="25"/>
    </i>
    <i>
      <x v="79"/>
      <x v="2"/>
      <x/>
      <x v="27"/>
    </i>
    <i>
      <x v="81"/>
      <x v="2"/>
      <x v="1"/>
      <x v="4"/>
    </i>
    <i>
      <x v="82"/>
      <x v="2"/>
      <x/>
      <x v="15"/>
    </i>
    <i>
      <x v="83"/>
      <x v="2"/>
      <x/>
      <x v="3"/>
    </i>
    <i>
      <x v="84"/>
      <x v="2"/>
      <x/>
      <x v="22"/>
    </i>
    <i>
      <x v="85"/>
      <x v="2"/>
      <x v="1"/>
      <x v="74"/>
    </i>
    <i>
      <x v="86"/>
      <x v="1"/>
      <x/>
      <x v="32"/>
    </i>
    <i>
      <x v="87"/>
      <x v="2"/>
      <x/>
      <x v="33"/>
    </i>
    <i>
      <x v="88"/>
      <x v="2"/>
      <x/>
      <x v="34"/>
    </i>
    <i>
      <x v="89"/>
      <x v="2"/>
      <x/>
      <x v="16"/>
    </i>
    <i>
      <x v="91"/>
      <x v="2"/>
      <x/>
      <x v="73"/>
    </i>
    <i>
      <x v="92"/>
      <x v="2"/>
      <x v="1"/>
      <x v="4"/>
    </i>
    <i>
      <x v="93"/>
      <x v="2"/>
      <x/>
      <x v="66"/>
    </i>
    <i>
      <x v="94"/>
      <x v="2"/>
      <x/>
      <x v="67"/>
    </i>
    <i>
      <x v="98"/>
      <x/>
      <x/>
      <x v="14"/>
    </i>
    <i>
      <x v="99"/>
      <x v="1"/>
      <x/>
      <x v="37"/>
    </i>
    <i>
      <x v="100"/>
      <x/>
      <x v="1"/>
      <x v="75"/>
    </i>
    <i>
      <x v="101"/>
      <x/>
      <x/>
      <x v="5"/>
    </i>
    <i>
      <x v="106"/>
      <x v="2"/>
      <x v="1"/>
      <x v="4"/>
    </i>
    <i>
      <x v="107"/>
      <x v="2"/>
      <x/>
      <x v="83"/>
    </i>
    <i>
      <x v="108"/>
      <x v="2"/>
      <x/>
      <x v="84"/>
    </i>
    <i>
      <x v="109"/>
      <x v="2"/>
      <x/>
      <x v="84"/>
    </i>
    <i>
      <x v="111"/>
      <x v="2"/>
      <x/>
      <x v="79"/>
    </i>
    <i>
      <x v="112"/>
      <x/>
      <x/>
      <x v="12"/>
    </i>
    <i>
      <x v="113"/>
      <x/>
      <x v="1"/>
      <x v="30"/>
    </i>
    <i>
      <x v="114"/>
      <x v="2"/>
      <x/>
      <x v="20"/>
    </i>
    <i>
      <x v="115"/>
      <x v="1"/>
      <x/>
      <x v="88"/>
    </i>
    <i>
      <x v="116"/>
      <x v="2"/>
      <x v="1"/>
      <x v="91"/>
    </i>
    <i>
      <x v="118"/>
      <x v="2"/>
      <x/>
      <x v="20"/>
    </i>
    <i>
      <x v="119"/>
      <x/>
      <x/>
      <x v="96"/>
    </i>
    <i>
      <x v="120"/>
      <x v="2"/>
      <x/>
      <x v="87"/>
    </i>
    <i>
      <x v="125"/>
      <x v="2"/>
      <x/>
      <x v="126"/>
    </i>
    <i>
      <x v="129"/>
      <x/>
      <x/>
      <x v="90"/>
    </i>
    <i>
      <x v="130"/>
      <x/>
      <x/>
      <x v="100"/>
    </i>
    <i>
      <x v="131"/>
      <x v="2"/>
      <x v="1"/>
      <x v="93"/>
    </i>
    <i>
      <x v="132"/>
      <x v="2"/>
      <x v="1"/>
      <x v="93"/>
    </i>
    <i>
      <x v="137"/>
      <x v="2"/>
      <x/>
      <x v="8"/>
    </i>
    <i>
      <x v="139"/>
      <x v="2"/>
      <x/>
      <x v="77"/>
    </i>
    <i>
      <x v="140"/>
      <x v="2"/>
      <x/>
      <x v="78"/>
    </i>
    <i>
      <x v="143"/>
      <x v="2"/>
      <x/>
      <x v="104"/>
    </i>
    <i>
      <x v="145"/>
      <x v="2"/>
      <x v="1"/>
      <x v="105"/>
    </i>
    <i>
      <x v="150"/>
      <x/>
      <x/>
      <x v="2"/>
    </i>
    <i>
      <x v="151"/>
      <x v="2"/>
      <x/>
      <x v="108"/>
    </i>
    <i>
      <x v="154"/>
      <x v="1"/>
      <x/>
      <x v="90"/>
    </i>
    <i>
      <x v="155"/>
      <x/>
      <x v="1"/>
      <x v="14"/>
    </i>
    <i>
      <x v="156"/>
      <x/>
      <x/>
      <x v="103"/>
    </i>
    <i>
      <x v="158"/>
      <x v="2"/>
      <x v="2"/>
      <x v="112"/>
    </i>
    <i>
      <x v="160"/>
      <x v="2"/>
      <x/>
      <x v="19"/>
    </i>
    <i>
      <x v="165"/>
      <x v="2"/>
      <x/>
      <x v="117"/>
    </i>
    <i>
      <x v="169"/>
      <x v="2"/>
      <x v="1"/>
      <x v="119"/>
    </i>
    <i>
      <x v="172"/>
      <x v="2"/>
      <x/>
      <x v="120"/>
    </i>
    <i>
      <x v="174"/>
      <x v="2"/>
      <x/>
      <x v="73"/>
    </i>
    <i>
      <x v="180"/>
      <x v="2"/>
      <x v="1"/>
      <x v="72"/>
    </i>
    <i>
      <x v="194"/>
      <x/>
      <x v="1"/>
      <x v="136"/>
    </i>
    <i t="grand">
      <x/>
    </i>
  </rowItems>
  <colFields count="1">
    <field x="-2"/>
  </colFields>
  <colItems count="4">
    <i>
      <x/>
    </i>
    <i i="1">
      <x v="1"/>
    </i>
    <i i="2">
      <x v="2"/>
    </i>
    <i i="3">
      <x v="3"/>
    </i>
  </colItems>
  <pageFields count="1">
    <pageField fld="10" item="5" hier="-1"/>
  </pageFields>
  <dataFields count="4">
    <dataField name=" Total Project Volume" fld="105" baseField="2" baseItem="6" numFmtId="165"/>
    <dataField name=" Total Project Volume (IPK)" fld="76" baseField="0" baseItem="0" numFmtId="168"/>
    <dataField name=" Total Project Volume (ITA)" fld="86" baseField="0" baseItem="0" numFmtId="168"/>
    <dataField name=" Total Project Volume (Other)" fld="102" baseField="2" baseItem="6" numFmtId="165"/>
  </dataFields>
  <formats count="46">
    <format dxfId="1349">
      <pivotArea type="all" dataOnly="0" outline="0" fieldPosition="0"/>
    </format>
    <format dxfId="1348">
      <pivotArea field="0" type="button" dataOnly="0" labelOnly="1" outline="0" axis="axisRow" fieldPosition="0"/>
    </format>
    <format dxfId="1347">
      <pivotArea dataOnly="0" labelOnly="1" fieldPosition="0">
        <references count="1">
          <reference field="0" count="1">
            <x v="3"/>
          </reference>
        </references>
      </pivotArea>
    </format>
    <format dxfId="1346">
      <pivotArea dataOnly="0" labelOnly="1" grandRow="1" outline="0" fieldPosition="0"/>
    </format>
    <format dxfId="1345">
      <pivotArea outline="0" fieldPosition="0">
        <references count="1">
          <reference field="4294967294" count="1">
            <x v="0"/>
          </reference>
        </references>
      </pivotArea>
    </format>
    <format dxfId="1344">
      <pivotArea outline="0" fieldPosition="0">
        <references count="1">
          <reference field="4294967294" count="1">
            <x v="3"/>
          </reference>
        </references>
      </pivotArea>
    </format>
    <format dxfId="1343">
      <pivotArea field="0" type="button" dataOnly="0" labelOnly="1" outline="0" axis="axisRow" fieldPosition="0"/>
    </format>
    <format dxfId="1342">
      <pivotArea field="6" type="button" dataOnly="0" labelOnly="1" outline="0" axis="axisRow" fieldPosition="1"/>
    </format>
    <format dxfId="1341">
      <pivotArea field="7" type="button" dataOnly="0" labelOnly="1" outline="0" axis="axisRow" fieldPosition="2"/>
    </format>
    <format dxfId="1340">
      <pivotArea field="2" type="button" dataOnly="0" labelOnly="1" outline="0" axis="axisRow" fieldPosition="3"/>
    </format>
    <format dxfId="1339">
      <pivotArea dataOnly="0" labelOnly="1" outline="0" fieldPosition="0">
        <references count="1">
          <reference field="4294967294" count="2">
            <x v="0"/>
            <x v="3"/>
          </reference>
        </references>
      </pivotArea>
    </format>
    <format dxfId="1338">
      <pivotArea grandRow="1" outline="0" collapsedLevelsAreSubtotals="1" fieldPosition="0"/>
    </format>
    <format dxfId="1337">
      <pivotArea dataOnly="0" labelOnly="1" grandRow="1" outline="0" fieldPosition="0"/>
    </format>
    <format dxfId="1336">
      <pivotArea type="all" dataOnly="0" outline="0" fieldPosition="0"/>
    </format>
    <format dxfId="1335">
      <pivotArea outline="0" collapsedLevelsAreSubtotals="1" fieldPosition="0"/>
    </format>
    <format dxfId="1334">
      <pivotArea field="0" type="button" dataOnly="0" labelOnly="1" outline="0" axis="axisRow" fieldPosition="0"/>
    </format>
    <format dxfId="1333">
      <pivotArea field="6" type="button" dataOnly="0" labelOnly="1" outline="0" axis="axisRow" fieldPosition="1"/>
    </format>
    <format dxfId="1332">
      <pivotArea field="7" type="button" dataOnly="0" labelOnly="1" outline="0" axis="axisRow" fieldPosition="2"/>
    </format>
    <format dxfId="1331">
      <pivotArea field="2" type="button" dataOnly="0" labelOnly="1" outline="0" axis="axisRow" fieldPosition="3"/>
    </format>
    <format dxfId="1330">
      <pivotArea dataOnly="0" labelOnly="1" outline="0" fieldPosition="0">
        <references count="1">
          <reference field="0" count="1">
            <x v="3"/>
          </reference>
        </references>
      </pivotArea>
    </format>
    <format dxfId="1329">
      <pivotArea dataOnly="0" labelOnly="1" grandRow="1" outline="0" fieldPosition="0"/>
    </format>
    <format dxfId="1328">
      <pivotArea dataOnly="0" labelOnly="1" outline="0" fieldPosition="0">
        <references count="2">
          <reference field="0" count="1" selected="0">
            <x v="3"/>
          </reference>
          <reference field="6" count="1">
            <x v="1"/>
          </reference>
        </references>
      </pivotArea>
    </format>
    <format dxfId="1327">
      <pivotArea dataOnly="0" labelOnly="1" outline="0" fieldPosition="0">
        <references count="3">
          <reference field="0" count="1" selected="0">
            <x v="3"/>
          </reference>
          <reference field="6" count="1" selected="0">
            <x v="1"/>
          </reference>
          <reference field="7" count="1">
            <x v="1"/>
          </reference>
        </references>
      </pivotArea>
    </format>
    <format dxfId="1326">
      <pivotArea dataOnly="0" labelOnly="1" outline="0" fieldPosition="0">
        <references count="4">
          <reference field="0" count="1" selected="0">
            <x v="3"/>
          </reference>
          <reference field="2" count="1">
            <x v="6"/>
          </reference>
          <reference field="6" count="1" selected="0">
            <x v="1"/>
          </reference>
          <reference field="7" count="1" selected="0">
            <x v="1"/>
          </reference>
        </references>
      </pivotArea>
    </format>
    <format dxfId="1325">
      <pivotArea dataOnly="0" labelOnly="1" outline="0" fieldPosition="0">
        <references count="1">
          <reference field="4294967294" count="2">
            <x v="0"/>
            <x v="3"/>
          </reference>
        </references>
      </pivotArea>
    </format>
    <format dxfId="1324">
      <pivotArea type="all" dataOnly="0" outline="0" fieldPosition="0"/>
    </format>
    <format dxfId="1323">
      <pivotArea outline="0" collapsedLevelsAreSubtotals="1" fieldPosition="0"/>
    </format>
    <format dxfId="1322">
      <pivotArea field="0" type="button" dataOnly="0" labelOnly="1" outline="0" axis="axisRow" fieldPosition="0"/>
    </format>
    <format dxfId="1321">
      <pivotArea field="6" type="button" dataOnly="0" labelOnly="1" outline="0" axis="axisRow" fieldPosition="1"/>
    </format>
    <format dxfId="1320">
      <pivotArea field="7" type="button" dataOnly="0" labelOnly="1" outline="0" axis="axisRow" fieldPosition="2"/>
    </format>
    <format dxfId="1319">
      <pivotArea field="2" type="button" dataOnly="0" labelOnly="1" outline="0" axis="axisRow" fieldPosition="3"/>
    </format>
    <format dxfId="1318">
      <pivotArea dataOnly="0" labelOnly="1" outline="0" fieldPosition="0">
        <references count="1">
          <reference field="0" count="1">
            <x v="3"/>
          </reference>
        </references>
      </pivotArea>
    </format>
    <format dxfId="1317">
      <pivotArea dataOnly="0" labelOnly="1" grandRow="1" outline="0" fieldPosition="0"/>
    </format>
    <format dxfId="1316">
      <pivotArea dataOnly="0" labelOnly="1" outline="0" fieldPosition="0">
        <references count="2">
          <reference field="0" count="1" selected="0">
            <x v="3"/>
          </reference>
          <reference field="6" count="1">
            <x v="1"/>
          </reference>
        </references>
      </pivotArea>
    </format>
    <format dxfId="1315">
      <pivotArea dataOnly="0" labelOnly="1" outline="0" fieldPosition="0">
        <references count="3">
          <reference field="0" count="1" selected="0">
            <x v="3"/>
          </reference>
          <reference field="6" count="1" selected="0">
            <x v="1"/>
          </reference>
          <reference field="7" count="1">
            <x v="1"/>
          </reference>
        </references>
      </pivotArea>
    </format>
    <format dxfId="1314">
      <pivotArea dataOnly="0" labelOnly="1" outline="0" fieldPosition="0">
        <references count="4">
          <reference field="0" count="1" selected="0">
            <x v="3"/>
          </reference>
          <reference field="2" count="1">
            <x v="6"/>
          </reference>
          <reference field="6" count="1" selected="0">
            <x v="1"/>
          </reference>
          <reference field="7" count="1" selected="0">
            <x v="1"/>
          </reference>
        </references>
      </pivotArea>
    </format>
    <format dxfId="1313">
      <pivotArea dataOnly="0" labelOnly="1" outline="0" fieldPosition="0">
        <references count="1">
          <reference field="4294967294" count="2">
            <x v="0"/>
            <x v="3"/>
          </reference>
        </references>
      </pivotArea>
    </format>
    <format dxfId="1312">
      <pivotArea dataOnly="0" outline="0" fieldPosition="0">
        <references count="1">
          <reference field="4294967294" count="2">
            <x v="0"/>
            <x v="3"/>
          </reference>
        </references>
      </pivotArea>
    </format>
    <format dxfId="1311">
      <pivotArea dataOnly="0" outline="0" fieldPosition="0">
        <references count="1">
          <reference field="4294967294" count="2">
            <x v="0"/>
            <x v="3"/>
          </reference>
        </references>
      </pivotArea>
    </format>
    <format dxfId="1310">
      <pivotArea dataOnly="0" outline="0" fieldPosition="0">
        <references count="1">
          <reference field="4294967294" count="2">
            <x v="0"/>
            <x v="3"/>
          </reference>
        </references>
      </pivotArea>
    </format>
    <format dxfId="1309">
      <pivotArea outline="0" fieldPosition="0">
        <references count="1">
          <reference field="4294967294" count="1" selected="0">
            <x v="1"/>
          </reference>
        </references>
      </pivotArea>
    </format>
    <format dxfId="1308">
      <pivotArea dataOnly="0" labelOnly="1" outline="0" fieldPosition="0">
        <references count="1">
          <reference field="4294967294" count="1">
            <x v="1"/>
          </reference>
        </references>
      </pivotArea>
    </format>
    <format dxfId="1307">
      <pivotArea outline="0" fieldPosition="0">
        <references count="1">
          <reference field="4294967294" count="1" selected="0">
            <x v="2"/>
          </reference>
        </references>
      </pivotArea>
    </format>
    <format dxfId="1306">
      <pivotArea dataOnly="0" labelOnly="1" outline="0" fieldPosition="0">
        <references count="1">
          <reference field="4294967294" count="1">
            <x v="2"/>
          </reference>
        </references>
      </pivotArea>
    </format>
    <format dxfId="1305">
      <pivotArea field="10" type="button" dataOnly="0" labelOnly="1" outline="0" axis="axisPage" fieldPosition="0"/>
    </format>
    <format dxfId="1304">
      <pivotArea field="10" type="button" dataOnly="0" labelOnly="1" outline="0" axis="axisPage"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3" cacheId="16" applyNumberFormats="0" applyBorderFormats="0" applyFontFormats="0" applyPatternFormats="0" applyAlignmentFormats="0" applyWidthHeightFormats="1" dataCaption="Werte" grandTotalCaption="Total" updatedVersion="6" minRefreshableVersion="3" showDrill="0" useAutoFormatting="1" itemPrintTitles="1" createdVersion="6" indent="0" compact="0" compactData="0" multipleFieldFilters="0">
  <location ref="B317:I329" firstHeaderRow="0" firstDataRow="1" firstDataCol="4" rowPageCount="1" colPageCount="1"/>
  <pivotFields count="118">
    <pivotField axis="axisRow" compact="0" outline="0" showAll="0" defaultSubtotal="0">
      <items count="200">
        <item x="83"/>
        <item x="119"/>
        <item x="122"/>
        <item x="137"/>
        <item x="138"/>
        <item x="172"/>
        <item x="182"/>
        <item x="130"/>
        <item x="84"/>
        <item x="120"/>
        <item x="167"/>
        <item x="82"/>
        <item x="164"/>
        <item x="103"/>
        <item x="67"/>
        <item x="142"/>
        <item x="89"/>
        <item x="163"/>
        <item x="179"/>
        <item x="178"/>
        <item x="53"/>
        <item x="50"/>
        <item x="70"/>
        <item x="139"/>
        <item x="147"/>
        <item x="176"/>
        <item x="54"/>
        <item x="64"/>
        <item x="126"/>
        <item x="170"/>
        <item x="117"/>
        <item x="141"/>
        <item x="128"/>
        <item x="127"/>
        <item x="136"/>
        <item x="156"/>
        <item x="192"/>
        <item x="123"/>
        <item x="116"/>
        <item x="149"/>
        <item x="55"/>
        <item x="92"/>
        <item x="146"/>
        <item x="77"/>
        <item x="129"/>
        <item x="60"/>
        <item x="68"/>
        <item x="193"/>
        <item x="150"/>
        <item x="57"/>
        <item x="181"/>
        <item x="78"/>
        <item x="155"/>
        <item x="159"/>
        <item x="132"/>
        <item x="104"/>
        <item x="74"/>
        <item x="111"/>
        <item x="110"/>
        <item x="109"/>
        <item x="189"/>
        <item x="190"/>
        <item x="154"/>
        <item x="165"/>
        <item x="188"/>
        <item x="186"/>
        <item x="187"/>
        <item x="69"/>
        <item x="95"/>
        <item x="62"/>
        <item x="166"/>
        <item x="56"/>
        <item x="65"/>
        <item x="152"/>
        <item x="58"/>
        <item x="195"/>
        <item x="90"/>
        <item x="114"/>
        <item x="108"/>
        <item x="63"/>
        <item m="1" x="199"/>
        <item x="71"/>
        <item x="88"/>
        <item x="52"/>
        <item x="85"/>
        <item x="153"/>
        <item x="135"/>
        <item x="196"/>
        <item x="133"/>
        <item x="162"/>
        <item x="59"/>
        <item x="87"/>
        <item x="76"/>
        <item x="184"/>
        <item x="158"/>
        <item x="161"/>
        <item x="113"/>
        <item x="173"/>
        <item x="125"/>
        <item x="180"/>
        <item x="171"/>
        <item x="140"/>
        <item x="73"/>
        <item x="91"/>
        <item x="194"/>
        <item x="177"/>
        <item x="97"/>
        <item x="144"/>
        <item x="106"/>
        <item x="105"/>
        <item x="100"/>
        <item x="183"/>
        <item x="148"/>
        <item x="75"/>
        <item x="102"/>
        <item x="143"/>
        <item x="51"/>
        <item x="107"/>
        <item x="157"/>
        <item x="168"/>
        <item x="93"/>
        <item x="66"/>
        <item x="160"/>
        <item x="121"/>
        <item x="79"/>
        <item x="96"/>
        <item x="101"/>
        <item x="151"/>
        <item x="198"/>
        <item x="118"/>
        <item x="169"/>
        <item x="185"/>
        <item x="94"/>
        <item x="80"/>
        <item x="99"/>
        <item x="81"/>
        <item x="145"/>
        <item x="131"/>
        <item x="134"/>
        <item x="174"/>
        <item x="175"/>
        <item x="43"/>
        <item x="44"/>
        <item x="45"/>
        <item x="47"/>
        <item x="48"/>
        <item x="112"/>
        <item x="115"/>
        <item x="124"/>
        <item x="197"/>
        <item x="42"/>
        <item x="41"/>
        <item x="46"/>
        <item x="40"/>
        <item x="72"/>
        <item x="38"/>
        <item x="49"/>
        <item x="37"/>
        <item x="32"/>
        <item x="33"/>
        <item x="35"/>
        <item x="36"/>
        <item x="18"/>
        <item x="19"/>
        <item x="20"/>
        <item x="21"/>
        <item x="22"/>
        <item x="23"/>
        <item x="24"/>
        <item x="25"/>
        <item x="26"/>
        <item x="27"/>
        <item x="28"/>
        <item x="29"/>
        <item x="30"/>
        <item x="31"/>
        <item x="34"/>
        <item x="39"/>
        <item x="61"/>
        <item x="86"/>
        <item x="98"/>
        <item x="14"/>
        <item x="15"/>
        <item x="16"/>
        <item x="7"/>
        <item x="8"/>
        <item x="9"/>
        <item x="10"/>
        <item x="11"/>
        <item x="12"/>
        <item x="13"/>
        <item x="191"/>
        <item x="6"/>
        <item x="0"/>
        <item x="1"/>
        <item x="2"/>
        <item x="3"/>
        <item x="4"/>
        <item x="5"/>
        <item x="17"/>
      </items>
    </pivotField>
    <pivotField compact="0" outline="0" showAll="0" defaultSubtotal="0"/>
    <pivotField axis="axisRow" compact="0" outline="0" showAll="0" defaultSubtotal="0">
      <items count="143">
        <item x="54"/>
        <item x="61"/>
        <item x="38"/>
        <item x="17"/>
        <item x="58"/>
        <item x="88"/>
        <item x="84"/>
        <item x="78"/>
        <item x="26"/>
        <item x="23"/>
        <item x="50"/>
        <item x="11"/>
        <item x="91"/>
        <item x="79"/>
        <item x="13"/>
        <item x="63"/>
        <item x="64"/>
        <item m="1" x="130"/>
        <item m="1" x="140"/>
        <item x="32"/>
        <item x="72"/>
        <item x="55"/>
        <item x="62"/>
        <item x="110"/>
        <item x="111"/>
        <item x="46"/>
        <item x="44"/>
        <item x="53"/>
        <item x="93"/>
        <item x="109"/>
        <item x="47"/>
        <item x="95"/>
        <item x="87"/>
        <item x="120"/>
        <item x="86"/>
        <item x="82"/>
        <item x="81"/>
        <item x="77"/>
        <item x="94"/>
        <item x="48"/>
        <item m="1" x="139"/>
        <item m="1" x="138"/>
        <item x="92"/>
        <item x="60"/>
        <item m="1" x="129"/>
        <item x="51"/>
        <item x="56"/>
        <item m="1" x="131"/>
        <item m="1" x="127"/>
        <item x="5"/>
        <item x="99"/>
        <item x="101"/>
        <item m="1" x="122"/>
        <item x="73"/>
        <item x="59"/>
        <item x="75"/>
        <item x="98"/>
        <item x="9"/>
        <item x="116"/>
        <item x="114"/>
        <item x="115"/>
        <item m="1" x="128"/>
        <item x="57"/>
        <item m="1" x="126"/>
        <item m="1" x="125"/>
        <item x="103"/>
        <item x="113"/>
        <item x="100"/>
        <item m="1" x="141"/>
        <item x="97"/>
        <item x="119"/>
        <item x="80"/>
        <item x="69"/>
        <item x="22"/>
        <item x="49"/>
        <item x="106"/>
        <item m="1" x="124"/>
        <item x="107"/>
        <item x="108"/>
        <item x="112"/>
        <item x="33"/>
        <item x="65"/>
        <item m="1" x="123"/>
        <item x="90"/>
        <item x="74"/>
        <item m="1" x="137"/>
        <item m="1" x="135"/>
        <item x="66"/>
        <item x="89"/>
        <item m="1" x="136"/>
        <item x="7"/>
        <item x="45"/>
        <item m="1" x="133"/>
        <item x="67"/>
        <item x="52"/>
        <item x="118"/>
        <item x="104"/>
        <item m="1" x="132"/>
        <item x="96"/>
        <item x="121"/>
        <item x="105"/>
        <item x="70"/>
        <item x="85"/>
        <item x="43"/>
        <item x="40"/>
        <item x="42"/>
        <item x="76"/>
        <item x="83"/>
        <item x="37"/>
        <item x="41"/>
        <item m="1" x="134"/>
        <item x="36"/>
        <item x="29"/>
        <item x="30"/>
        <item x="18"/>
        <item x="19"/>
        <item x="20"/>
        <item x="21"/>
        <item x="24"/>
        <item x="25"/>
        <item x="27"/>
        <item x="28"/>
        <item x="31"/>
        <item x="34"/>
        <item m="1" x="142"/>
        <item x="39"/>
        <item x="68"/>
        <item x="117"/>
        <item x="14"/>
        <item x="15"/>
        <item x="16"/>
        <item x="8"/>
        <item x="10"/>
        <item x="12"/>
        <item x="6"/>
        <item x="0"/>
        <item x="1"/>
        <item x="2"/>
        <item x="3"/>
        <item x="4"/>
        <item x="35"/>
        <item x="71"/>
        <item x="102"/>
      </items>
    </pivotField>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3">
        <item x="2"/>
        <item x="1"/>
        <item x="0"/>
      </items>
    </pivotField>
    <pivotField compact="0" outline="0" showAll="0" defaultSubtotal="0"/>
    <pivotField compact="0" outline="0" showAll="0" defaultSubtotal="0"/>
    <pivotField name="PROPOSAL PREPARATION" axis="axisPage" compact="0" outline="0" showAll="0" defaultSubtotal="0">
      <items count="14">
        <item x="2"/>
        <item x="0"/>
        <item x="3"/>
        <item x="4"/>
        <item x="6"/>
        <item x="1"/>
        <item m="1" x="7"/>
        <item m="1" x="9"/>
        <item m="1" x="10"/>
        <item m="1" x="8"/>
        <item m="1" x="11"/>
        <item m="1" x="13"/>
        <item m="1" x="12"/>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compact="0" numFmtId="166" outline="0" showAll="0" defaultSubtotal="0"/>
    <pivotField compact="0"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outline="0" showAll="0" defaultSubtotal="0"/>
    <pivotField compact="0" numFmtId="166" outline="0" showAll="0" defaultSubtotal="0"/>
  </pivotFields>
  <rowFields count="4">
    <field x="0"/>
    <field x="6"/>
    <field x="7"/>
    <field x="2"/>
  </rowFields>
  <rowItems count="12">
    <i>
      <x v="7"/>
      <x v="1"/>
      <x v="1"/>
      <x v="6"/>
    </i>
    <i>
      <x v="117"/>
      <x v="1"/>
      <x/>
      <x v="3"/>
    </i>
    <i>
      <x v="127"/>
      <x/>
      <x/>
      <x v="98"/>
    </i>
    <i>
      <x v="152"/>
      <x v="2"/>
      <x/>
      <x v="109"/>
    </i>
    <i>
      <x v="171"/>
      <x v="3"/>
      <x v="1"/>
      <x v="8"/>
    </i>
    <i>
      <x v="173"/>
      <x v="2"/>
      <x/>
      <x v="121"/>
    </i>
    <i>
      <x v="176"/>
      <x v="2"/>
      <x/>
      <x v="122"/>
    </i>
    <i>
      <x v="183"/>
      <x/>
      <x/>
      <x v="130"/>
    </i>
    <i>
      <x v="189"/>
      <x/>
      <x/>
      <x v="133"/>
    </i>
    <i>
      <x v="193"/>
      <x/>
      <x v="2"/>
      <x v="135"/>
    </i>
    <i>
      <x v="198"/>
      <x v="2"/>
      <x/>
      <x v="49"/>
    </i>
    <i t="grand">
      <x/>
    </i>
  </rowItems>
  <colFields count="1">
    <field x="-2"/>
  </colFields>
  <colItems count="4">
    <i>
      <x/>
    </i>
    <i i="1">
      <x v="1"/>
    </i>
    <i i="2">
      <x v="2"/>
    </i>
    <i i="3">
      <x v="3"/>
    </i>
  </colItems>
  <pageFields count="1">
    <pageField fld="10" item="1" hier="-1"/>
  </pageFields>
  <dataFields count="4">
    <dataField name=" Total Project Volume" fld="105" baseField="2" baseItem="3" numFmtId="165"/>
    <dataField name=" Total Project Volume (IPK)" fld="76" baseField="0" baseItem="0" numFmtId="168"/>
    <dataField name=" Total Project Volume (ITA)" fld="86" baseField="0" baseItem="0" numFmtId="168"/>
    <dataField name=" Total Project Volume (Other)" fld="102" baseField="2" baseItem="3" numFmtId="165"/>
  </dataFields>
  <formats count="42">
    <format dxfId="1391">
      <pivotArea type="all" dataOnly="0" outline="0" fieldPosition="0"/>
    </format>
    <format dxfId="1390">
      <pivotArea field="0" type="button" dataOnly="0" labelOnly="1" outline="0" axis="axisRow" fieldPosition="0"/>
    </format>
    <format dxfId="1389">
      <pivotArea dataOnly="0" labelOnly="1" grandRow="1" outline="0" fieldPosition="0"/>
    </format>
    <format dxfId="1388">
      <pivotArea outline="0" fieldPosition="0">
        <references count="1">
          <reference field="4294967294" count="1">
            <x v="0"/>
          </reference>
        </references>
      </pivotArea>
    </format>
    <format dxfId="1387">
      <pivotArea outline="0" fieldPosition="0">
        <references count="1">
          <reference field="4294967294" count="1">
            <x v="3"/>
          </reference>
        </references>
      </pivotArea>
    </format>
    <format dxfId="1386">
      <pivotArea type="all" dataOnly="0" outline="0" fieldPosition="0"/>
    </format>
    <format dxfId="1385">
      <pivotArea outline="0" collapsedLevelsAreSubtotals="1" fieldPosition="0"/>
    </format>
    <format dxfId="1384">
      <pivotArea field="0" type="button" dataOnly="0" labelOnly="1" outline="0" axis="axisRow" fieldPosition="0"/>
    </format>
    <format dxfId="1383">
      <pivotArea field="6" type="button" dataOnly="0" labelOnly="1" outline="0" axis="axisRow" fieldPosition="1"/>
    </format>
    <format dxfId="1382">
      <pivotArea field="7" type="button" dataOnly="0" labelOnly="1" outline="0" axis="axisRow" fieldPosition="2"/>
    </format>
    <format dxfId="1381">
      <pivotArea field="2" type="button" dataOnly="0" labelOnly="1" outline="0" axis="axisRow" fieldPosition="3"/>
    </format>
    <format dxfId="1380">
      <pivotArea dataOnly="0" labelOnly="1" grandRow="1" outline="0" fieldPosition="0"/>
    </format>
    <format dxfId="1379">
      <pivotArea dataOnly="0" labelOnly="1" outline="0" fieldPosition="0">
        <references count="1">
          <reference field="4294967294" count="2">
            <x v="0"/>
            <x v="3"/>
          </reference>
        </references>
      </pivotArea>
    </format>
    <format dxfId="1378">
      <pivotArea field="0" type="button" dataOnly="0" labelOnly="1" outline="0" axis="axisRow" fieldPosition="0"/>
    </format>
    <format dxfId="1377">
      <pivotArea field="6" type="button" dataOnly="0" labelOnly="1" outline="0" axis="axisRow" fieldPosition="1"/>
    </format>
    <format dxfId="1376">
      <pivotArea field="7" type="button" dataOnly="0" labelOnly="1" outline="0" axis="axisRow" fieldPosition="2"/>
    </format>
    <format dxfId="1375">
      <pivotArea field="2" type="button" dataOnly="0" labelOnly="1" outline="0" axis="axisRow" fieldPosition="3"/>
    </format>
    <format dxfId="1374">
      <pivotArea dataOnly="0" labelOnly="1" outline="0" fieldPosition="0">
        <references count="1">
          <reference field="4294967294" count="2">
            <x v="0"/>
            <x v="3"/>
          </reference>
        </references>
      </pivotArea>
    </format>
    <format dxfId="1373">
      <pivotArea grandRow="1" outline="0" collapsedLevelsAreSubtotals="1" fieldPosition="0"/>
    </format>
    <format dxfId="1372">
      <pivotArea dataOnly="0" labelOnly="1" grandRow="1" outline="0" fieldPosition="0"/>
    </format>
    <format dxfId="1371">
      <pivotArea type="all" dataOnly="0" outline="0" fieldPosition="0"/>
    </format>
    <format dxfId="1370">
      <pivotArea outline="0" collapsedLevelsAreSubtotals="1" fieldPosition="0"/>
    </format>
    <format dxfId="1369">
      <pivotArea field="0" type="button" dataOnly="0" labelOnly="1" outline="0" axis="axisRow" fieldPosition="0"/>
    </format>
    <format dxfId="1368">
      <pivotArea field="6" type="button" dataOnly="0" labelOnly="1" outline="0" axis="axisRow" fieldPosition="1"/>
    </format>
    <format dxfId="1367">
      <pivotArea field="7" type="button" dataOnly="0" labelOnly="1" outline="0" axis="axisRow" fieldPosition="2"/>
    </format>
    <format dxfId="1366">
      <pivotArea field="2" type="button" dataOnly="0" labelOnly="1" outline="0" axis="axisRow" fieldPosition="3"/>
    </format>
    <format dxfId="1365">
      <pivotArea dataOnly="0" labelOnly="1" grandRow="1" outline="0" fieldPosition="0"/>
    </format>
    <format dxfId="1364">
      <pivotArea dataOnly="0" labelOnly="1" outline="0" fieldPosition="0">
        <references count="1">
          <reference field="4294967294" count="2">
            <x v="0"/>
            <x v="3"/>
          </reference>
        </references>
      </pivotArea>
    </format>
    <format dxfId="1363">
      <pivotArea type="all" dataOnly="0" outline="0" fieldPosition="0"/>
    </format>
    <format dxfId="1362">
      <pivotArea outline="0" collapsedLevelsAreSubtotals="1" fieldPosition="0"/>
    </format>
    <format dxfId="1361">
      <pivotArea field="0" type="button" dataOnly="0" labelOnly="1" outline="0" axis="axisRow" fieldPosition="0"/>
    </format>
    <format dxfId="1360">
      <pivotArea field="6" type="button" dataOnly="0" labelOnly="1" outline="0" axis="axisRow" fieldPosition="1"/>
    </format>
    <format dxfId="1359">
      <pivotArea field="7" type="button" dataOnly="0" labelOnly="1" outline="0" axis="axisRow" fieldPosition="2"/>
    </format>
    <format dxfId="1358">
      <pivotArea field="2" type="button" dataOnly="0" labelOnly="1" outline="0" axis="axisRow" fieldPosition="3"/>
    </format>
    <format dxfId="1357">
      <pivotArea dataOnly="0" labelOnly="1" grandRow="1" outline="0" fieldPosition="0"/>
    </format>
    <format dxfId="1356">
      <pivotArea dataOnly="0" labelOnly="1" outline="0" fieldPosition="0">
        <references count="1">
          <reference field="4294967294" count="2">
            <x v="0"/>
            <x v="3"/>
          </reference>
        </references>
      </pivotArea>
    </format>
    <format dxfId="1355">
      <pivotArea dataOnly="0" outline="0" fieldPosition="0">
        <references count="1">
          <reference field="4294967294" count="2">
            <x v="0"/>
            <x v="3"/>
          </reference>
        </references>
      </pivotArea>
    </format>
    <format dxfId="1354">
      <pivotArea dataOnly="0" outline="0" fieldPosition="0">
        <references count="1">
          <reference field="4294967294" count="2">
            <x v="0"/>
            <x v="3"/>
          </reference>
        </references>
      </pivotArea>
    </format>
    <format dxfId="1353">
      <pivotArea dataOnly="0" outline="0" fieldPosition="0">
        <references count="1">
          <reference field="4294967294" count="2">
            <x v="0"/>
            <x v="3"/>
          </reference>
        </references>
      </pivotArea>
    </format>
    <format dxfId="1352">
      <pivotArea outline="0" fieldPosition="0">
        <references count="1">
          <reference field="4294967294" count="2" selected="0">
            <x v="1"/>
            <x v="2"/>
          </reference>
        </references>
      </pivotArea>
    </format>
    <format dxfId="1351">
      <pivotArea field="10" type="button" dataOnly="0" labelOnly="1" outline="0" axis="axisPage" fieldPosition="0"/>
    </format>
    <format dxfId="1350">
      <pivotArea field="10"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5" cacheId="16"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V9:W12" firstHeaderRow="1" firstDataRow="1" firstDataCol="1" rowPageCount="2" colPageCount="1"/>
  <pivotFields count="118">
    <pivotField showAll="0"/>
    <pivotField showAll="0"/>
    <pivotField showAll="0"/>
    <pivotField axis="axisRow" showAll="0">
      <items count="10">
        <item x="5"/>
        <item x="4"/>
        <item x="2"/>
        <item x="7"/>
        <item x="1"/>
        <item x="3"/>
        <item x="8"/>
        <item x="0"/>
        <item x="6"/>
        <item t="default"/>
      </items>
    </pivotField>
    <pivotField showAll="0"/>
    <pivotField showAll="0"/>
    <pivotField axis="axisPage" showAll="0">
      <items count="5">
        <item x="0"/>
        <item x="1"/>
        <item x="2"/>
        <item x="3"/>
        <item t="default"/>
      </items>
    </pivotField>
    <pivotField showAll="0"/>
    <pivotField showAll="0"/>
    <pivotField showAll="0"/>
    <pivotField axis="axisPage" multipleItemSelectionAllowed="1" showAll="0">
      <items count="15">
        <item h="1" x="2"/>
        <item h="1" x="5"/>
        <item h="1" x="0"/>
        <item h="1" x="3"/>
        <item x="4"/>
        <item x="6"/>
        <item m="1" x="9"/>
        <item h="1" x="1"/>
        <item m="1" x="10"/>
        <item m="1" x="8"/>
        <item m="1" x="11"/>
        <item m="1" x="13"/>
        <item m="1" x="12"/>
        <item m="1"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numFmtId="166" showAll="0"/>
    <pivotField numFmtId="166" showAll="0"/>
    <pivotField numFmtId="166" showAll="0"/>
    <pivotField numFmtId="166" showAll="0"/>
    <pivotField showAll="0"/>
    <pivotField showAll="0"/>
    <pivotField showAll="0"/>
    <pivotField numFmtId="166" showAll="0"/>
    <pivotField numFmtId="166" showAll="0"/>
    <pivotField numFmtId="166" showAll="0"/>
    <pivotField numFmtId="166" showAll="0"/>
    <pivotField numFmtId="166" showAll="0"/>
    <pivotField showAll="0"/>
    <pivotField showAll="0"/>
    <pivotField numFmtId="166" showAll="0"/>
    <pivotField numFmtId="166" showAll="0"/>
    <pivotField dataField="1"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9" showAll="0"/>
    <pivotField numFmtId="165" showAll="0"/>
    <pivotField numFmtId="165" showAll="0"/>
    <pivotField showAll="0"/>
    <pivotField numFmtId="166" showAll="0"/>
    <pivotField showAll="0"/>
    <pivotField showAll="0"/>
    <pivotField showAll="0"/>
    <pivotField showAll="0"/>
    <pivotField showAll="0"/>
    <pivotField showAll="0"/>
    <pivotField numFmtId="166" showAll="0"/>
    <pivotField showAll="0"/>
    <pivotField numFmtId="166" showAll="0"/>
  </pivotFields>
  <rowFields count="1">
    <field x="3"/>
  </rowFields>
  <rowItems count="3">
    <i>
      <x v="5"/>
    </i>
    <i>
      <x v="7"/>
    </i>
    <i t="grand">
      <x/>
    </i>
  </rowItems>
  <colItems count="1">
    <i/>
  </colItems>
  <pageFields count="2">
    <pageField fld="6" item="0" hier="-1"/>
    <pageField fld="10" hier="-1"/>
  </pageFields>
  <dataFields count="1">
    <dataField name="Summe von Total Budget (FPC)" fld="93" baseField="0" baseItem="0"/>
  </dataFields>
  <chartFormats count="3">
    <chartFormat chart="0" format="3"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3" count="1" selected="0">
            <x v="5"/>
          </reference>
        </references>
      </pivotArea>
    </chartFormat>
    <chartFormat chart="0" format="5">
      <pivotArea type="data" outline="0" fieldPosition="0">
        <references count="2">
          <reference field="4294967294" count="1" selected="0">
            <x v="0"/>
          </reference>
          <reference field="3"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3" cacheId="16"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4">
  <location ref="S9:T16" firstHeaderRow="1" firstDataRow="1" firstDataCol="1" rowPageCount="2" colPageCount="1"/>
  <pivotFields count="118">
    <pivotField showAll="0"/>
    <pivotField showAll="0"/>
    <pivotField showAll="0"/>
    <pivotField axis="axisRow" showAll="0">
      <items count="10">
        <item x="5"/>
        <item x="4"/>
        <item x="2"/>
        <item x="7"/>
        <item x="1"/>
        <item x="3"/>
        <item x="8"/>
        <item x="0"/>
        <item x="6"/>
        <item t="default"/>
      </items>
    </pivotField>
    <pivotField showAll="0"/>
    <pivotField showAll="0"/>
    <pivotField axis="axisPage" showAll="0">
      <items count="5">
        <item x="0"/>
        <item x="1"/>
        <item x="2"/>
        <item x="3"/>
        <item t="default"/>
      </items>
    </pivotField>
    <pivotField showAll="0"/>
    <pivotField showAll="0"/>
    <pivotField showAll="0"/>
    <pivotField axis="axisPage" multipleItemSelectionAllowed="1" showAll="0">
      <items count="15">
        <item h="1" x="2"/>
        <item h="1" x="5"/>
        <item h="1" x="0"/>
        <item h="1" x="3"/>
        <item x="4"/>
        <item x="6"/>
        <item m="1" x="9"/>
        <item h="1" x="1"/>
        <item m="1" x="10"/>
        <item m="1" x="8"/>
        <item m="1" x="11"/>
        <item m="1" x="13"/>
        <item m="1" x="12"/>
        <item m="1"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numFmtId="166" showAll="0"/>
    <pivotField numFmtId="166" showAll="0"/>
    <pivotField numFmtId="166" showAll="0"/>
    <pivotField numFmtId="166" showAll="0"/>
    <pivotField showAll="0"/>
    <pivotField showAll="0"/>
    <pivotField showAll="0"/>
    <pivotField numFmtId="166" showAll="0"/>
    <pivotField numFmtId="166" showAll="0"/>
    <pivotField numFmtId="166" showAll="0"/>
    <pivotField numFmtId="166" showAll="0"/>
    <pivotField numFmtId="166" showAll="0"/>
    <pivotField showAll="0"/>
    <pivotField showAll="0"/>
    <pivotField numFmtId="166" showAll="0"/>
    <pivotField numFmtId="166" showAll="0"/>
    <pivotField dataField="1"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9" showAll="0"/>
    <pivotField numFmtId="165" showAll="0"/>
    <pivotField numFmtId="165" showAll="0"/>
    <pivotField showAll="0"/>
    <pivotField numFmtId="166" showAll="0"/>
    <pivotField showAll="0"/>
    <pivotField showAll="0"/>
    <pivotField showAll="0"/>
    <pivotField showAll="0"/>
    <pivotField showAll="0"/>
    <pivotField showAll="0"/>
    <pivotField numFmtId="166" showAll="0"/>
    <pivotField showAll="0"/>
    <pivotField numFmtId="166" showAll="0"/>
  </pivotFields>
  <rowFields count="1">
    <field x="3"/>
  </rowFields>
  <rowItems count="7">
    <i>
      <x/>
    </i>
    <i>
      <x v="2"/>
    </i>
    <i>
      <x v="4"/>
    </i>
    <i>
      <x v="5"/>
    </i>
    <i>
      <x v="6"/>
    </i>
    <i>
      <x v="7"/>
    </i>
    <i t="grand">
      <x/>
    </i>
  </rowItems>
  <colItems count="1">
    <i/>
  </colItems>
  <pageFields count="2">
    <pageField fld="6" item="2" hier="-1"/>
    <pageField fld="10" hier="-1"/>
  </pageFields>
  <dataFields count="1">
    <dataField name="Summe von Total Budget (FPC)" fld="93" baseField="0" baseItem="0" numFmtId="165"/>
  </dataFields>
  <formats count="1">
    <format dxfId="769">
      <pivotArea outline="0" collapsedLevelsAreSubtotals="1" fieldPosition="0"/>
    </format>
  </formats>
  <chartFormats count="26">
    <chartFormat chart="1" format="4" series="1">
      <pivotArea type="data" outline="0" fieldPosition="0">
        <references count="1">
          <reference field="4294967294" count="1" selected="0">
            <x v="0"/>
          </reference>
        </references>
      </pivotArea>
    </chartFormat>
    <chartFormat chart="1" format="5">
      <pivotArea type="data" outline="0" fieldPosition="0">
        <references count="2">
          <reference field="4294967294" count="1" selected="0">
            <x v="0"/>
          </reference>
          <reference field="3" count="1" selected="0">
            <x v="0"/>
          </reference>
        </references>
      </pivotArea>
    </chartFormat>
    <chartFormat chart="1" format="6">
      <pivotArea type="data" outline="0" fieldPosition="0">
        <references count="2">
          <reference field="4294967294" count="1" selected="0">
            <x v="0"/>
          </reference>
          <reference field="3" count="1" selected="0">
            <x v="1"/>
          </reference>
        </references>
      </pivotArea>
    </chartFormat>
    <chartFormat chart="1" format="7">
      <pivotArea type="data" outline="0" fieldPosition="0">
        <references count="2">
          <reference field="4294967294" count="1" selected="0">
            <x v="0"/>
          </reference>
          <reference field="3" count="1" selected="0">
            <x v="2"/>
          </reference>
        </references>
      </pivotArea>
    </chartFormat>
    <chartFormat chart="1" format="8">
      <pivotArea type="data" outline="0" fieldPosition="0">
        <references count="2">
          <reference field="4294967294" count="1" selected="0">
            <x v="0"/>
          </reference>
          <reference field="3" count="1" selected="0">
            <x v="3"/>
          </reference>
        </references>
      </pivotArea>
    </chartFormat>
    <chartFormat chart="1" format="9">
      <pivotArea type="data" outline="0" fieldPosition="0">
        <references count="2">
          <reference field="4294967294" count="1" selected="0">
            <x v="0"/>
          </reference>
          <reference field="3" count="1" selected="0">
            <x v="4"/>
          </reference>
        </references>
      </pivotArea>
    </chartFormat>
    <chartFormat chart="1" format="10">
      <pivotArea type="data" outline="0" fieldPosition="0">
        <references count="2">
          <reference field="4294967294" count="1" selected="0">
            <x v="0"/>
          </reference>
          <reference field="3" count="1" selected="0">
            <x v="5"/>
          </reference>
        </references>
      </pivotArea>
    </chartFormat>
    <chartFormat chart="1" format="11">
      <pivotArea type="data" outline="0" fieldPosition="0">
        <references count="2">
          <reference field="4294967294" count="1" selected="0">
            <x v="0"/>
          </reference>
          <reference field="3" count="1" selected="0">
            <x v="6"/>
          </reference>
        </references>
      </pivotArea>
    </chartFormat>
    <chartFormat chart="1" format="12">
      <pivotArea type="data" outline="0" fieldPosition="0">
        <references count="2">
          <reference field="4294967294" count="1" selected="0">
            <x v="0"/>
          </reference>
          <reference field="3" count="1" selected="0">
            <x v="7"/>
          </reference>
        </references>
      </pivotArea>
    </chartFormat>
    <chartFormat chart="2" format="13" series="1">
      <pivotArea type="data" outline="0" fieldPosition="0">
        <references count="1">
          <reference field="4294967294" count="1" selected="0">
            <x v="0"/>
          </reference>
        </references>
      </pivotArea>
    </chartFormat>
    <chartFormat chart="2" format="14">
      <pivotArea type="data" outline="0" fieldPosition="0">
        <references count="2">
          <reference field="4294967294" count="1" selected="0">
            <x v="0"/>
          </reference>
          <reference field="3" count="1" selected="0">
            <x v="0"/>
          </reference>
        </references>
      </pivotArea>
    </chartFormat>
    <chartFormat chart="2" format="15">
      <pivotArea type="data" outline="0" fieldPosition="0">
        <references count="2">
          <reference field="4294967294" count="1" selected="0">
            <x v="0"/>
          </reference>
          <reference field="3" count="1" selected="0">
            <x v="1"/>
          </reference>
        </references>
      </pivotArea>
    </chartFormat>
    <chartFormat chart="2" format="16">
      <pivotArea type="data" outline="0" fieldPosition="0">
        <references count="2">
          <reference field="4294967294" count="1" selected="0">
            <x v="0"/>
          </reference>
          <reference field="3" count="1" selected="0">
            <x v="2"/>
          </reference>
        </references>
      </pivotArea>
    </chartFormat>
    <chartFormat chart="2" format="17">
      <pivotArea type="data" outline="0" fieldPosition="0">
        <references count="2">
          <reference field="4294967294" count="1" selected="0">
            <x v="0"/>
          </reference>
          <reference field="3" count="1" selected="0">
            <x v="3"/>
          </reference>
        </references>
      </pivotArea>
    </chartFormat>
    <chartFormat chart="2" format="18">
      <pivotArea type="data" outline="0" fieldPosition="0">
        <references count="2">
          <reference field="4294967294" count="1" selected="0">
            <x v="0"/>
          </reference>
          <reference field="3" count="1" selected="0">
            <x v="4"/>
          </reference>
        </references>
      </pivotArea>
    </chartFormat>
    <chartFormat chart="2" format="19">
      <pivotArea type="data" outline="0" fieldPosition="0">
        <references count="2">
          <reference field="4294967294" count="1" selected="0">
            <x v="0"/>
          </reference>
          <reference field="3" count="1" selected="0">
            <x v="5"/>
          </reference>
        </references>
      </pivotArea>
    </chartFormat>
    <chartFormat chart="2" format="20">
      <pivotArea type="data" outline="0" fieldPosition="0">
        <references count="2">
          <reference field="4294967294" count="1" selected="0">
            <x v="0"/>
          </reference>
          <reference field="3" count="1" selected="0">
            <x v="6"/>
          </reference>
        </references>
      </pivotArea>
    </chartFormat>
    <chartFormat chart="2" format="21">
      <pivotArea type="data" outline="0" fieldPosition="0">
        <references count="2">
          <reference field="4294967294" count="1" selected="0">
            <x v="0"/>
          </reference>
          <reference field="3" count="1" selected="0">
            <x v="7"/>
          </reference>
        </references>
      </pivotArea>
    </chartFormat>
    <chartFormat chart="0" format="5"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3" count="1" selected="0">
            <x v="0"/>
          </reference>
        </references>
      </pivotArea>
    </chartFormat>
    <chartFormat chart="0" format="7">
      <pivotArea type="data" outline="0" fieldPosition="0">
        <references count="2">
          <reference field="4294967294" count="1" selected="0">
            <x v="0"/>
          </reference>
          <reference field="3" count="1" selected="0">
            <x v="2"/>
          </reference>
        </references>
      </pivotArea>
    </chartFormat>
    <chartFormat chart="0" format="8">
      <pivotArea type="data" outline="0" fieldPosition="0">
        <references count="2">
          <reference field="4294967294" count="1" selected="0">
            <x v="0"/>
          </reference>
          <reference field="3" count="1" selected="0">
            <x v="4"/>
          </reference>
        </references>
      </pivotArea>
    </chartFormat>
    <chartFormat chart="0" format="9">
      <pivotArea type="data" outline="0" fieldPosition="0">
        <references count="2">
          <reference field="4294967294" count="1" selected="0">
            <x v="0"/>
          </reference>
          <reference field="3" count="1" selected="0">
            <x v="5"/>
          </reference>
        </references>
      </pivotArea>
    </chartFormat>
    <chartFormat chart="0" format="10">
      <pivotArea type="data" outline="0" fieldPosition="0">
        <references count="2">
          <reference field="4294967294" count="1" selected="0">
            <x v="0"/>
          </reference>
          <reference field="3" count="1" selected="0">
            <x v="6"/>
          </reference>
        </references>
      </pivotArea>
    </chartFormat>
    <chartFormat chart="0" format="11">
      <pivotArea type="data" outline="0" fieldPosition="0">
        <references count="2">
          <reference field="4294967294" count="1" selected="0">
            <x v="0"/>
          </reference>
          <reference field="3" count="1" selected="0">
            <x v="7"/>
          </reference>
        </references>
      </pivotArea>
    </chartFormat>
    <chartFormat chart="0" format="12">
      <pivotArea type="data" outline="0" fieldPosition="0">
        <references count="2">
          <reference field="4294967294" count="1" selected="0">
            <x v="0"/>
          </reference>
          <reference field="3"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6" cacheId="16"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Y9:Z13" firstHeaderRow="1" firstDataRow="1" firstDataCol="1" rowPageCount="2" colPageCount="1"/>
  <pivotFields count="118">
    <pivotField showAll="0"/>
    <pivotField showAll="0"/>
    <pivotField showAll="0"/>
    <pivotField axis="axisRow" showAll="0">
      <items count="10">
        <item x="5"/>
        <item x="4"/>
        <item x="2"/>
        <item x="7"/>
        <item x="1"/>
        <item x="3"/>
        <item x="8"/>
        <item x="0"/>
        <item x="6"/>
        <item t="default"/>
      </items>
    </pivotField>
    <pivotField showAll="0"/>
    <pivotField showAll="0"/>
    <pivotField axis="axisPage" showAll="0">
      <items count="5">
        <item x="0"/>
        <item x="1"/>
        <item x="2"/>
        <item x="3"/>
        <item t="default"/>
      </items>
    </pivotField>
    <pivotField showAll="0"/>
    <pivotField showAll="0"/>
    <pivotField showAll="0"/>
    <pivotField axis="axisPage" multipleItemSelectionAllowed="1" showAll="0">
      <items count="15">
        <item h="1" x="2"/>
        <item h="1" x="5"/>
        <item h="1" x="0"/>
        <item h="1" x="3"/>
        <item x="4"/>
        <item x="6"/>
        <item m="1" x="9"/>
        <item h="1" x="1"/>
        <item m="1" x="10"/>
        <item m="1" x="8"/>
        <item m="1" x="11"/>
        <item m="1" x="13"/>
        <item m="1" x="12"/>
        <item m="1"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numFmtId="166" showAll="0"/>
    <pivotField numFmtId="166" showAll="0"/>
    <pivotField numFmtId="166" showAll="0"/>
    <pivotField numFmtId="166" showAll="0"/>
    <pivotField showAll="0"/>
    <pivotField showAll="0"/>
    <pivotField showAll="0"/>
    <pivotField numFmtId="166" showAll="0"/>
    <pivotField numFmtId="166" showAll="0"/>
    <pivotField numFmtId="166" showAll="0"/>
    <pivotField numFmtId="166" showAll="0"/>
    <pivotField numFmtId="166" showAll="0"/>
    <pivotField showAll="0"/>
    <pivotField showAll="0"/>
    <pivotField numFmtId="166" showAll="0"/>
    <pivotField numFmtId="166" showAll="0"/>
    <pivotField dataField="1"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166" showAll="0"/>
    <pivotField numFmtId="9" showAll="0"/>
    <pivotField numFmtId="165" showAll="0"/>
    <pivotField numFmtId="165" showAll="0"/>
    <pivotField showAll="0"/>
    <pivotField numFmtId="166" showAll="0"/>
    <pivotField showAll="0"/>
    <pivotField showAll="0"/>
    <pivotField showAll="0"/>
    <pivotField showAll="0"/>
    <pivotField showAll="0"/>
    <pivotField showAll="0"/>
    <pivotField numFmtId="166" showAll="0"/>
    <pivotField showAll="0"/>
    <pivotField numFmtId="166" showAll="0"/>
  </pivotFields>
  <rowFields count="1">
    <field x="3"/>
  </rowFields>
  <rowItems count="4">
    <i>
      <x v="2"/>
    </i>
    <i>
      <x v="5"/>
    </i>
    <i>
      <x v="7"/>
    </i>
    <i t="grand">
      <x/>
    </i>
  </rowItems>
  <colItems count="1">
    <i/>
  </colItems>
  <pageFields count="2">
    <pageField fld="6" item="1" hier="-1"/>
    <pageField fld="10" hier="-1"/>
  </pageFields>
  <dataFields count="1">
    <dataField name="Summe von Total Budget (FPC)" fld="93" baseField="0" baseItem="0"/>
  </dataFields>
  <chartFormats count="4">
    <chartFormat chart="0" format="2"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3" count="1" selected="0">
            <x v="5"/>
          </reference>
        </references>
      </pivotArea>
    </chartFormat>
    <chartFormat chart="0" format="4">
      <pivotArea type="data" outline="0" fieldPosition="0">
        <references count="2">
          <reference field="4294967294" count="1" selected="0">
            <x v="0"/>
          </reference>
          <reference field="3" count="1" selected="0">
            <x v="7"/>
          </reference>
        </references>
      </pivotArea>
    </chartFormat>
    <chartFormat chart="0" format="5">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7" cacheId="16" applyNumberFormats="0" applyBorderFormats="0" applyFontFormats="0" applyPatternFormats="0" applyAlignmentFormats="0" applyWidthHeightFormats="1" dataCaption="Werte" grandTotalCaption="Total" updatedVersion="6" minRefreshableVersion="3" showDrill="0" useAutoFormatting="1" itemPrintTitles="1" createdVersion="6" indent="0" compact="0" compactData="0" multipleFieldFilters="0">
  <location ref="B295:Q303" firstHeaderRow="0" firstDataRow="1" firstDataCol="4" rowPageCount="1" colPageCount="1"/>
  <pivotFields count="118">
    <pivotField axis="axisRow" compact="0" outline="0" showAll="0" defaultSubtotal="0">
      <items count="200">
        <item x="83"/>
        <item x="119"/>
        <item x="122"/>
        <item x="137"/>
        <item x="138"/>
        <item x="172"/>
        <item x="182"/>
        <item x="130"/>
        <item x="84"/>
        <item x="120"/>
        <item x="167"/>
        <item x="82"/>
        <item x="164"/>
        <item x="103"/>
        <item x="67"/>
        <item x="142"/>
        <item x="89"/>
        <item x="163"/>
        <item x="179"/>
        <item x="178"/>
        <item x="53"/>
        <item x="50"/>
        <item x="70"/>
        <item x="139"/>
        <item x="147"/>
        <item x="176"/>
        <item x="54"/>
        <item x="64"/>
        <item x="126"/>
        <item x="170"/>
        <item x="117"/>
        <item x="141"/>
        <item x="128"/>
        <item x="127"/>
        <item x="136"/>
        <item x="156"/>
        <item x="192"/>
        <item x="123"/>
        <item x="116"/>
        <item x="149"/>
        <item x="55"/>
        <item x="92"/>
        <item x="146"/>
        <item x="77"/>
        <item x="129"/>
        <item x="60"/>
        <item x="68"/>
        <item x="193"/>
        <item x="150"/>
        <item x="57"/>
        <item x="181"/>
        <item x="78"/>
        <item x="155"/>
        <item x="159"/>
        <item x="132"/>
        <item x="104"/>
        <item x="74"/>
        <item x="111"/>
        <item x="110"/>
        <item x="109"/>
        <item x="189"/>
        <item x="190"/>
        <item x="154"/>
        <item x="165"/>
        <item x="188"/>
        <item x="186"/>
        <item x="187"/>
        <item x="69"/>
        <item x="95"/>
        <item x="62"/>
        <item x="166"/>
        <item x="56"/>
        <item x="65"/>
        <item x="152"/>
        <item x="58"/>
        <item x="195"/>
        <item x="90"/>
        <item x="114"/>
        <item x="108"/>
        <item x="63"/>
        <item m="1" x="199"/>
        <item x="71"/>
        <item x="88"/>
        <item x="52"/>
        <item x="85"/>
        <item x="153"/>
        <item x="135"/>
        <item x="196"/>
        <item x="133"/>
        <item x="162"/>
        <item x="59"/>
        <item x="87"/>
        <item x="76"/>
        <item x="184"/>
        <item x="158"/>
        <item x="161"/>
        <item x="113"/>
        <item x="173"/>
        <item x="125"/>
        <item x="180"/>
        <item x="171"/>
        <item x="140"/>
        <item x="73"/>
        <item x="91"/>
        <item x="194"/>
        <item x="177"/>
        <item x="97"/>
        <item x="144"/>
        <item x="106"/>
        <item x="105"/>
        <item x="100"/>
        <item x="183"/>
        <item x="148"/>
        <item x="75"/>
        <item x="102"/>
        <item x="143"/>
        <item x="51"/>
        <item x="107"/>
        <item x="157"/>
        <item x="168"/>
        <item x="93"/>
        <item x="66"/>
        <item x="160"/>
        <item x="121"/>
        <item x="79"/>
        <item x="96"/>
        <item x="101"/>
        <item x="151"/>
        <item x="198"/>
        <item x="118"/>
        <item x="169"/>
        <item x="185"/>
        <item x="94"/>
        <item x="80"/>
        <item x="99"/>
        <item x="81"/>
        <item x="145"/>
        <item x="131"/>
        <item x="134"/>
        <item x="174"/>
        <item x="175"/>
        <item x="43"/>
        <item x="44"/>
        <item x="45"/>
        <item x="47"/>
        <item x="48"/>
        <item x="112"/>
        <item x="115"/>
        <item x="124"/>
        <item x="197"/>
        <item x="42"/>
        <item x="41"/>
        <item x="46"/>
        <item x="40"/>
        <item x="72"/>
        <item x="38"/>
        <item x="49"/>
        <item x="37"/>
        <item x="32"/>
        <item x="33"/>
        <item x="35"/>
        <item x="36"/>
        <item x="18"/>
        <item x="19"/>
        <item x="20"/>
        <item x="21"/>
        <item x="22"/>
        <item x="23"/>
        <item x="24"/>
        <item x="25"/>
        <item x="26"/>
        <item x="27"/>
        <item x="28"/>
        <item x="29"/>
        <item x="30"/>
        <item x="31"/>
        <item x="34"/>
        <item x="39"/>
        <item x="61"/>
        <item x="86"/>
        <item x="98"/>
        <item x="14"/>
        <item x="15"/>
        <item x="16"/>
        <item x="7"/>
        <item x="8"/>
        <item x="9"/>
        <item x="10"/>
        <item x="11"/>
        <item x="12"/>
        <item x="13"/>
        <item x="191"/>
        <item x="6"/>
        <item x="0"/>
        <item x="1"/>
        <item x="2"/>
        <item x="3"/>
        <item x="4"/>
        <item x="5"/>
        <item x="17"/>
      </items>
    </pivotField>
    <pivotField compact="0" outline="0" showAll="0" defaultSubtotal="0"/>
    <pivotField axis="axisRow" compact="0" outline="0" showAll="0" defaultSubtotal="0">
      <items count="143">
        <item x="54"/>
        <item x="61"/>
        <item x="38"/>
        <item x="17"/>
        <item x="58"/>
        <item x="88"/>
        <item x="84"/>
        <item x="78"/>
        <item x="26"/>
        <item x="23"/>
        <item x="50"/>
        <item x="11"/>
        <item x="91"/>
        <item x="79"/>
        <item x="13"/>
        <item x="63"/>
        <item x="64"/>
        <item m="1" x="130"/>
        <item m="1" x="140"/>
        <item x="32"/>
        <item x="72"/>
        <item x="55"/>
        <item x="62"/>
        <item x="110"/>
        <item x="111"/>
        <item x="46"/>
        <item x="44"/>
        <item x="53"/>
        <item x="93"/>
        <item x="109"/>
        <item x="47"/>
        <item x="95"/>
        <item x="87"/>
        <item x="120"/>
        <item x="86"/>
        <item x="82"/>
        <item x="81"/>
        <item x="77"/>
        <item x="94"/>
        <item x="48"/>
        <item m="1" x="139"/>
        <item m="1" x="138"/>
        <item x="92"/>
        <item x="60"/>
        <item m="1" x="129"/>
        <item x="51"/>
        <item x="56"/>
        <item m="1" x="131"/>
        <item m="1" x="127"/>
        <item x="5"/>
        <item x="99"/>
        <item x="101"/>
        <item m="1" x="122"/>
        <item x="73"/>
        <item x="59"/>
        <item x="75"/>
        <item x="98"/>
        <item x="9"/>
        <item x="116"/>
        <item x="114"/>
        <item x="115"/>
        <item m="1" x="128"/>
        <item x="57"/>
        <item m="1" x="126"/>
        <item m="1" x="125"/>
        <item x="103"/>
        <item x="113"/>
        <item x="100"/>
        <item m="1" x="141"/>
        <item x="97"/>
        <item x="119"/>
        <item x="80"/>
        <item x="69"/>
        <item x="22"/>
        <item x="49"/>
        <item x="106"/>
        <item m="1" x="124"/>
        <item x="107"/>
        <item x="108"/>
        <item x="112"/>
        <item x="33"/>
        <item x="65"/>
        <item m="1" x="123"/>
        <item x="90"/>
        <item x="74"/>
        <item m="1" x="137"/>
        <item m="1" x="135"/>
        <item x="66"/>
        <item x="89"/>
        <item m="1" x="136"/>
        <item x="7"/>
        <item x="45"/>
        <item m="1" x="133"/>
        <item x="67"/>
        <item x="52"/>
        <item x="118"/>
        <item x="104"/>
        <item m="1" x="132"/>
        <item x="96"/>
        <item x="121"/>
        <item x="105"/>
        <item x="70"/>
        <item x="85"/>
        <item x="43"/>
        <item x="40"/>
        <item x="42"/>
        <item x="76"/>
        <item x="83"/>
        <item x="37"/>
        <item x="41"/>
        <item m="1" x="134"/>
        <item x="36"/>
        <item x="29"/>
        <item x="30"/>
        <item x="18"/>
        <item x="19"/>
        <item x="20"/>
        <item x="21"/>
        <item x="24"/>
        <item x="25"/>
        <item x="27"/>
        <item x="28"/>
        <item x="31"/>
        <item x="34"/>
        <item m="1" x="142"/>
        <item x="39"/>
        <item x="68"/>
        <item x="117"/>
        <item x="14"/>
        <item x="15"/>
        <item x="16"/>
        <item x="8"/>
        <item x="10"/>
        <item x="12"/>
        <item x="6"/>
        <item x="0"/>
        <item x="1"/>
        <item x="2"/>
        <item x="3"/>
        <item x="4"/>
        <item x="35"/>
        <item x="71"/>
        <item x="102"/>
      </items>
    </pivotField>
    <pivotField compact="0" outline="0" showAll="0" defaultSubtotal="0"/>
    <pivotField compact="0" outline="0" showAll="0" defaultSubtotal="0"/>
    <pivotField compact="0" outline="0" showAll="0" defaultSubtotal="0"/>
    <pivotField axis="axisRow" compact="0" outline="0" showAll="0" defaultSubtotal="0">
      <items count="4">
        <item x="0"/>
        <item x="1"/>
        <item h="1" x="2"/>
        <item x="3"/>
      </items>
    </pivotField>
    <pivotField axis="axisRow" compact="0" outline="0" showAll="0" defaultSubtotal="0">
      <items count="3">
        <item x="2"/>
        <item x="1"/>
        <item x="0"/>
      </items>
    </pivotField>
    <pivotField compact="0" outline="0" showAll="0" defaultSubtotal="0"/>
    <pivotField compact="0" outline="0" showAll="0" defaultSubtotal="0"/>
    <pivotField name="PROPOSAL PREPARATION" axis="axisPage" compact="0" outline="0" showAll="0" defaultSubtotal="0">
      <items count="14">
        <item x="2"/>
        <item x="0"/>
        <item x="3"/>
        <item x="4"/>
        <item x="6"/>
        <item x="1"/>
        <item m="1" x="7"/>
        <item m="1" x="9"/>
        <item m="1" x="10"/>
        <item m="1" x="8"/>
        <item m="1" x="11"/>
        <item m="1" x="13"/>
        <item m="1" x="12"/>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dataField="1" compact="0" numFmtId="166" outline="0" showAll="0" defaultSubtotal="0"/>
    <pivotField dataField="1" compact="0" outline="0" showAll="0" defaultSubtotal="0"/>
    <pivotField dataField="1" compact="0" numFmtId="166"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dataField="1" compact="0" numFmtId="166" outline="0" showAll="0" defaultSubtotal="0"/>
    <pivotField dataField="1" compact="0" outline="0" showAll="0" defaultSubtotal="0"/>
    <pivotField dataField="1" compact="0" numFmtId="166" outline="0" showAll="0" defaultSubtotal="0"/>
  </pivotFields>
  <rowFields count="4">
    <field x="0"/>
    <field x="6"/>
    <field x="7"/>
    <field x="2"/>
  </rowFields>
  <rowItems count="8">
    <i>
      <x v="7"/>
      <x v="1"/>
      <x v="1"/>
      <x v="6"/>
    </i>
    <i>
      <x v="117"/>
      <x v="1"/>
      <x/>
      <x v="3"/>
    </i>
    <i>
      <x v="127"/>
      <x/>
      <x/>
      <x v="98"/>
    </i>
    <i>
      <x v="171"/>
      <x v="3"/>
      <x v="1"/>
      <x v="8"/>
    </i>
    <i>
      <x v="183"/>
      <x/>
      <x/>
      <x v="130"/>
    </i>
    <i>
      <x v="189"/>
      <x/>
      <x/>
      <x v="133"/>
    </i>
    <i>
      <x v="193"/>
      <x/>
      <x v="2"/>
      <x v="135"/>
    </i>
    <i t="grand">
      <x/>
    </i>
  </rowItems>
  <colFields count="1">
    <field x="-2"/>
  </colFields>
  <colItems count="12">
    <i>
      <x/>
    </i>
    <i i="1">
      <x v="1"/>
    </i>
    <i i="2">
      <x v="2"/>
    </i>
    <i i="3">
      <x v="3"/>
    </i>
    <i i="4">
      <x v="4"/>
    </i>
    <i i="5">
      <x v="5"/>
    </i>
    <i i="6">
      <x v="6"/>
    </i>
    <i i="7">
      <x v="7"/>
    </i>
    <i i="8">
      <x v="8"/>
    </i>
    <i i="9">
      <x v="9"/>
    </i>
    <i i="10">
      <x v="10"/>
    </i>
    <i i="11">
      <x v="11"/>
    </i>
  </colItems>
  <pageFields count="1">
    <pageField fld="10" item="1" hier="-1"/>
  </pageFields>
  <dataFields count="12">
    <dataField name=" Total Project Volume" fld="105" baseField="0" baseItem="0"/>
    <dataField name=" Total Revenues IPK" fld="106" baseField="0" baseItem="0"/>
    <dataField name=" Probability of Success" fld="107" subtotal="average" baseField="2" baseItem="24" numFmtId="9"/>
    <dataField name="Expected Revenue IPK" fld="108" baseField="0" baseItem="0" numFmtId="166"/>
    <dataField name=" OE100" fld="109" baseField="2" baseItem="3"/>
    <dataField name=" OE200" fld="110" baseField="2" baseItem="3"/>
    <dataField name=" OE300" fld="111" baseField="96" baseItem="1"/>
    <dataField name=" OE400" fld="112" baseField="96" baseItem="1"/>
    <dataField name=" OE600" fld="113" baseField="96" baseItem="1"/>
    <dataField name=" Acquisition Bonus OE810" fld="115" baseField="0" baseItem="0" numFmtId="166"/>
    <dataField name=" Project Execution OE810" fld="116" baseField="0" baseItem="0" numFmtId="166"/>
    <dataField name=" OE810" fld="117" baseField="96" baseItem="1" numFmtId="166"/>
  </dataFields>
  <formats count="42">
    <format dxfId="59">
      <pivotArea type="all" dataOnly="0" outline="0" fieldPosition="0"/>
    </format>
    <format dxfId="58">
      <pivotArea field="0" type="button" dataOnly="0" labelOnly="1" outline="0" axis="axisRow" fieldPosition="0"/>
    </format>
    <format dxfId="57">
      <pivotArea dataOnly="0" labelOnly="1" grandRow="1" outline="0" fieldPosition="0"/>
    </format>
    <format dxfId="56">
      <pivotArea type="all" dataOnly="0" outline="0" fieldPosition="0"/>
    </format>
    <format dxfId="55">
      <pivotArea outline="0" collapsedLevelsAreSubtotals="1" fieldPosition="0"/>
    </format>
    <format dxfId="54">
      <pivotArea field="0" type="button" dataOnly="0" labelOnly="1" outline="0" axis="axisRow" fieldPosition="0"/>
    </format>
    <format dxfId="53">
      <pivotArea field="6" type="button" dataOnly="0" labelOnly="1" outline="0" axis="axisRow" fieldPosition="1"/>
    </format>
    <format dxfId="52">
      <pivotArea field="7" type="button" dataOnly="0" labelOnly="1" outline="0" axis="axisRow" fieldPosition="2"/>
    </format>
    <format dxfId="51">
      <pivotArea field="2" type="button" dataOnly="0" labelOnly="1" outline="0" axis="axisRow" fieldPosition="3"/>
    </format>
    <format dxfId="50">
      <pivotArea dataOnly="0" labelOnly="1" grandRow="1" outline="0" fieldPosition="0"/>
    </format>
    <format dxfId="49">
      <pivotArea field="0" type="button" dataOnly="0" labelOnly="1" outline="0" axis="axisRow" fieldPosition="0"/>
    </format>
    <format dxfId="48">
      <pivotArea field="6" type="button" dataOnly="0" labelOnly="1" outline="0" axis="axisRow" fieldPosition="1"/>
    </format>
    <format dxfId="47">
      <pivotArea field="7" type="button" dataOnly="0" labelOnly="1" outline="0" axis="axisRow" fieldPosition="2"/>
    </format>
    <format dxfId="46">
      <pivotArea field="2" type="button" dataOnly="0" labelOnly="1" outline="0" axis="axisRow" fieldPosition="3"/>
    </format>
    <format dxfId="45">
      <pivotArea grandRow="1" outline="0" collapsedLevelsAreSubtotals="1" fieldPosition="0"/>
    </format>
    <format dxfId="44">
      <pivotArea dataOnly="0" labelOnly="1" grandRow="1" outline="0" fieldPosition="0"/>
    </format>
    <format dxfId="43">
      <pivotArea type="all" dataOnly="0" outline="0" fieldPosition="0"/>
    </format>
    <format dxfId="42">
      <pivotArea outline="0" collapsedLevelsAreSubtotals="1" fieldPosition="0"/>
    </format>
    <format dxfId="41">
      <pivotArea field="0" type="button" dataOnly="0" labelOnly="1" outline="0" axis="axisRow" fieldPosition="0"/>
    </format>
    <format dxfId="40">
      <pivotArea field="6" type="button" dataOnly="0" labelOnly="1" outline="0" axis="axisRow" fieldPosition="1"/>
    </format>
    <format dxfId="39">
      <pivotArea field="7" type="button" dataOnly="0" labelOnly="1" outline="0" axis="axisRow" fieldPosition="2"/>
    </format>
    <format dxfId="38">
      <pivotArea field="2" type="button" dataOnly="0" labelOnly="1" outline="0" axis="axisRow" fieldPosition="3"/>
    </format>
    <format dxfId="37">
      <pivotArea dataOnly="0" labelOnly="1" grandRow="1" outline="0" fieldPosition="0"/>
    </format>
    <format dxfId="36">
      <pivotArea type="all" dataOnly="0" outline="0" fieldPosition="0"/>
    </format>
    <format dxfId="35">
      <pivotArea outline="0" collapsedLevelsAreSubtotals="1" fieldPosition="0"/>
    </format>
    <format dxfId="34">
      <pivotArea field="0" type="button" dataOnly="0" labelOnly="1" outline="0" axis="axisRow" fieldPosition="0"/>
    </format>
    <format dxfId="33">
      <pivotArea field="6" type="button" dataOnly="0" labelOnly="1" outline="0" axis="axisRow" fieldPosition="1"/>
    </format>
    <format dxfId="32">
      <pivotArea field="7" type="button" dataOnly="0" labelOnly="1" outline="0" axis="axisRow" fieldPosition="2"/>
    </format>
    <format dxfId="31">
      <pivotArea field="2" type="button" dataOnly="0" labelOnly="1" outline="0" axis="axisRow" fieldPosition="3"/>
    </format>
    <format dxfId="30">
      <pivotArea dataOnly="0" labelOnly="1" grandRow="1" outline="0" fieldPosition="0"/>
    </format>
    <format dxfId="29">
      <pivotArea outline="0" fieldPosition="0">
        <references count="1">
          <reference field="4294967294" count="4" selected="0">
            <x v="3"/>
            <x v="9"/>
            <x v="10"/>
            <x v="11"/>
          </reference>
        </references>
      </pivotArea>
    </format>
    <format dxfId="28">
      <pivotArea dataOnly="0" outline="0" fieldPosition="0">
        <references count="1">
          <reference field="4294967294" count="4">
            <x v="3"/>
            <x v="9"/>
            <x v="10"/>
            <x v="11"/>
          </reference>
        </references>
      </pivotArea>
    </format>
    <format dxfId="27">
      <pivotArea dataOnly="0" outline="0" fieldPosition="0">
        <references count="1">
          <reference field="4294967294" count="4">
            <x v="3"/>
            <x v="9"/>
            <x v="10"/>
            <x v="11"/>
          </reference>
        </references>
      </pivotArea>
    </format>
    <format dxfId="26">
      <pivotArea dataOnly="0" outline="0" fieldPosition="0">
        <references count="1">
          <reference field="4294967294" count="4">
            <x v="3"/>
            <x v="9"/>
            <x v="10"/>
            <x v="11"/>
          </reference>
        </references>
      </pivotArea>
    </format>
    <format dxfId="25">
      <pivotArea outline="0" collapsedLevelsAreSubtotals="1" fieldPosition="0"/>
    </format>
    <format dxfId="24">
      <pivotArea dataOnly="0" labelOnly="1" outline="0" fieldPosition="0">
        <references count="1">
          <reference field="4294967294" count="4">
            <x v="3"/>
            <x v="9"/>
            <x v="10"/>
            <x v="11"/>
          </reference>
        </references>
      </pivotArea>
    </format>
    <format dxfId="23">
      <pivotArea outline="0" fieldPosition="0">
        <references count="1">
          <reference field="4294967294" count="1" selected="0">
            <x v="2"/>
          </reference>
        </references>
      </pivotArea>
    </format>
    <format dxfId="22">
      <pivotArea dataOnly="0" labelOnly="1" outline="0" fieldPosition="0">
        <references count="1">
          <reference field="4294967294" count="1">
            <x v="2"/>
          </reference>
        </references>
      </pivotArea>
    </format>
    <format dxfId="21">
      <pivotArea field="0" grandRow="1" outline="0" axis="axisRow" fieldPosition="0">
        <references count="1">
          <reference field="4294967294" count="1" selected="0">
            <x v="2"/>
          </reference>
        </references>
      </pivotArea>
    </format>
    <format dxfId="20">
      <pivotArea field="0" grandRow="1" outline="0" axis="axisRow" fieldPosition="0">
        <references count="1">
          <reference field="4294967294" count="1" selected="0">
            <x v="2"/>
          </reference>
        </references>
      </pivotArea>
    </format>
    <format dxfId="19">
      <pivotArea field="10" type="button" dataOnly="0" labelOnly="1" outline="0" axis="axisPage" fieldPosition="0"/>
    </format>
    <format dxfId="18">
      <pivotArea field="10"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0" cacheId="16" applyNumberFormats="0" applyBorderFormats="0" applyFontFormats="0" applyPatternFormats="0" applyAlignmentFormats="0" applyWidthHeightFormats="1" dataCaption="Werte" grandTotalCaption="Total" updatedVersion="6" minRefreshableVersion="3" showDrill="0" useAutoFormatting="1" itemPrintTitles="1" createdVersion="6" indent="0" compact="0" compactData="0" multipleFieldFilters="0">
  <location ref="B405:Q411" firstHeaderRow="0" firstDataRow="1" firstDataCol="4" rowPageCount="1" colPageCount="1"/>
  <pivotFields count="118">
    <pivotField axis="axisRow" compact="0" outline="0" showAll="0" defaultSubtotal="0">
      <items count="200">
        <item x="83"/>
        <item x="119"/>
        <item x="122"/>
        <item x="137"/>
        <item x="138"/>
        <item x="172"/>
        <item x="182"/>
        <item x="130"/>
        <item x="84"/>
        <item x="120"/>
        <item x="167"/>
        <item x="82"/>
        <item x="164"/>
        <item x="103"/>
        <item x="67"/>
        <item x="142"/>
        <item x="89"/>
        <item x="163"/>
        <item x="179"/>
        <item x="178"/>
        <item x="53"/>
        <item x="50"/>
        <item x="70"/>
        <item x="139"/>
        <item x="147"/>
        <item x="176"/>
        <item x="54"/>
        <item x="64"/>
        <item x="126"/>
        <item x="170"/>
        <item x="117"/>
        <item x="141"/>
        <item x="128"/>
        <item x="127"/>
        <item x="136"/>
        <item x="156"/>
        <item x="192"/>
        <item x="123"/>
        <item x="116"/>
        <item x="149"/>
        <item x="55"/>
        <item x="92"/>
        <item x="146"/>
        <item x="77"/>
        <item x="129"/>
        <item x="60"/>
        <item x="68"/>
        <item x="193"/>
        <item x="150"/>
        <item x="57"/>
        <item x="181"/>
        <item x="78"/>
        <item x="155"/>
        <item x="159"/>
        <item x="132"/>
        <item x="104"/>
        <item x="74"/>
        <item x="111"/>
        <item x="110"/>
        <item x="109"/>
        <item x="189"/>
        <item x="190"/>
        <item x="154"/>
        <item x="165"/>
        <item x="188"/>
        <item x="186"/>
        <item x="187"/>
        <item x="69"/>
        <item x="95"/>
        <item x="62"/>
        <item x="166"/>
        <item x="56"/>
        <item x="65"/>
        <item x="152"/>
        <item x="58"/>
        <item x="195"/>
        <item x="90"/>
        <item x="114"/>
        <item x="108"/>
        <item x="63"/>
        <item m="1" x="199"/>
        <item x="71"/>
        <item x="88"/>
        <item x="52"/>
        <item x="85"/>
        <item x="153"/>
        <item x="135"/>
        <item x="196"/>
        <item x="133"/>
        <item x="162"/>
        <item x="59"/>
        <item x="87"/>
        <item x="76"/>
        <item x="184"/>
        <item x="158"/>
        <item x="161"/>
        <item x="113"/>
        <item x="173"/>
        <item x="125"/>
        <item x="180"/>
        <item x="171"/>
        <item x="140"/>
        <item x="73"/>
        <item x="91"/>
        <item x="194"/>
        <item x="177"/>
        <item x="97"/>
        <item x="144"/>
        <item x="106"/>
        <item x="105"/>
        <item x="100"/>
        <item x="183"/>
        <item x="148"/>
        <item x="75"/>
        <item x="102"/>
        <item x="143"/>
        <item x="51"/>
        <item x="107"/>
        <item x="157"/>
        <item x="168"/>
        <item x="93"/>
        <item x="66"/>
        <item x="160"/>
        <item x="121"/>
        <item x="79"/>
        <item x="96"/>
        <item x="101"/>
        <item x="151"/>
        <item x="198"/>
        <item x="118"/>
        <item x="169"/>
        <item x="185"/>
        <item x="94"/>
        <item x="80"/>
        <item x="99"/>
        <item x="81"/>
        <item x="145"/>
        <item x="131"/>
        <item x="134"/>
        <item x="174"/>
        <item x="175"/>
        <item x="43"/>
        <item x="44"/>
        <item x="45"/>
        <item x="47"/>
        <item x="48"/>
        <item x="112"/>
        <item x="115"/>
        <item x="124"/>
        <item x="197"/>
        <item x="42"/>
        <item x="41"/>
        <item x="46"/>
        <item x="40"/>
        <item x="72"/>
        <item x="38"/>
        <item x="49"/>
        <item x="37"/>
        <item x="32"/>
        <item x="33"/>
        <item x="35"/>
        <item x="36"/>
        <item x="18"/>
        <item x="19"/>
        <item x="20"/>
        <item x="21"/>
        <item x="22"/>
        <item x="23"/>
        <item x="24"/>
        <item x="25"/>
        <item x="26"/>
        <item x="27"/>
        <item x="28"/>
        <item x="29"/>
        <item x="30"/>
        <item x="31"/>
        <item x="34"/>
        <item x="39"/>
        <item x="61"/>
        <item x="86"/>
        <item x="98"/>
        <item x="14"/>
        <item x="15"/>
        <item x="16"/>
        <item x="7"/>
        <item x="8"/>
        <item x="9"/>
        <item x="10"/>
        <item x="11"/>
        <item x="12"/>
        <item x="13"/>
        <item x="191"/>
        <item x="6"/>
        <item x="0"/>
        <item x="1"/>
        <item x="2"/>
        <item x="3"/>
        <item x="4"/>
        <item x="5"/>
        <item x="17"/>
      </items>
    </pivotField>
    <pivotField compact="0" outline="0" showAll="0" defaultSubtotal="0"/>
    <pivotField axis="axisRow" compact="0" outline="0" showAll="0" defaultSubtotal="0">
      <items count="143">
        <item x="54"/>
        <item x="61"/>
        <item x="38"/>
        <item x="58"/>
        <item x="88"/>
        <item x="78"/>
        <item x="26"/>
        <item x="17"/>
        <item x="84"/>
        <item x="23"/>
        <item x="50"/>
        <item x="11"/>
        <item x="91"/>
        <item x="79"/>
        <item x="13"/>
        <item x="63"/>
        <item x="64"/>
        <item m="1" x="130"/>
        <item m="1" x="140"/>
        <item x="32"/>
        <item x="72"/>
        <item x="55"/>
        <item x="62"/>
        <item x="110"/>
        <item x="111"/>
        <item x="46"/>
        <item x="44"/>
        <item x="53"/>
        <item x="93"/>
        <item x="109"/>
        <item x="47"/>
        <item x="95"/>
        <item x="87"/>
        <item x="120"/>
        <item x="86"/>
        <item x="82"/>
        <item x="81"/>
        <item x="77"/>
        <item x="94"/>
        <item x="48"/>
        <item m="1" x="139"/>
        <item m="1" x="138"/>
        <item x="92"/>
        <item x="60"/>
        <item m="1" x="129"/>
        <item x="51"/>
        <item x="56"/>
        <item m="1" x="131"/>
        <item m="1" x="127"/>
        <item x="5"/>
        <item x="99"/>
        <item x="101"/>
        <item m="1" x="122"/>
        <item x="73"/>
        <item x="59"/>
        <item x="75"/>
        <item x="98"/>
        <item x="9"/>
        <item x="116"/>
        <item x="114"/>
        <item x="115"/>
        <item m="1" x="128"/>
        <item x="57"/>
        <item m="1" x="126"/>
        <item m="1" x="125"/>
        <item x="103"/>
        <item x="113"/>
        <item x="100"/>
        <item m="1" x="141"/>
        <item x="97"/>
        <item x="119"/>
        <item x="80"/>
        <item x="69"/>
        <item x="22"/>
        <item x="49"/>
        <item x="106"/>
        <item m="1" x="124"/>
        <item x="107"/>
        <item x="108"/>
        <item x="112"/>
        <item x="33"/>
        <item x="65"/>
        <item m="1" x="123"/>
        <item x="90"/>
        <item x="74"/>
        <item m="1" x="137"/>
        <item m="1" x="135"/>
        <item x="66"/>
        <item x="89"/>
        <item m="1" x="136"/>
        <item x="7"/>
        <item x="45"/>
        <item m="1" x="133"/>
        <item x="67"/>
        <item x="52"/>
        <item x="118"/>
        <item x="104"/>
        <item m="1" x="132"/>
        <item x="96"/>
        <item x="121"/>
        <item x="105"/>
        <item x="70"/>
        <item x="85"/>
        <item x="43"/>
        <item x="40"/>
        <item x="42"/>
        <item x="76"/>
        <item x="83"/>
        <item x="37"/>
        <item x="41"/>
        <item m="1" x="134"/>
        <item x="36"/>
        <item x="29"/>
        <item x="30"/>
        <item x="18"/>
        <item x="19"/>
        <item x="20"/>
        <item x="21"/>
        <item x="24"/>
        <item x="25"/>
        <item x="27"/>
        <item x="28"/>
        <item x="31"/>
        <item x="34"/>
        <item m="1" x="142"/>
        <item x="39"/>
        <item x="68"/>
        <item x="117"/>
        <item x="14"/>
        <item x="15"/>
        <item x="16"/>
        <item x="8"/>
        <item x="10"/>
        <item x="12"/>
        <item x="6"/>
        <item x="0"/>
        <item x="1"/>
        <item x="2"/>
        <item x="3"/>
        <item x="4"/>
        <item x="35"/>
        <item x="71"/>
        <item x="102"/>
      </items>
    </pivotField>
    <pivotField compact="0" outline="0" showAll="0" defaultSubtotal="0"/>
    <pivotField compact="0" outline="0" showAll="0" defaultSubtotal="0"/>
    <pivotField compact="0" outline="0" showAll="0" defaultSubtotal="0"/>
    <pivotField axis="axisRow" compact="0" outline="0" showAll="0" defaultSubtotal="0">
      <items count="4">
        <item x="0"/>
        <item x="1"/>
        <item h="1" x="2"/>
        <item h="1" x="3"/>
      </items>
    </pivotField>
    <pivotField axis="axisRow" compact="0" outline="0" showAll="0" defaultSubtotal="0">
      <items count="3">
        <item x="2"/>
        <item x="1"/>
        <item x="0"/>
      </items>
    </pivotField>
    <pivotField compact="0" outline="0" showAll="0" defaultSubtotal="0"/>
    <pivotField compact="0" outline="0" showAll="0" defaultSubtotal="0"/>
    <pivotField name="STAND-BY " axis="axisPage" compact="0" outline="0" multipleItemSelectionAllowed="1" showAll="0" defaultSubtotal="0">
      <items count="14">
        <item h="1" x="2"/>
        <item h="1" x="0"/>
        <item h="1" x="3"/>
        <item h="1" x="4"/>
        <item h="1" x="6"/>
        <item h="1" x="1"/>
        <item h="1" m="1" x="7"/>
        <item h="1" m="1" x="9"/>
        <item h="1" m="1" x="10"/>
        <item h="1" m="1" x="8"/>
        <item h="1" m="1" x="11"/>
        <item h="1" m="1" x="13"/>
        <item h="1" m="1" x="12"/>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dataField="1" compact="0" numFmtId="166" outline="0" showAll="0" defaultSubtotal="0"/>
    <pivotField dataField="1" compact="0" numFmtId="9" outline="0" showAll="0" defaultSubtotal="0"/>
    <pivotField dataField="1" compact="0" numFmtId="166"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numFmtId="9"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s>
  <rowFields count="4">
    <field x="0"/>
    <field x="6"/>
    <field x="7"/>
    <field x="2"/>
  </rowFields>
  <rowItems count="6">
    <i>
      <x v="19"/>
      <x v="1"/>
      <x/>
      <x v="24"/>
    </i>
    <i>
      <x v="23"/>
      <x/>
      <x/>
      <x v="7"/>
    </i>
    <i>
      <x v="44"/>
      <x/>
      <x/>
      <x v="107"/>
    </i>
    <i>
      <x v="105"/>
      <x/>
      <x/>
      <x v="23"/>
    </i>
    <i>
      <x v="136"/>
      <x/>
      <x/>
      <x v="12"/>
    </i>
    <i t="grand">
      <x/>
    </i>
  </rowItems>
  <colFields count="1">
    <field x="-2"/>
  </colFields>
  <colItems count="12">
    <i>
      <x/>
    </i>
    <i i="1">
      <x v="1"/>
    </i>
    <i i="2">
      <x v="2"/>
    </i>
    <i i="3">
      <x v="3"/>
    </i>
    <i i="4">
      <x v="4"/>
    </i>
    <i i="5">
      <x v="5"/>
    </i>
    <i i="6">
      <x v="6"/>
    </i>
    <i i="7">
      <x v="7"/>
    </i>
    <i i="8">
      <x v="8"/>
    </i>
    <i i="9">
      <x v="9"/>
    </i>
    <i i="10">
      <x v="10"/>
    </i>
    <i i="11">
      <x v="11"/>
    </i>
  </colItems>
  <pageFields count="1">
    <pageField fld="10" hier="-1"/>
  </pageFields>
  <dataFields count="12">
    <dataField name=" Total Project Volume" fld="105" baseField="0" baseItem="0"/>
    <dataField name=" Total Revenues IPK" fld="106" baseField="0" baseItem="0"/>
    <dataField name=" Probability of Success" fld="107" subtotal="average" baseField="2" baseItem="2" numFmtId="9"/>
    <dataField name=" Real Revenue IPK" fld="108" baseField="0" baseItem="0" numFmtId="166"/>
    <dataField name=" OE100" fld="109" baseField="96" baseItem="1"/>
    <dataField name=" OE200" fld="110" baseField="96" baseItem="1"/>
    <dataField name=" OE300" fld="111" baseField="96" baseItem="1"/>
    <dataField name=" OE400" fld="112" baseField="96" baseItem="1"/>
    <dataField name=" OE600" fld="113" baseField="96" baseItem="1"/>
    <dataField name=" Acquisition Bonus OE810" fld="115" baseField="0" baseItem="0" numFmtId="166"/>
    <dataField name=" Project Execution OE810" fld="116" baseField="0" baseItem="0" numFmtId="166"/>
    <dataField name=" OE810" fld="117" baseField="96" baseItem="1" numFmtId="165"/>
  </dataFields>
  <formats count="216">
    <format dxfId="275">
      <pivotArea type="all" dataOnly="0" outline="0" fieldPosition="0"/>
    </format>
    <format dxfId="274">
      <pivotArea outline="0" collapsedLevelsAreSubtotals="1" fieldPosition="0"/>
    </format>
    <format dxfId="273">
      <pivotArea field="0" type="button" dataOnly="0" labelOnly="1" outline="0" axis="axisRow" fieldPosition="0"/>
    </format>
    <format dxfId="272">
      <pivotArea field="6" type="button" dataOnly="0" labelOnly="1" outline="0" axis="axisRow" fieldPosition="1"/>
    </format>
    <format dxfId="271">
      <pivotArea field="7" type="button" dataOnly="0" labelOnly="1" outline="0" axis="axisRow" fieldPosition="2"/>
    </format>
    <format dxfId="270">
      <pivotArea field="2" type="button" dataOnly="0" labelOnly="1" outline="0" axis="axisRow" fieldPosition="3"/>
    </format>
    <format dxfId="269">
      <pivotArea dataOnly="0" labelOnly="1" outline="0" fieldPosition="0">
        <references count="1">
          <reference field="0" count="7">
            <x v="0"/>
            <x v="1"/>
            <x v="2"/>
            <x v="3"/>
            <x v="4"/>
            <x v="5"/>
            <x v="6"/>
          </reference>
        </references>
      </pivotArea>
    </format>
    <format dxfId="268">
      <pivotArea dataOnly="0" labelOnly="1" grandRow="1" outline="0" fieldPosition="0"/>
    </format>
    <format dxfId="267">
      <pivotArea dataOnly="0" labelOnly="1" outline="0" fieldPosition="0">
        <references count="2">
          <reference field="0" count="1" selected="0">
            <x v="0"/>
          </reference>
          <reference field="6" count="1">
            <x v="2"/>
          </reference>
        </references>
      </pivotArea>
    </format>
    <format dxfId="266">
      <pivotArea dataOnly="0" labelOnly="1" outline="0" fieldPosition="0">
        <references count="2">
          <reference field="0" count="1" selected="0">
            <x v="1"/>
          </reference>
          <reference field="6" count="1">
            <x v="0"/>
          </reference>
        </references>
      </pivotArea>
    </format>
    <format dxfId="265">
      <pivotArea dataOnly="0" labelOnly="1" outline="0" fieldPosition="0">
        <references count="2">
          <reference field="0" count="1" selected="0">
            <x v="3"/>
          </reference>
          <reference field="6" count="1">
            <x v="1"/>
          </reference>
        </references>
      </pivotArea>
    </format>
    <format dxfId="264">
      <pivotArea dataOnly="0" labelOnly="1" outline="0" fieldPosition="0">
        <references count="2">
          <reference field="0" count="1" selected="0">
            <x v="4"/>
          </reference>
          <reference field="6" count="1">
            <x v="2"/>
          </reference>
        </references>
      </pivotArea>
    </format>
    <format dxfId="263">
      <pivotArea dataOnly="0" labelOnly="1" outline="0" fieldPosition="0">
        <references count="2">
          <reference field="0" count="1" selected="0">
            <x v="6"/>
          </reference>
          <reference field="6" count="1">
            <x v="0"/>
          </reference>
        </references>
      </pivotArea>
    </format>
    <format dxfId="262">
      <pivotArea dataOnly="0" labelOnly="1" outline="0" fieldPosition="0">
        <references count="3">
          <reference field="0" count="1" selected="0">
            <x v="0"/>
          </reference>
          <reference field="6" count="1" selected="0">
            <x v="2"/>
          </reference>
          <reference field="7" count="1">
            <x v="0"/>
          </reference>
        </references>
      </pivotArea>
    </format>
    <format dxfId="261">
      <pivotArea dataOnly="0" labelOnly="1" outline="0" fieldPosition="0">
        <references count="3">
          <reference field="0" count="1" selected="0">
            <x v="3"/>
          </reference>
          <reference field="6" count="1" selected="0">
            <x v="1"/>
          </reference>
          <reference field="7" count="1">
            <x v="1"/>
          </reference>
        </references>
      </pivotArea>
    </format>
    <format dxfId="260">
      <pivotArea dataOnly="0" labelOnly="1" outline="0" fieldPosition="0">
        <references count="3">
          <reference field="0" count="1" selected="0">
            <x v="4"/>
          </reference>
          <reference field="6" count="1" selected="0">
            <x v="2"/>
          </reference>
          <reference field="7" count="1">
            <x v="0"/>
          </reference>
        </references>
      </pivotArea>
    </format>
    <format dxfId="259">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258">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257">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256">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255">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254">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253">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252">
      <pivotArea type="all" dataOnly="0" outline="0" fieldPosition="0"/>
    </format>
    <format dxfId="251">
      <pivotArea outline="0" collapsedLevelsAreSubtotals="1" fieldPosition="0"/>
    </format>
    <format dxfId="250">
      <pivotArea field="0" type="button" dataOnly="0" labelOnly="1" outline="0" axis="axisRow" fieldPosition="0"/>
    </format>
    <format dxfId="249">
      <pivotArea field="6" type="button" dataOnly="0" labelOnly="1" outline="0" axis="axisRow" fieldPosition="1"/>
    </format>
    <format dxfId="248">
      <pivotArea field="7" type="button" dataOnly="0" labelOnly="1" outline="0" axis="axisRow" fieldPosition="2"/>
    </format>
    <format dxfId="247">
      <pivotArea field="2" type="button" dataOnly="0" labelOnly="1" outline="0" axis="axisRow" fieldPosition="3"/>
    </format>
    <format dxfId="246">
      <pivotArea dataOnly="0" labelOnly="1" outline="0" fieldPosition="0">
        <references count="1">
          <reference field="0" count="7">
            <x v="0"/>
            <x v="1"/>
            <x v="2"/>
            <x v="3"/>
            <x v="4"/>
            <x v="5"/>
            <x v="6"/>
          </reference>
        </references>
      </pivotArea>
    </format>
    <format dxfId="245">
      <pivotArea dataOnly="0" labelOnly="1" grandRow="1" outline="0" fieldPosition="0"/>
    </format>
    <format dxfId="244">
      <pivotArea dataOnly="0" labelOnly="1" outline="0" fieldPosition="0">
        <references count="2">
          <reference field="0" count="1" selected="0">
            <x v="0"/>
          </reference>
          <reference field="6" count="1">
            <x v="2"/>
          </reference>
        </references>
      </pivotArea>
    </format>
    <format dxfId="243">
      <pivotArea dataOnly="0" labelOnly="1" outline="0" fieldPosition="0">
        <references count="2">
          <reference field="0" count="1" selected="0">
            <x v="1"/>
          </reference>
          <reference field="6" count="1">
            <x v="0"/>
          </reference>
        </references>
      </pivotArea>
    </format>
    <format dxfId="242">
      <pivotArea dataOnly="0" labelOnly="1" outline="0" fieldPosition="0">
        <references count="2">
          <reference field="0" count="1" selected="0">
            <x v="3"/>
          </reference>
          <reference field="6" count="1">
            <x v="1"/>
          </reference>
        </references>
      </pivotArea>
    </format>
    <format dxfId="241">
      <pivotArea dataOnly="0" labelOnly="1" outline="0" fieldPosition="0">
        <references count="2">
          <reference field="0" count="1" selected="0">
            <x v="4"/>
          </reference>
          <reference field="6" count="1">
            <x v="2"/>
          </reference>
        </references>
      </pivotArea>
    </format>
    <format dxfId="240">
      <pivotArea dataOnly="0" labelOnly="1" outline="0" fieldPosition="0">
        <references count="2">
          <reference field="0" count="1" selected="0">
            <x v="6"/>
          </reference>
          <reference field="6" count="1">
            <x v="0"/>
          </reference>
        </references>
      </pivotArea>
    </format>
    <format dxfId="239">
      <pivotArea dataOnly="0" labelOnly="1" outline="0" fieldPosition="0">
        <references count="3">
          <reference field="0" count="1" selected="0">
            <x v="0"/>
          </reference>
          <reference field="6" count="1" selected="0">
            <x v="2"/>
          </reference>
          <reference field="7" count="1">
            <x v="0"/>
          </reference>
        </references>
      </pivotArea>
    </format>
    <format dxfId="238">
      <pivotArea dataOnly="0" labelOnly="1" outline="0" fieldPosition="0">
        <references count="3">
          <reference field="0" count="1" selected="0">
            <x v="3"/>
          </reference>
          <reference field="6" count="1" selected="0">
            <x v="1"/>
          </reference>
          <reference field="7" count="1">
            <x v="1"/>
          </reference>
        </references>
      </pivotArea>
    </format>
    <format dxfId="237">
      <pivotArea dataOnly="0" labelOnly="1" outline="0" fieldPosition="0">
        <references count="3">
          <reference field="0" count="1" selected="0">
            <x v="4"/>
          </reference>
          <reference field="6" count="1" selected="0">
            <x v="2"/>
          </reference>
          <reference field="7" count="1">
            <x v="0"/>
          </reference>
        </references>
      </pivotArea>
    </format>
    <format dxfId="236">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235">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234">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233">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232">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231">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230">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229">
      <pivotArea type="all" dataOnly="0" outline="0" fieldPosition="0"/>
    </format>
    <format dxfId="228">
      <pivotArea outline="0" collapsedLevelsAreSubtotals="1" fieldPosition="0"/>
    </format>
    <format dxfId="227">
      <pivotArea field="0" type="button" dataOnly="0" labelOnly="1" outline="0" axis="axisRow" fieldPosition="0"/>
    </format>
    <format dxfId="226">
      <pivotArea field="6" type="button" dataOnly="0" labelOnly="1" outline="0" axis="axisRow" fieldPosition="1"/>
    </format>
    <format dxfId="225">
      <pivotArea field="7" type="button" dataOnly="0" labelOnly="1" outline="0" axis="axisRow" fieldPosition="2"/>
    </format>
    <format dxfId="224">
      <pivotArea field="2" type="button" dataOnly="0" labelOnly="1" outline="0" axis="axisRow" fieldPosition="3"/>
    </format>
    <format dxfId="223">
      <pivotArea dataOnly="0" labelOnly="1" outline="0" fieldPosition="0">
        <references count="1">
          <reference field="0" count="7">
            <x v="0"/>
            <x v="1"/>
            <x v="2"/>
            <x v="3"/>
            <x v="4"/>
            <x v="5"/>
            <x v="6"/>
          </reference>
        </references>
      </pivotArea>
    </format>
    <format dxfId="222">
      <pivotArea dataOnly="0" labelOnly="1" grandRow="1" outline="0" fieldPosition="0"/>
    </format>
    <format dxfId="221">
      <pivotArea dataOnly="0" labelOnly="1" outline="0" fieldPosition="0">
        <references count="2">
          <reference field="0" count="1" selected="0">
            <x v="0"/>
          </reference>
          <reference field="6" count="1">
            <x v="2"/>
          </reference>
        </references>
      </pivotArea>
    </format>
    <format dxfId="220">
      <pivotArea dataOnly="0" labelOnly="1" outline="0" fieldPosition="0">
        <references count="2">
          <reference field="0" count="1" selected="0">
            <x v="1"/>
          </reference>
          <reference field="6" count="1">
            <x v="0"/>
          </reference>
        </references>
      </pivotArea>
    </format>
    <format dxfId="219">
      <pivotArea dataOnly="0" labelOnly="1" outline="0" fieldPosition="0">
        <references count="2">
          <reference field="0" count="1" selected="0">
            <x v="3"/>
          </reference>
          <reference field="6" count="1">
            <x v="1"/>
          </reference>
        </references>
      </pivotArea>
    </format>
    <format dxfId="218">
      <pivotArea dataOnly="0" labelOnly="1" outline="0" fieldPosition="0">
        <references count="2">
          <reference field="0" count="1" selected="0">
            <x v="4"/>
          </reference>
          <reference field="6" count="1">
            <x v="2"/>
          </reference>
        </references>
      </pivotArea>
    </format>
    <format dxfId="217">
      <pivotArea dataOnly="0" labelOnly="1" outline="0" fieldPosition="0">
        <references count="2">
          <reference field="0" count="1" selected="0">
            <x v="6"/>
          </reference>
          <reference field="6" count="1">
            <x v="0"/>
          </reference>
        </references>
      </pivotArea>
    </format>
    <format dxfId="216">
      <pivotArea dataOnly="0" labelOnly="1" outline="0" fieldPosition="0">
        <references count="3">
          <reference field="0" count="1" selected="0">
            <x v="0"/>
          </reference>
          <reference field="6" count="1" selected="0">
            <x v="2"/>
          </reference>
          <reference field="7" count="1">
            <x v="0"/>
          </reference>
        </references>
      </pivotArea>
    </format>
    <format dxfId="215">
      <pivotArea dataOnly="0" labelOnly="1" outline="0" fieldPosition="0">
        <references count="3">
          <reference field="0" count="1" selected="0">
            <x v="3"/>
          </reference>
          <reference field="6" count="1" selected="0">
            <x v="1"/>
          </reference>
          <reference field="7" count="1">
            <x v="1"/>
          </reference>
        </references>
      </pivotArea>
    </format>
    <format dxfId="214">
      <pivotArea dataOnly="0" labelOnly="1" outline="0" fieldPosition="0">
        <references count="3">
          <reference field="0" count="1" selected="0">
            <x v="4"/>
          </reference>
          <reference field="6" count="1" selected="0">
            <x v="2"/>
          </reference>
          <reference field="7" count="1">
            <x v="0"/>
          </reference>
        </references>
      </pivotArea>
    </format>
    <format dxfId="213">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212">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211">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210">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209">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208">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207">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206">
      <pivotArea dataOnly="0" labelOnly="1" outline="0" fieldPosition="0">
        <references count="1">
          <reference field="6" count="0"/>
        </references>
      </pivotArea>
    </format>
    <format dxfId="205">
      <pivotArea dataOnly="0" labelOnly="1" outline="0" fieldPosition="0">
        <references count="1">
          <reference field="6" count="0"/>
        </references>
      </pivotArea>
    </format>
    <format dxfId="204">
      <pivotArea dataOnly="0" labelOnly="1" outline="0" fieldPosition="0">
        <references count="1">
          <reference field="6" count="0"/>
        </references>
      </pivotArea>
    </format>
    <format dxfId="203">
      <pivotArea dataOnly="0" labelOnly="1" outline="0" fieldPosition="0">
        <references count="1">
          <reference field="6" count="0"/>
        </references>
      </pivotArea>
    </format>
    <format dxfId="202">
      <pivotArea type="all" dataOnly="0" outline="0" fieldPosition="0"/>
    </format>
    <format dxfId="201">
      <pivotArea outline="0" collapsedLevelsAreSubtotals="1" fieldPosition="0"/>
    </format>
    <format dxfId="200">
      <pivotArea field="0" type="button" dataOnly="0" labelOnly="1" outline="0" axis="axisRow" fieldPosition="0"/>
    </format>
    <format dxfId="199">
      <pivotArea field="6" type="button" dataOnly="0" labelOnly="1" outline="0" axis="axisRow" fieldPosition="1"/>
    </format>
    <format dxfId="198">
      <pivotArea field="7" type="button" dataOnly="0" labelOnly="1" outline="0" axis="axisRow" fieldPosition="2"/>
    </format>
    <format dxfId="197">
      <pivotArea field="2" type="button" dataOnly="0" labelOnly="1" outline="0" axis="axisRow" fieldPosition="3"/>
    </format>
    <format dxfId="196">
      <pivotArea dataOnly="0" labelOnly="1" outline="0" fieldPosition="0">
        <references count="1">
          <reference field="0" count="7">
            <x v="0"/>
            <x v="1"/>
            <x v="2"/>
            <x v="3"/>
            <x v="4"/>
            <x v="5"/>
            <x v="6"/>
          </reference>
        </references>
      </pivotArea>
    </format>
    <format dxfId="195">
      <pivotArea dataOnly="0" labelOnly="1" grandRow="1" outline="0" fieldPosition="0"/>
    </format>
    <format dxfId="194">
      <pivotArea dataOnly="0" labelOnly="1" outline="0" fieldPosition="0">
        <references count="2">
          <reference field="0" count="1" selected="0">
            <x v="0"/>
          </reference>
          <reference field="6" count="1">
            <x v="2"/>
          </reference>
        </references>
      </pivotArea>
    </format>
    <format dxfId="193">
      <pivotArea dataOnly="0" labelOnly="1" outline="0" fieldPosition="0">
        <references count="2">
          <reference field="0" count="1" selected="0">
            <x v="1"/>
          </reference>
          <reference field="6" count="1">
            <x v="0"/>
          </reference>
        </references>
      </pivotArea>
    </format>
    <format dxfId="192">
      <pivotArea dataOnly="0" labelOnly="1" outline="0" fieldPosition="0">
        <references count="2">
          <reference field="0" count="1" selected="0">
            <x v="3"/>
          </reference>
          <reference field="6" count="1">
            <x v="1"/>
          </reference>
        </references>
      </pivotArea>
    </format>
    <format dxfId="191">
      <pivotArea dataOnly="0" labelOnly="1" outline="0" fieldPosition="0">
        <references count="2">
          <reference field="0" count="1" selected="0">
            <x v="4"/>
          </reference>
          <reference field="6" count="1">
            <x v="2"/>
          </reference>
        </references>
      </pivotArea>
    </format>
    <format dxfId="190">
      <pivotArea dataOnly="0" labelOnly="1" outline="0" fieldPosition="0">
        <references count="2">
          <reference field="0" count="1" selected="0">
            <x v="6"/>
          </reference>
          <reference field="6" count="1">
            <x v="0"/>
          </reference>
        </references>
      </pivotArea>
    </format>
    <format dxfId="189">
      <pivotArea dataOnly="0" labelOnly="1" outline="0" fieldPosition="0">
        <references count="3">
          <reference field="0" count="1" selected="0">
            <x v="0"/>
          </reference>
          <reference field="6" count="1" selected="0">
            <x v="2"/>
          </reference>
          <reference field="7" count="1">
            <x v="0"/>
          </reference>
        </references>
      </pivotArea>
    </format>
    <format dxfId="188">
      <pivotArea dataOnly="0" labelOnly="1" outline="0" fieldPosition="0">
        <references count="3">
          <reference field="0" count="1" selected="0">
            <x v="3"/>
          </reference>
          <reference field="6" count="1" selected="0">
            <x v="1"/>
          </reference>
          <reference field="7" count="1">
            <x v="1"/>
          </reference>
        </references>
      </pivotArea>
    </format>
    <format dxfId="187">
      <pivotArea dataOnly="0" labelOnly="1" outline="0" fieldPosition="0">
        <references count="3">
          <reference field="0" count="1" selected="0">
            <x v="4"/>
          </reference>
          <reference field="6" count="1" selected="0">
            <x v="2"/>
          </reference>
          <reference field="7" count="1">
            <x v="0"/>
          </reference>
        </references>
      </pivotArea>
    </format>
    <format dxfId="186">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85">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84">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83">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82">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81">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80">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79">
      <pivotArea type="all" dataOnly="0" outline="0" fieldPosition="0"/>
    </format>
    <format dxfId="178">
      <pivotArea outline="0" collapsedLevelsAreSubtotals="1" fieldPosition="0"/>
    </format>
    <format dxfId="177">
      <pivotArea field="0" type="button" dataOnly="0" labelOnly="1" outline="0" axis="axisRow" fieldPosition="0"/>
    </format>
    <format dxfId="176">
      <pivotArea field="6" type="button" dataOnly="0" labelOnly="1" outline="0" axis="axisRow" fieldPosition="1"/>
    </format>
    <format dxfId="175">
      <pivotArea field="7" type="button" dataOnly="0" labelOnly="1" outline="0" axis="axisRow" fieldPosition="2"/>
    </format>
    <format dxfId="174">
      <pivotArea field="2" type="button" dataOnly="0" labelOnly="1" outline="0" axis="axisRow" fieldPosition="3"/>
    </format>
    <format dxfId="173">
      <pivotArea dataOnly="0" labelOnly="1" outline="0" fieldPosition="0">
        <references count="1">
          <reference field="0" count="7">
            <x v="0"/>
            <x v="1"/>
            <x v="2"/>
            <x v="3"/>
            <x v="4"/>
            <x v="5"/>
            <x v="6"/>
          </reference>
        </references>
      </pivotArea>
    </format>
    <format dxfId="172">
      <pivotArea dataOnly="0" labelOnly="1" grandRow="1" outline="0" fieldPosition="0"/>
    </format>
    <format dxfId="171">
      <pivotArea dataOnly="0" labelOnly="1" outline="0" fieldPosition="0">
        <references count="2">
          <reference field="0" count="1" selected="0">
            <x v="0"/>
          </reference>
          <reference field="6" count="1">
            <x v="2"/>
          </reference>
        </references>
      </pivotArea>
    </format>
    <format dxfId="170">
      <pivotArea dataOnly="0" labelOnly="1" outline="0" fieldPosition="0">
        <references count="2">
          <reference field="0" count="1" selected="0">
            <x v="1"/>
          </reference>
          <reference field="6" count="1">
            <x v="0"/>
          </reference>
        </references>
      </pivotArea>
    </format>
    <format dxfId="169">
      <pivotArea dataOnly="0" labelOnly="1" outline="0" fieldPosition="0">
        <references count="2">
          <reference field="0" count="1" selected="0">
            <x v="3"/>
          </reference>
          <reference field="6" count="1">
            <x v="1"/>
          </reference>
        </references>
      </pivotArea>
    </format>
    <format dxfId="168">
      <pivotArea dataOnly="0" labelOnly="1" outline="0" fieldPosition="0">
        <references count="2">
          <reference field="0" count="1" selected="0">
            <x v="4"/>
          </reference>
          <reference field="6" count="1">
            <x v="2"/>
          </reference>
        </references>
      </pivotArea>
    </format>
    <format dxfId="167">
      <pivotArea dataOnly="0" labelOnly="1" outline="0" fieldPosition="0">
        <references count="2">
          <reference field="0" count="1" selected="0">
            <x v="6"/>
          </reference>
          <reference field="6" count="1">
            <x v="0"/>
          </reference>
        </references>
      </pivotArea>
    </format>
    <format dxfId="166">
      <pivotArea dataOnly="0" labelOnly="1" outline="0" fieldPosition="0">
        <references count="3">
          <reference field="0" count="1" selected="0">
            <x v="0"/>
          </reference>
          <reference field="6" count="1" selected="0">
            <x v="2"/>
          </reference>
          <reference field="7" count="1">
            <x v="0"/>
          </reference>
        </references>
      </pivotArea>
    </format>
    <format dxfId="165">
      <pivotArea dataOnly="0" labelOnly="1" outline="0" fieldPosition="0">
        <references count="3">
          <reference field="0" count="1" selected="0">
            <x v="3"/>
          </reference>
          <reference field="6" count="1" selected="0">
            <x v="1"/>
          </reference>
          <reference field="7" count="1">
            <x v="1"/>
          </reference>
        </references>
      </pivotArea>
    </format>
    <format dxfId="164">
      <pivotArea dataOnly="0" labelOnly="1" outline="0" fieldPosition="0">
        <references count="3">
          <reference field="0" count="1" selected="0">
            <x v="4"/>
          </reference>
          <reference field="6" count="1" selected="0">
            <x v="2"/>
          </reference>
          <reference field="7" count="1">
            <x v="0"/>
          </reference>
        </references>
      </pivotArea>
    </format>
    <format dxfId="163">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62">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61">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60">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59">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58">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57">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56">
      <pivotArea field="0" type="button" dataOnly="0" labelOnly="1" outline="0" axis="axisRow" fieldPosition="0"/>
    </format>
    <format dxfId="155">
      <pivotArea field="6" type="button" dataOnly="0" labelOnly="1" outline="0" axis="axisRow" fieldPosition="1"/>
    </format>
    <format dxfId="154">
      <pivotArea field="7" type="button" dataOnly="0" labelOnly="1" outline="0" axis="axisRow" fieldPosition="2"/>
    </format>
    <format dxfId="153">
      <pivotArea field="2" type="button" dataOnly="0" labelOnly="1" outline="0" axis="axisRow" fieldPosition="3"/>
    </format>
    <format dxfId="152">
      <pivotArea grandRow="1" outline="0" collapsedLevelsAreSubtotals="1" fieldPosition="0"/>
    </format>
    <format dxfId="151">
      <pivotArea dataOnly="0" labelOnly="1" grandRow="1" outline="0" fieldPosition="0"/>
    </format>
    <format dxfId="150">
      <pivotArea type="all" dataOnly="0" outline="0" fieldPosition="0"/>
    </format>
    <format dxfId="149">
      <pivotArea outline="0" collapsedLevelsAreSubtotals="1" fieldPosition="0"/>
    </format>
    <format dxfId="148">
      <pivotArea field="0" type="button" dataOnly="0" labelOnly="1" outline="0" axis="axisRow" fieldPosition="0"/>
    </format>
    <format dxfId="147">
      <pivotArea field="6" type="button" dataOnly="0" labelOnly="1" outline="0" axis="axisRow" fieldPosition="1"/>
    </format>
    <format dxfId="146">
      <pivotArea field="7" type="button" dataOnly="0" labelOnly="1" outline="0" axis="axisRow" fieldPosition="2"/>
    </format>
    <format dxfId="145">
      <pivotArea field="2" type="button" dataOnly="0" labelOnly="1" outline="0" axis="axisRow" fieldPosition="3"/>
    </format>
    <format dxfId="144">
      <pivotArea dataOnly="0" labelOnly="1" outline="0" fieldPosition="0">
        <references count="1">
          <reference field="0" count="7">
            <x v="0"/>
            <x v="1"/>
            <x v="2"/>
            <x v="3"/>
            <x v="4"/>
            <x v="5"/>
            <x v="6"/>
          </reference>
        </references>
      </pivotArea>
    </format>
    <format dxfId="143">
      <pivotArea dataOnly="0" labelOnly="1" grandRow="1" outline="0" fieldPosition="0"/>
    </format>
    <format dxfId="142">
      <pivotArea dataOnly="0" labelOnly="1" outline="0" fieldPosition="0">
        <references count="2">
          <reference field="0" count="1" selected="0">
            <x v="0"/>
          </reference>
          <reference field="6" count="1">
            <x v="2"/>
          </reference>
        </references>
      </pivotArea>
    </format>
    <format dxfId="141">
      <pivotArea dataOnly="0" labelOnly="1" outline="0" fieldPosition="0">
        <references count="2">
          <reference field="0" count="1" selected="0">
            <x v="1"/>
          </reference>
          <reference field="6" count="1">
            <x v="0"/>
          </reference>
        </references>
      </pivotArea>
    </format>
    <format dxfId="140">
      <pivotArea dataOnly="0" labelOnly="1" outline="0" fieldPosition="0">
        <references count="2">
          <reference field="0" count="1" selected="0">
            <x v="3"/>
          </reference>
          <reference field="6" count="1">
            <x v="1"/>
          </reference>
        </references>
      </pivotArea>
    </format>
    <format dxfId="139">
      <pivotArea dataOnly="0" labelOnly="1" outline="0" fieldPosition="0">
        <references count="2">
          <reference field="0" count="1" selected="0">
            <x v="4"/>
          </reference>
          <reference field="6" count="1">
            <x v="2"/>
          </reference>
        </references>
      </pivotArea>
    </format>
    <format dxfId="138">
      <pivotArea dataOnly="0" labelOnly="1" outline="0" fieldPosition="0">
        <references count="2">
          <reference field="0" count="1" selected="0">
            <x v="6"/>
          </reference>
          <reference field="6" count="1">
            <x v="0"/>
          </reference>
        </references>
      </pivotArea>
    </format>
    <format dxfId="137">
      <pivotArea dataOnly="0" labelOnly="1" outline="0" fieldPosition="0">
        <references count="3">
          <reference field="0" count="1" selected="0">
            <x v="0"/>
          </reference>
          <reference field="6" count="1" selected="0">
            <x v="2"/>
          </reference>
          <reference field="7" count="1">
            <x v="0"/>
          </reference>
        </references>
      </pivotArea>
    </format>
    <format dxfId="136">
      <pivotArea dataOnly="0" labelOnly="1" outline="0" fieldPosition="0">
        <references count="3">
          <reference field="0" count="1" selected="0">
            <x v="3"/>
          </reference>
          <reference field="6" count="1" selected="0">
            <x v="1"/>
          </reference>
          <reference field="7" count="1">
            <x v="1"/>
          </reference>
        </references>
      </pivotArea>
    </format>
    <format dxfId="135">
      <pivotArea dataOnly="0" labelOnly="1" outline="0" fieldPosition="0">
        <references count="3">
          <reference field="0" count="1" selected="0">
            <x v="4"/>
          </reference>
          <reference field="6" count="1" selected="0">
            <x v="2"/>
          </reference>
          <reference field="7" count="1">
            <x v="0"/>
          </reference>
        </references>
      </pivotArea>
    </format>
    <format dxfId="134">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33">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32">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31">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30">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29">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28">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27">
      <pivotArea type="all" dataOnly="0" outline="0" fieldPosition="0"/>
    </format>
    <format dxfId="126">
      <pivotArea outline="0" collapsedLevelsAreSubtotals="1" fieldPosition="0"/>
    </format>
    <format dxfId="125">
      <pivotArea field="0" type="button" dataOnly="0" labelOnly="1" outline="0" axis="axisRow" fieldPosition="0"/>
    </format>
    <format dxfId="124">
      <pivotArea field="6" type="button" dataOnly="0" labelOnly="1" outline="0" axis="axisRow" fieldPosition="1"/>
    </format>
    <format dxfId="123">
      <pivotArea field="7" type="button" dataOnly="0" labelOnly="1" outline="0" axis="axisRow" fieldPosition="2"/>
    </format>
    <format dxfId="122">
      <pivotArea field="2" type="button" dataOnly="0" labelOnly="1" outline="0" axis="axisRow" fieldPosition="3"/>
    </format>
    <format dxfId="121">
      <pivotArea dataOnly="0" labelOnly="1" outline="0" fieldPosition="0">
        <references count="1">
          <reference field="0" count="7">
            <x v="0"/>
            <x v="1"/>
            <x v="2"/>
            <x v="3"/>
            <x v="4"/>
            <x v="5"/>
            <x v="6"/>
          </reference>
        </references>
      </pivotArea>
    </format>
    <format dxfId="120">
      <pivotArea dataOnly="0" labelOnly="1" grandRow="1" outline="0" fieldPosition="0"/>
    </format>
    <format dxfId="119">
      <pivotArea dataOnly="0" labelOnly="1" outline="0" fieldPosition="0">
        <references count="2">
          <reference field="0" count="1" selected="0">
            <x v="0"/>
          </reference>
          <reference field="6" count="1">
            <x v="2"/>
          </reference>
        </references>
      </pivotArea>
    </format>
    <format dxfId="118">
      <pivotArea dataOnly="0" labelOnly="1" outline="0" fieldPosition="0">
        <references count="2">
          <reference field="0" count="1" selected="0">
            <x v="1"/>
          </reference>
          <reference field="6" count="1">
            <x v="0"/>
          </reference>
        </references>
      </pivotArea>
    </format>
    <format dxfId="117">
      <pivotArea dataOnly="0" labelOnly="1" outline="0" fieldPosition="0">
        <references count="2">
          <reference field="0" count="1" selected="0">
            <x v="3"/>
          </reference>
          <reference field="6" count="1">
            <x v="1"/>
          </reference>
        </references>
      </pivotArea>
    </format>
    <format dxfId="116">
      <pivotArea dataOnly="0" labelOnly="1" outline="0" fieldPosition="0">
        <references count="2">
          <reference field="0" count="1" selected="0">
            <x v="4"/>
          </reference>
          <reference field="6" count="1">
            <x v="2"/>
          </reference>
        </references>
      </pivotArea>
    </format>
    <format dxfId="115">
      <pivotArea dataOnly="0" labelOnly="1" outline="0" fieldPosition="0">
        <references count="2">
          <reference field="0" count="1" selected="0">
            <x v="6"/>
          </reference>
          <reference field="6" count="1">
            <x v="0"/>
          </reference>
        </references>
      </pivotArea>
    </format>
    <format dxfId="114">
      <pivotArea dataOnly="0" labelOnly="1" outline="0" fieldPosition="0">
        <references count="3">
          <reference field="0" count="1" selected="0">
            <x v="0"/>
          </reference>
          <reference field="6" count="1" selected="0">
            <x v="2"/>
          </reference>
          <reference field="7" count="1">
            <x v="0"/>
          </reference>
        </references>
      </pivotArea>
    </format>
    <format dxfId="113">
      <pivotArea dataOnly="0" labelOnly="1" outline="0" fieldPosition="0">
        <references count="3">
          <reference field="0" count="1" selected="0">
            <x v="3"/>
          </reference>
          <reference field="6" count="1" selected="0">
            <x v="1"/>
          </reference>
          <reference field="7" count="1">
            <x v="1"/>
          </reference>
        </references>
      </pivotArea>
    </format>
    <format dxfId="112">
      <pivotArea dataOnly="0" labelOnly="1" outline="0" fieldPosition="0">
        <references count="3">
          <reference field="0" count="1" selected="0">
            <x v="4"/>
          </reference>
          <reference field="6" count="1" selected="0">
            <x v="2"/>
          </reference>
          <reference field="7" count="1">
            <x v="0"/>
          </reference>
        </references>
      </pivotArea>
    </format>
    <format dxfId="111">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110">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109">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108">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107">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106">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105">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104">
      <pivotArea outline="0" fieldPosition="0">
        <references count="1">
          <reference field="4294967294" count="3" selected="0">
            <x v="3"/>
            <x v="9"/>
            <x v="10"/>
          </reference>
        </references>
      </pivotArea>
    </format>
    <format dxfId="103">
      <pivotArea outline="0" fieldPosition="0">
        <references count="1">
          <reference field="4294967294" count="1" selected="0">
            <x v="11"/>
          </reference>
        </references>
      </pivotArea>
    </format>
    <format dxfId="102">
      <pivotArea dataOnly="0" outline="0" fieldPosition="0">
        <references count="1">
          <reference field="4294967294" count="4">
            <x v="3"/>
            <x v="9"/>
            <x v="10"/>
            <x v="11"/>
          </reference>
        </references>
      </pivotArea>
    </format>
    <format dxfId="101">
      <pivotArea dataOnly="0" outline="0" fieldPosition="0">
        <references count="1">
          <reference field="4294967294" count="4">
            <x v="3"/>
            <x v="9"/>
            <x v="10"/>
            <x v="11"/>
          </reference>
        </references>
      </pivotArea>
    </format>
    <format dxfId="100">
      <pivotArea dataOnly="0" outline="0" fieldPosition="0">
        <references count="1">
          <reference field="4294967294" count="4">
            <x v="3"/>
            <x v="9"/>
            <x v="10"/>
            <x v="11"/>
          </reference>
        </references>
      </pivotArea>
    </format>
    <format dxfId="99">
      <pivotArea outline="0" collapsedLevelsAreSubtotals="1" fieldPosition="0"/>
    </format>
    <format dxfId="98">
      <pivotArea dataOnly="0" labelOnly="1" outline="0" fieldPosition="0">
        <references count="1">
          <reference field="4294967294" count="9">
            <x v="3"/>
            <x v="4"/>
            <x v="5"/>
            <x v="6"/>
            <x v="7"/>
            <x v="8"/>
            <x v="9"/>
            <x v="10"/>
            <x v="11"/>
          </reference>
        </references>
      </pivotArea>
    </format>
    <format dxfId="97">
      <pivotArea outline="0" fieldPosition="0">
        <references count="1">
          <reference field="4294967294" count="1" selected="0">
            <x v="2"/>
          </reference>
        </references>
      </pivotArea>
    </format>
    <format dxfId="96">
      <pivotArea field="0" grandRow="1" outline="0" axis="axisRow" fieldPosition="0">
        <references count="1">
          <reference field="4294967294" count="1" selected="0">
            <x v="2"/>
          </reference>
        </references>
      </pivotArea>
    </format>
    <format dxfId="95">
      <pivotArea field="0" grandRow="1" outline="0" axis="axisRow" fieldPosition="0">
        <references count="1">
          <reference field="4294967294" count="1" selected="0">
            <x v="2"/>
          </reference>
        </references>
      </pivotArea>
    </format>
    <format dxfId="94">
      <pivotArea field="0" grandRow="1" outline="0" axis="axisRow" fieldPosition="0">
        <references count="1">
          <reference field="4294967294" count="1" selected="0">
            <x v="2"/>
          </reference>
        </references>
      </pivotArea>
    </format>
    <format dxfId="93">
      <pivotArea field="0" grandRow="1" outline="0" axis="axisRow" fieldPosition="0">
        <references count="1">
          <reference field="4294967294" count="1" selected="0">
            <x v="2"/>
          </reference>
        </references>
      </pivotArea>
    </format>
    <format dxfId="92">
      <pivotArea field="0" grandRow="1" outline="0" axis="axisRow" fieldPosition="0">
        <references count="1">
          <reference field="4294967294" count="1" selected="0">
            <x v="2"/>
          </reference>
        </references>
      </pivotArea>
    </format>
    <format dxfId="91">
      <pivotArea field="10" type="button" dataOnly="0" labelOnly="1" outline="0" axis="axisPage" fieldPosition="0"/>
    </format>
    <format dxfId="90">
      <pivotArea field="10" type="button" dataOnly="0" labelOnly="1" outline="0" axis="axisPage" fieldPosition="0"/>
    </format>
    <format dxfId="89">
      <pivotArea field="10" type="button" dataOnly="0" labelOnly="1" outline="0" axis="axisPage" fieldPosition="0"/>
    </format>
    <format dxfId="88">
      <pivotArea type="all" dataOnly="0" outline="0" fieldPosition="0"/>
    </format>
    <format dxfId="87">
      <pivotArea outline="0" collapsedLevelsAreSubtotals="1" fieldPosition="0"/>
    </format>
    <format dxfId="86">
      <pivotArea field="0" type="button" dataOnly="0" labelOnly="1" outline="0" axis="axisRow" fieldPosition="0"/>
    </format>
    <format dxfId="85">
      <pivotArea field="6" type="button" dataOnly="0" labelOnly="1" outline="0" axis="axisRow" fieldPosition="1"/>
    </format>
    <format dxfId="84">
      <pivotArea field="7" type="button" dataOnly="0" labelOnly="1" outline="0" axis="axisRow" fieldPosition="2"/>
    </format>
    <format dxfId="83">
      <pivotArea field="2" type="button" dataOnly="0" labelOnly="1" outline="0" axis="axisRow" fieldPosition="3"/>
    </format>
    <format dxfId="82">
      <pivotArea dataOnly="0" labelOnly="1" grandRow="1" outline="0" fieldPosition="0"/>
    </format>
    <format dxfId="81">
      <pivotArea dataOnly="0" labelOnly="1" outline="0" fieldPosition="0">
        <references count="1">
          <reference field="4294967294" count="12">
            <x v="0"/>
            <x v="1"/>
            <x v="2"/>
            <x v="3"/>
            <x v="4"/>
            <x v="5"/>
            <x v="6"/>
            <x v="7"/>
            <x v="8"/>
            <x v="9"/>
            <x v="10"/>
            <x v="11"/>
          </reference>
        </references>
      </pivotArea>
    </format>
    <format dxfId="80">
      <pivotArea field="10" type="button" dataOnly="0" labelOnly="1" outline="0" axis="axisPage" fieldPosition="0"/>
    </format>
    <format dxfId="79">
      <pivotArea field="10" type="button" dataOnly="0" labelOnly="1" outline="0" axis="axisPage" fieldPosition="0"/>
    </format>
    <format dxfId="78">
      <pivotArea field="10" type="button" dataOnly="0" labelOnly="1" outline="0" axis="axisPage" fieldPosition="0"/>
    </format>
    <format dxfId="77">
      <pivotArea type="all" dataOnly="0" outline="0" fieldPosition="0"/>
    </format>
    <format dxfId="76">
      <pivotArea outline="0" collapsedLevelsAreSubtotals="1" fieldPosition="0"/>
    </format>
    <format dxfId="75">
      <pivotArea field="0" type="button" dataOnly="0" labelOnly="1" outline="0" axis="axisRow" fieldPosition="0"/>
    </format>
    <format dxfId="74">
      <pivotArea field="6" type="button" dataOnly="0" labelOnly="1" outline="0" axis="axisRow" fieldPosition="1"/>
    </format>
    <format dxfId="73">
      <pivotArea field="7" type="button" dataOnly="0" labelOnly="1" outline="0" axis="axisRow" fieldPosition="2"/>
    </format>
    <format dxfId="72">
      <pivotArea field="2" type="button" dataOnly="0" labelOnly="1" outline="0" axis="axisRow" fieldPosition="3"/>
    </format>
    <format dxfId="71">
      <pivotArea dataOnly="0" labelOnly="1" grandRow="1" outline="0" fieldPosition="0"/>
    </format>
    <format dxfId="70">
      <pivotArea dataOnly="0" labelOnly="1" outline="0" fieldPosition="0">
        <references count="1">
          <reference field="4294967294" count="12">
            <x v="0"/>
            <x v="1"/>
            <x v="2"/>
            <x v="3"/>
            <x v="4"/>
            <x v="5"/>
            <x v="6"/>
            <x v="7"/>
            <x v="8"/>
            <x v="9"/>
            <x v="10"/>
            <x v="11"/>
          </reference>
        </references>
      </pivotArea>
    </format>
    <format dxfId="69">
      <pivotArea type="all" dataOnly="0" outline="0" fieldPosition="0"/>
    </format>
    <format dxfId="68">
      <pivotArea outline="0" collapsedLevelsAreSubtotals="1" fieldPosition="0"/>
    </format>
    <format dxfId="67">
      <pivotArea field="0" type="button" dataOnly="0" labelOnly="1" outline="0" axis="axisRow" fieldPosition="0"/>
    </format>
    <format dxfId="66">
      <pivotArea field="6" type="button" dataOnly="0" labelOnly="1" outline="0" axis="axisRow" fieldPosition="1"/>
    </format>
    <format dxfId="65">
      <pivotArea field="7" type="button" dataOnly="0" labelOnly="1" outline="0" axis="axisRow" fieldPosition="2"/>
    </format>
    <format dxfId="64">
      <pivotArea field="2" type="button" dataOnly="0" labelOnly="1" outline="0" axis="axisRow" fieldPosition="3"/>
    </format>
    <format dxfId="63">
      <pivotArea dataOnly="0" labelOnly="1" grandRow="1" outline="0" fieldPosition="0"/>
    </format>
    <format dxfId="62">
      <pivotArea dataOnly="0" labelOnly="1" outline="0" fieldPosition="0">
        <references count="1">
          <reference field="4294967294" count="12">
            <x v="0"/>
            <x v="1"/>
            <x v="2"/>
            <x v="3"/>
            <x v="4"/>
            <x v="5"/>
            <x v="6"/>
            <x v="7"/>
            <x v="8"/>
            <x v="9"/>
            <x v="10"/>
            <x v="11"/>
          </reference>
        </references>
      </pivotArea>
    </format>
    <format dxfId="61">
      <pivotArea field="10" type="button" dataOnly="0" labelOnly="1" outline="0" axis="axisPage" fieldPosition="0"/>
    </format>
    <format dxfId="60">
      <pivotArea dataOnly="0" labelOnly="1" outline="0" fieldPosition="0">
        <references count="1">
          <reference field="10"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PivotTable8" cacheId="16" applyNumberFormats="0" applyBorderFormats="0" applyFontFormats="0" applyPatternFormats="0" applyAlignmentFormats="0" applyWidthHeightFormats="1" dataCaption="Werte" grandTotalCaption="Total" updatedVersion="6" minRefreshableVersion="3" showDrill="0" useAutoFormatting="1" itemPrintTitles="1" createdVersion="6" indent="0" compact="0" compactData="0" multipleFieldFilters="0">
  <location ref="B505:Q543" firstHeaderRow="0" firstDataRow="1" firstDataCol="4" rowPageCount="1" colPageCount="1"/>
  <pivotFields count="118">
    <pivotField axis="axisRow" compact="0" outline="0" showAll="0" defaultSubtotal="0">
      <items count="200">
        <item x="83"/>
        <item x="119"/>
        <item x="122"/>
        <item x="130"/>
        <item x="137"/>
        <item x="138"/>
        <item x="172"/>
        <item x="182"/>
        <item x="84"/>
        <item x="120"/>
        <item x="167"/>
        <item x="82"/>
        <item x="164"/>
        <item x="103"/>
        <item x="67"/>
        <item x="142"/>
        <item x="89"/>
        <item x="163"/>
        <item x="179"/>
        <item x="178"/>
        <item x="53"/>
        <item x="50"/>
        <item x="70"/>
        <item x="139"/>
        <item x="147"/>
        <item x="176"/>
        <item x="54"/>
        <item x="64"/>
        <item x="126"/>
        <item x="170"/>
        <item x="117"/>
        <item x="141"/>
        <item x="128"/>
        <item x="127"/>
        <item x="136"/>
        <item x="156"/>
        <item x="192"/>
        <item x="123"/>
        <item x="116"/>
        <item x="149"/>
        <item x="55"/>
        <item x="92"/>
        <item x="146"/>
        <item x="77"/>
        <item x="129"/>
        <item x="60"/>
        <item x="68"/>
        <item x="193"/>
        <item x="150"/>
        <item x="57"/>
        <item x="181"/>
        <item x="78"/>
        <item x="155"/>
        <item x="159"/>
        <item x="132"/>
        <item x="104"/>
        <item x="74"/>
        <item x="111"/>
        <item x="110"/>
        <item x="109"/>
        <item x="189"/>
        <item x="190"/>
        <item x="154"/>
        <item x="165"/>
        <item x="188"/>
        <item x="186"/>
        <item x="187"/>
        <item x="69"/>
        <item x="95"/>
        <item x="62"/>
        <item x="166"/>
        <item x="56"/>
        <item x="65"/>
        <item x="152"/>
        <item x="58"/>
        <item x="195"/>
        <item x="90"/>
        <item x="114"/>
        <item x="108"/>
        <item x="63"/>
        <item m="1" x="199"/>
        <item x="71"/>
        <item x="88"/>
        <item x="52"/>
        <item x="85"/>
        <item x="153"/>
        <item x="135"/>
        <item x="196"/>
        <item x="133"/>
        <item x="162"/>
        <item x="59"/>
        <item x="87"/>
        <item x="76"/>
        <item x="184"/>
        <item x="158"/>
        <item x="161"/>
        <item x="113"/>
        <item x="173"/>
        <item x="125"/>
        <item x="180"/>
        <item x="171"/>
        <item x="140"/>
        <item x="73"/>
        <item x="91"/>
        <item x="194"/>
        <item x="177"/>
        <item x="97"/>
        <item x="144"/>
        <item x="106"/>
        <item x="105"/>
        <item x="100"/>
        <item x="183"/>
        <item x="148"/>
        <item x="75"/>
        <item x="102"/>
        <item x="143"/>
        <item x="51"/>
        <item x="107"/>
        <item x="157"/>
        <item x="168"/>
        <item x="93"/>
        <item x="66"/>
        <item x="160"/>
        <item x="121"/>
        <item x="79"/>
        <item x="96"/>
        <item x="101"/>
        <item x="151"/>
        <item x="198"/>
        <item x="118"/>
        <item x="169"/>
        <item x="185"/>
        <item x="94"/>
        <item x="80"/>
        <item x="99"/>
        <item x="81"/>
        <item x="145"/>
        <item x="131"/>
        <item x="134"/>
        <item x="174"/>
        <item x="175"/>
        <item x="43"/>
        <item x="44"/>
        <item x="45"/>
        <item x="47"/>
        <item x="48"/>
        <item x="112"/>
        <item x="115"/>
        <item x="124"/>
        <item x="197"/>
        <item x="42"/>
        <item x="41"/>
        <item x="46"/>
        <item x="40"/>
        <item x="72"/>
        <item x="38"/>
        <item x="49"/>
        <item x="37"/>
        <item x="32"/>
        <item x="33"/>
        <item x="35"/>
        <item x="36"/>
        <item x="18"/>
        <item x="19"/>
        <item x="20"/>
        <item x="21"/>
        <item x="22"/>
        <item x="23"/>
        <item x="24"/>
        <item x="25"/>
        <item x="26"/>
        <item x="27"/>
        <item x="28"/>
        <item x="29"/>
        <item x="30"/>
        <item x="31"/>
        <item x="34"/>
        <item x="39"/>
        <item x="61"/>
        <item x="86"/>
        <item x="98"/>
        <item x="14"/>
        <item x="15"/>
        <item x="16"/>
        <item x="7"/>
        <item x="8"/>
        <item x="9"/>
        <item x="10"/>
        <item x="11"/>
        <item x="12"/>
        <item x="13"/>
        <item x="191"/>
        <item x="6"/>
        <item x="0"/>
        <item x="1"/>
        <item x="2"/>
        <item x="3"/>
        <item x="4"/>
        <item x="5"/>
        <item x="17"/>
      </items>
    </pivotField>
    <pivotField compact="0" outline="0" showAll="0" defaultSubtotal="0"/>
    <pivotField axis="axisRow" compact="0" outline="0" showAll="0" defaultSubtotal="0">
      <items count="143">
        <item x="54"/>
        <item x="61"/>
        <item x="38"/>
        <item x="17"/>
        <item x="58"/>
        <item x="88"/>
        <item x="84"/>
        <item x="78"/>
        <item x="26"/>
        <item x="23"/>
        <item x="50"/>
        <item x="11"/>
        <item x="91"/>
        <item x="79"/>
        <item x="13"/>
        <item x="63"/>
        <item x="64"/>
        <item m="1" x="130"/>
        <item m="1" x="140"/>
        <item x="32"/>
        <item x="72"/>
        <item x="55"/>
        <item x="62"/>
        <item x="110"/>
        <item x="111"/>
        <item x="46"/>
        <item x="44"/>
        <item x="53"/>
        <item x="93"/>
        <item x="109"/>
        <item x="47"/>
        <item x="95"/>
        <item x="87"/>
        <item x="120"/>
        <item x="86"/>
        <item x="82"/>
        <item x="81"/>
        <item x="77"/>
        <item x="94"/>
        <item x="48"/>
        <item m="1" x="139"/>
        <item m="1" x="138"/>
        <item x="92"/>
        <item x="60"/>
        <item m="1" x="129"/>
        <item x="51"/>
        <item x="56"/>
        <item m="1" x="131"/>
        <item m="1" x="127"/>
        <item x="5"/>
        <item x="99"/>
        <item x="101"/>
        <item m="1" x="122"/>
        <item x="73"/>
        <item x="59"/>
        <item x="75"/>
        <item x="98"/>
        <item x="9"/>
        <item x="116"/>
        <item x="114"/>
        <item x="115"/>
        <item m="1" x="128"/>
        <item x="57"/>
        <item m="1" x="126"/>
        <item m="1" x="125"/>
        <item x="103"/>
        <item x="113"/>
        <item x="100"/>
        <item m="1" x="141"/>
        <item x="97"/>
        <item x="119"/>
        <item x="80"/>
        <item x="69"/>
        <item x="22"/>
        <item x="49"/>
        <item x="106"/>
        <item m="1" x="124"/>
        <item x="107"/>
        <item x="108"/>
        <item x="112"/>
        <item x="33"/>
        <item x="65"/>
        <item m="1" x="123"/>
        <item x="90"/>
        <item x="74"/>
        <item m="1" x="137"/>
        <item m="1" x="135"/>
        <item x="66"/>
        <item x="89"/>
        <item m="1" x="136"/>
        <item x="7"/>
        <item x="45"/>
        <item m="1" x="133"/>
        <item x="67"/>
        <item x="52"/>
        <item x="118"/>
        <item x="104"/>
        <item m="1" x="132"/>
        <item x="96"/>
        <item x="121"/>
        <item x="105"/>
        <item x="70"/>
        <item x="85"/>
        <item x="43"/>
        <item x="40"/>
        <item x="42"/>
        <item x="76"/>
        <item x="83"/>
        <item x="37"/>
        <item x="41"/>
        <item m="1" x="134"/>
        <item x="36"/>
        <item x="29"/>
        <item x="30"/>
        <item x="18"/>
        <item x="19"/>
        <item x="20"/>
        <item x="21"/>
        <item x="24"/>
        <item x="25"/>
        <item x="27"/>
        <item x="28"/>
        <item x="31"/>
        <item x="34"/>
        <item m="1" x="142"/>
        <item x="39"/>
        <item x="68"/>
        <item x="117"/>
        <item x="14"/>
        <item x="15"/>
        <item x="16"/>
        <item x="8"/>
        <item x="10"/>
        <item x="12"/>
        <item x="6"/>
        <item x="0"/>
        <item x="1"/>
        <item x="2"/>
        <item x="3"/>
        <item x="4"/>
        <item x="35"/>
        <item x="71"/>
        <item x="102"/>
      </items>
    </pivotField>
    <pivotField compact="0" outline="0" showAll="0" defaultSubtotal="0"/>
    <pivotField compact="0" outline="0" showAll="0" defaultSubtotal="0"/>
    <pivotField compact="0" outline="0" showAll="0" defaultSubtotal="0"/>
    <pivotField axis="axisRow" compact="0" outline="0" showAll="0" defaultSubtotal="0">
      <items count="4">
        <item x="0"/>
        <item x="1"/>
        <item h="1" x="2"/>
        <item x="3"/>
      </items>
    </pivotField>
    <pivotField axis="axisRow" compact="0" outline="0" showAll="0" defaultSubtotal="0">
      <items count="3">
        <item x="2"/>
        <item x="1"/>
        <item x="0"/>
      </items>
    </pivotField>
    <pivotField compact="0" outline="0" showAll="0" defaultSubtotal="0"/>
    <pivotField compact="0" outline="0" showAll="0" defaultSubtotal="0"/>
    <pivotField name="DECLINED PROPOSALS" axis="axisPage" compact="0" outline="0" showAll="0" defaultSubtotal="0">
      <items count="14">
        <item x="2"/>
        <item x="0"/>
        <item x="3"/>
        <item x="4"/>
        <item x="6"/>
        <item x="1"/>
        <item m="1" x="7"/>
        <item m="1" x="9"/>
        <item m="1" x="10"/>
        <item m="1" x="8"/>
        <item m="1" x="11"/>
        <item m="1" x="13"/>
        <item m="1" x="12"/>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dataField="1" compact="0" numFmtId="166" outline="0" showAll="0" defaultSubtotal="0"/>
    <pivotField dataField="1" compact="0" numFmtId="9" outline="0" showAll="0" defaultSubtotal="0"/>
    <pivotField dataField="1" compact="0" numFmtId="166"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numFmtId="9"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s>
  <rowFields count="4">
    <field x="0"/>
    <field x="6"/>
    <field x="7"/>
    <field x="2"/>
  </rowFields>
  <rowItems count="38">
    <i>
      <x v="8"/>
      <x/>
      <x/>
      <x v="3"/>
    </i>
    <i>
      <x v="9"/>
      <x/>
      <x/>
      <x v="13"/>
    </i>
    <i>
      <x v="15"/>
      <x/>
      <x/>
      <x v="3"/>
    </i>
    <i>
      <x v="16"/>
      <x/>
      <x/>
      <x v="3"/>
    </i>
    <i>
      <x v="20"/>
      <x v="1"/>
      <x/>
      <x v="25"/>
    </i>
    <i>
      <x v="21"/>
      <x/>
      <x v="1"/>
      <x v="26"/>
    </i>
    <i>
      <x v="22"/>
      <x v="1"/>
      <x/>
      <x v="2"/>
    </i>
    <i>
      <x v="24"/>
      <x/>
      <x/>
      <x v="28"/>
    </i>
    <i>
      <x v="25"/>
      <x/>
      <x/>
      <x v="29"/>
    </i>
    <i>
      <x v="26"/>
      <x/>
      <x v="1"/>
      <x v="30"/>
    </i>
    <i>
      <x v="27"/>
      <x v="1"/>
      <x v="1"/>
      <x/>
    </i>
    <i>
      <x v="28"/>
      <x/>
      <x/>
      <x v="9"/>
    </i>
    <i>
      <x v="29"/>
      <x/>
      <x/>
      <x v="7"/>
    </i>
    <i>
      <x v="30"/>
      <x/>
      <x/>
      <x v="7"/>
    </i>
    <i>
      <x v="34"/>
      <x v="1"/>
      <x v="1"/>
      <x/>
    </i>
    <i>
      <x v="35"/>
      <x/>
      <x/>
      <x v="36"/>
    </i>
    <i>
      <x v="37"/>
      <x/>
      <x/>
      <x v="36"/>
    </i>
    <i>
      <x v="38"/>
      <x v="1"/>
      <x/>
      <x v="37"/>
    </i>
    <i>
      <x v="39"/>
      <x/>
      <x/>
      <x v="38"/>
    </i>
    <i>
      <x v="43"/>
      <x/>
      <x/>
      <x v="43"/>
    </i>
    <i>
      <x v="45"/>
      <x/>
      <x v="1"/>
      <x v="45"/>
    </i>
    <i>
      <x v="86"/>
      <x v="1"/>
      <x/>
      <x v="32"/>
    </i>
    <i>
      <x v="98"/>
      <x/>
      <x/>
      <x v="14"/>
    </i>
    <i>
      <x v="99"/>
      <x v="1"/>
      <x/>
      <x v="37"/>
    </i>
    <i>
      <x v="100"/>
      <x/>
      <x v="1"/>
      <x v="75"/>
    </i>
    <i>
      <x v="101"/>
      <x/>
      <x/>
      <x v="5"/>
    </i>
    <i>
      <x v="112"/>
      <x/>
      <x/>
      <x v="12"/>
    </i>
    <i>
      <x v="113"/>
      <x/>
      <x v="1"/>
      <x v="30"/>
    </i>
    <i>
      <x v="115"/>
      <x v="1"/>
      <x/>
      <x v="88"/>
    </i>
    <i>
      <x v="119"/>
      <x/>
      <x/>
      <x v="96"/>
    </i>
    <i>
      <x v="129"/>
      <x/>
      <x/>
      <x v="90"/>
    </i>
    <i>
      <x v="130"/>
      <x/>
      <x/>
      <x v="100"/>
    </i>
    <i>
      <x v="150"/>
      <x/>
      <x/>
      <x v="2"/>
    </i>
    <i>
      <x v="154"/>
      <x v="1"/>
      <x/>
      <x v="90"/>
    </i>
    <i>
      <x v="155"/>
      <x/>
      <x v="1"/>
      <x v="14"/>
    </i>
    <i>
      <x v="156"/>
      <x/>
      <x/>
      <x v="103"/>
    </i>
    <i>
      <x v="194"/>
      <x/>
      <x v="1"/>
      <x v="136"/>
    </i>
    <i t="grand">
      <x/>
    </i>
  </rowItems>
  <colFields count="1">
    <field x="-2"/>
  </colFields>
  <colItems count="12">
    <i>
      <x/>
    </i>
    <i i="1">
      <x v="1"/>
    </i>
    <i i="2">
      <x v="2"/>
    </i>
    <i i="3">
      <x v="3"/>
    </i>
    <i i="4">
      <x v="4"/>
    </i>
    <i i="5">
      <x v="5"/>
    </i>
    <i i="6">
      <x v="6"/>
    </i>
    <i i="7">
      <x v="7"/>
    </i>
    <i i="8">
      <x v="8"/>
    </i>
    <i i="9">
      <x v="9"/>
    </i>
    <i i="10">
      <x v="10"/>
    </i>
    <i i="11">
      <x v="11"/>
    </i>
  </colItems>
  <pageFields count="1">
    <pageField fld="10" item="5" hier="-1"/>
  </pageFields>
  <dataFields count="12">
    <dataField name=" Total Project Volume" fld="105" baseField="0" baseItem="0"/>
    <dataField name=" Total Revenues IPK" fld="106" baseField="0" baseItem="0"/>
    <dataField name=" Probability of Success" fld="107" subtotal="average" baseField="2" baseItem="6" numFmtId="9"/>
    <dataField name="Expected Revenue IPK" fld="108" baseField="0" baseItem="0" numFmtId="165"/>
    <dataField name=" OE100" fld="109" baseField="96" baseItem="0"/>
    <dataField name=" OE200" fld="110" baseField="96" baseItem="0"/>
    <dataField name=" OE300" fld="111" baseField="96" baseItem="0"/>
    <dataField name=" OE400" fld="112" baseField="96" baseItem="0"/>
    <dataField name=" OE600" fld="113" baseField="96" baseItem="0"/>
    <dataField name=" Acquisition Bonus OE810" fld="115" baseField="0" baseItem="0" numFmtId="165"/>
    <dataField name=" Project Execution OE810" fld="116" baseField="0" baseItem="0" numFmtId="165"/>
    <dataField name=" OE810" fld="117" baseField="96" baseItem="0" numFmtId="165"/>
  </dataFields>
  <formats count="44">
    <format dxfId="319">
      <pivotArea type="all" dataOnly="0" outline="0" fieldPosition="0"/>
    </format>
    <format dxfId="318">
      <pivotArea field="0" type="button" dataOnly="0" labelOnly="1" outline="0" axis="axisRow" fieldPosition="0"/>
    </format>
    <format dxfId="317">
      <pivotArea dataOnly="0" labelOnly="1" fieldPosition="0">
        <references count="1">
          <reference field="0" count="1">
            <x v="3"/>
          </reference>
        </references>
      </pivotArea>
    </format>
    <format dxfId="316">
      <pivotArea dataOnly="0" labelOnly="1" grandRow="1" outline="0" fieldPosition="0"/>
    </format>
    <format dxfId="315">
      <pivotArea field="0" type="button" dataOnly="0" labelOnly="1" outline="0" axis="axisRow" fieldPosition="0"/>
    </format>
    <format dxfId="314">
      <pivotArea field="6" type="button" dataOnly="0" labelOnly="1" outline="0" axis="axisRow" fieldPosition="1"/>
    </format>
    <format dxfId="313">
      <pivotArea field="7" type="button" dataOnly="0" labelOnly="1" outline="0" axis="axisRow" fieldPosition="2"/>
    </format>
    <format dxfId="312">
      <pivotArea field="2" type="button" dataOnly="0" labelOnly="1" outline="0" axis="axisRow" fieldPosition="3"/>
    </format>
    <format dxfId="311">
      <pivotArea grandRow="1" outline="0" collapsedLevelsAreSubtotals="1" fieldPosition="0"/>
    </format>
    <format dxfId="310">
      <pivotArea dataOnly="0" labelOnly="1" grandRow="1" outline="0" fieldPosition="0"/>
    </format>
    <format dxfId="309">
      <pivotArea type="all" dataOnly="0" outline="0" fieldPosition="0"/>
    </format>
    <format dxfId="308">
      <pivotArea outline="0" collapsedLevelsAreSubtotals="1" fieldPosition="0"/>
    </format>
    <format dxfId="307">
      <pivotArea field="0" type="button" dataOnly="0" labelOnly="1" outline="0" axis="axisRow" fieldPosition="0"/>
    </format>
    <format dxfId="306">
      <pivotArea field="6" type="button" dataOnly="0" labelOnly="1" outline="0" axis="axisRow" fieldPosition="1"/>
    </format>
    <format dxfId="305">
      <pivotArea field="7" type="button" dataOnly="0" labelOnly="1" outline="0" axis="axisRow" fieldPosition="2"/>
    </format>
    <format dxfId="304">
      <pivotArea field="2" type="button" dataOnly="0" labelOnly="1" outline="0" axis="axisRow" fieldPosition="3"/>
    </format>
    <format dxfId="303">
      <pivotArea dataOnly="0" labelOnly="1" outline="0" fieldPosition="0">
        <references count="1">
          <reference field="0" count="1">
            <x v="3"/>
          </reference>
        </references>
      </pivotArea>
    </format>
    <format dxfId="302">
      <pivotArea dataOnly="0" labelOnly="1" grandRow="1" outline="0" fieldPosition="0"/>
    </format>
    <format dxfId="301">
      <pivotArea dataOnly="0" labelOnly="1" outline="0" fieldPosition="0">
        <references count="2">
          <reference field="0" count="1" selected="0">
            <x v="3"/>
          </reference>
          <reference field="6" count="1">
            <x v="1"/>
          </reference>
        </references>
      </pivotArea>
    </format>
    <format dxfId="300">
      <pivotArea dataOnly="0" labelOnly="1" outline="0" fieldPosition="0">
        <references count="3">
          <reference field="0" count="1" selected="0">
            <x v="3"/>
          </reference>
          <reference field="6" count="1" selected="0">
            <x v="1"/>
          </reference>
          <reference field="7" count="1">
            <x v="1"/>
          </reference>
        </references>
      </pivotArea>
    </format>
    <format dxfId="299">
      <pivotArea dataOnly="0" labelOnly="1" outline="0" fieldPosition="0">
        <references count="4">
          <reference field="0" count="1" selected="0">
            <x v="3"/>
          </reference>
          <reference field="2" count="1">
            <x v="6"/>
          </reference>
          <reference field="6" count="1" selected="0">
            <x v="1"/>
          </reference>
          <reference field="7" count="1" selected="0">
            <x v="1"/>
          </reference>
        </references>
      </pivotArea>
    </format>
    <format dxfId="298">
      <pivotArea type="all" dataOnly="0" outline="0" fieldPosition="0"/>
    </format>
    <format dxfId="297">
      <pivotArea outline="0" collapsedLevelsAreSubtotals="1" fieldPosition="0"/>
    </format>
    <format dxfId="296">
      <pivotArea field="0" type="button" dataOnly="0" labelOnly="1" outline="0" axis="axisRow" fieldPosition="0"/>
    </format>
    <format dxfId="295">
      <pivotArea field="6" type="button" dataOnly="0" labelOnly="1" outline="0" axis="axisRow" fieldPosition="1"/>
    </format>
    <format dxfId="294">
      <pivotArea field="7" type="button" dataOnly="0" labelOnly="1" outline="0" axis="axisRow" fieldPosition="2"/>
    </format>
    <format dxfId="293">
      <pivotArea field="2" type="button" dataOnly="0" labelOnly="1" outline="0" axis="axisRow" fieldPosition="3"/>
    </format>
    <format dxfId="292">
      <pivotArea dataOnly="0" labelOnly="1" outline="0" fieldPosition="0">
        <references count="1">
          <reference field="0" count="1">
            <x v="3"/>
          </reference>
        </references>
      </pivotArea>
    </format>
    <format dxfId="291">
      <pivotArea dataOnly="0" labelOnly="1" grandRow="1" outline="0" fieldPosition="0"/>
    </format>
    <format dxfId="290">
      <pivotArea dataOnly="0" labelOnly="1" outline="0" fieldPosition="0">
        <references count="2">
          <reference field="0" count="1" selected="0">
            <x v="3"/>
          </reference>
          <reference field="6" count="1">
            <x v="1"/>
          </reference>
        </references>
      </pivotArea>
    </format>
    <format dxfId="289">
      <pivotArea dataOnly="0" labelOnly="1" outline="0" fieldPosition="0">
        <references count="3">
          <reference field="0" count="1" selected="0">
            <x v="3"/>
          </reference>
          <reference field="6" count="1" selected="0">
            <x v="1"/>
          </reference>
          <reference field="7" count="1">
            <x v="1"/>
          </reference>
        </references>
      </pivotArea>
    </format>
    <format dxfId="288">
      <pivotArea dataOnly="0" labelOnly="1" outline="0" fieldPosition="0">
        <references count="4">
          <reference field="0" count="1" selected="0">
            <x v="3"/>
          </reference>
          <reference field="2" count="1">
            <x v="6"/>
          </reference>
          <reference field="6" count="1" selected="0">
            <x v="1"/>
          </reference>
          <reference field="7" count="1" selected="0">
            <x v="1"/>
          </reference>
        </references>
      </pivotArea>
    </format>
    <format dxfId="287">
      <pivotArea outline="0" fieldPosition="0">
        <references count="1">
          <reference field="4294967294" count="4" selected="0">
            <x v="3"/>
            <x v="9"/>
            <x v="10"/>
            <x v="11"/>
          </reference>
        </references>
      </pivotArea>
    </format>
    <format dxfId="286">
      <pivotArea dataOnly="0" outline="0" fieldPosition="0">
        <references count="1">
          <reference field="4294967294" count="4">
            <x v="3"/>
            <x v="9"/>
            <x v="10"/>
            <x v="11"/>
          </reference>
        </references>
      </pivotArea>
    </format>
    <format dxfId="285">
      <pivotArea dataOnly="0" outline="0" fieldPosition="0">
        <references count="1">
          <reference field="4294967294" count="4">
            <x v="3"/>
            <x v="9"/>
            <x v="10"/>
            <x v="11"/>
          </reference>
        </references>
      </pivotArea>
    </format>
    <format dxfId="284">
      <pivotArea dataOnly="0" outline="0" fieldPosition="0">
        <references count="1">
          <reference field="4294967294" count="4">
            <x v="3"/>
            <x v="9"/>
            <x v="10"/>
            <x v="11"/>
          </reference>
        </references>
      </pivotArea>
    </format>
    <format dxfId="283">
      <pivotArea outline="0" collapsedLevelsAreSubtotals="1" fieldPosition="0"/>
    </format>
    <format dxfId="282">
      <pivotArea dataOnly="0" labelOnly="1" outline="0" fieldPosition="0">
        <references count="1">
          <reference field="4294967294" count="4">
            <x v="3"/>
            <x v="9"/>
            <x v="10"/>
            <x v="11"/>
          </reference>
        </references>
      </pivotArea>
    </format>
    <format dxfId="281">
      <pivotArea field="0" grandRow="1" outline="0" axis="axisRow" fieldPosition="0">
        <references count="1">
          <reference field="4294967294" count="1" selected="0">
            <x v="2"/>
          </reference>
        </references>
      </pivotArea>
    </format>
    <format dxfId="280">
      <pivotArea outline="0" fieldPosition="0">
        <references count="1">
          <reference field="4294967294" count="1" selected="0">
            <x v="2"/>
          </reference>
        </references>
      </pivotArea>
    </format>
    <format dxfId="279">
      <pivotArea dataOnly="0" labelOnly="1" outline="0" fieldPosition="0">
        <references count="1">
          <reference field="4294967294" count="1">
            <x v="2"/>
          </reference>
        </references>
      </pivotArea>
    </format>
    <format dxfId="278">
      <pivotArea field="0" grandRow="1" outline="0" axis="axisRow" fieldPosition="0">
        <references count="1">
          <reference field="4294967294" count="1" selected="0">
            <x v="2"/>
          </reference>
        </references>
      </pivotArea>
    </format>
    <format dxfId="277">
      <pivotArea field="10" type="button" dataOnly="0" labelOnly="1" outline="0" axis="axisPage" fieldPosition="0"/>
    </format>
    <format dxfId="276">
      <pivotArea field="10" type="button" dataOnly="0" labelOnly="1" outline="0" axis="axisPage"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5" cacheId="16" applyNumberFormats="0" applyBorderFormats="0" applyFontFormats="0" applyPatternFormats="0" applyAlignmentFormats="0" applyWidthHeightFormats="1" dataCaption="Werte" grandTotalCaption="Total" updatedVersion="6" minRefreshableVersion="3" showDrill="0" useAutoFormatting="1" itemPrintTitles="1" createdVersion="6" indent="0" compact="0" compactData="0" multipleFieldFilters="0">
  <location ref="B8:Q20" firstHeaderRow="0" firstDataRow="1" firstDataCol="4" rowPageCount="1" colPageCount="1"/>
  <pivotFields count="118">
    <pivotField axis="axisRow" compact="0" outline="0" showAll="0" defaultSubtotal="0">
      <items count="200">
        <item x="83"/>
        <item x="119"/>
        <item x="122"/>
        <item x="137"/>
        <item x="138"/>
        <item x="172"/>
        <item x="182"/>
        <item x="130"/>
        <item x="84"/>
        <item x="120"/>
        <item x="167"/>
        <item x="82"/>
        <item x="164"/>
        <item x="103"/>
        <item x="67"/>
        <item x="142"/>
        <item x="89"/>
        <item x="163"/>
        <item x="179"/>
        <item x="178"/>
        <item x="53"/>
        <item x="50"/>
        <item x="70"/>
        <item x="139"/>
        <item x="147"/>
        <item x="176"/>
        <item x="54"/>
        <item x="64"/>
        <item x="126"/>
        <item x="170"/>
        <item x="117"/>
        <item x="141"/>
        <item x="128"/>
        <item x="127"/>
        <item x="136"/>
        <item x="156"/>
        <item x="192"/>
        <item x="123"/>
        <item x="116"/>
        <item x="149"/>
        <item x="55"/>
        <item x="92"/>
        <item x="146"/>
        <item x="77"/>
        <item x="129"/>
        <item x="60"/>
        <item x="68"/>
        <item x="193"/>
        <item x="150"/>
        <item x="57"/>
        <item x="181"/>
        <item x="78"/>
        <item x="155"/>
        <item x="159"/>
        <item x="132"/>
        <item x="104"/>
        <item x="74"/>
        <item x="111"/>
        <item x="110"/>
        <item x="109"/>
        <item x="189"/>
        <item x="190"/>
        <item x="154"/>
        <item x="165"/>
        <item x="188"/>
        <item x="186"/>
        <item x="187"/>
        <item x="69"/>
        <item x="95"/>
        <item x="62"/>
        <item x="166"/>
        <item x="56"/>
        <item x="65"/>
        <item x="152"/>
        <item x="58"/>
        <item x="195"/>
        <item x="90"/>
        <item x="114"/>
        <item x="108"/>
        <item x="63"/>
        <item m="1" x="199"/>
        <item x="71"/>
        <item x="88"/>
        <item x="52"/>
        <item x="85"/>
        <item x="153"/>
        <item x="135"/>
        <item x="196"/>
        <item x="133"/>
        <item x="162"/>
        <item x="59"/>
        <item x="87"/>
        <item x="76"/>
        <item x="184"/>
        <item x="158"/>
        <item x="161"/>
        <item x="113"/>
        <item x="173"/>
        <item x="125"/>
        <item x="180"/>
        <item x="171"/>
        <item x="140"/>
        <item x="73"/>
        <item x="91"/>
        <item x="194"/>
        <item x="177"/>
        <item x="97"/>
        <item x="144"/>
        <item x="106"/>
        <item x="105"/>
        <item x="100"/>
        <item x="183"/>
        <item x="148"/>
        <item x="75"/>
        <item x="102"/>
        <item x="143"/>
        <item x="51"/>
        <item x="107"/>
        <item x="157"/>
        <item x="168"/>
        <item x="93"/>
        <item x="66"/>
        <item x="160"/>
        <item x="121"/>
        <item x="79"/>
        <item x="96"/>
        <item x="101"/>
        <item x="151"/>
        <item x="198"/>
        <item x="118"/>
        <item x="169"/>
        <item x="185"/>
        <item x="94"/>
        <item x="80"/>
        <item x="99"/>
        <item x="81"/>
        <item x="145"/>
        <item x="131"/>
        <item x="134"/>
        <item x="174"/>
        <item x="175"/>
        <item x="43"/>
        <item x="44"/>
        <item x="45"/>
        <item x="47"/>
        <item x="48"/>
        <item x="112"/>
        <item x="115"/>
        <item x="124"/>
        <item x="197"/>
        <item x="42"/>
        <item x="41"/>
        <item x="46"/>
        <item x="40"/>
        <item x="72"/>
        <item x="38"/>
        <item x="49"/>
        <item x="37"/>
        <item x="32"/>
        <item x="33"/>
        <item x="35"/>
        <item x="36"/>
        <item x="18"/>
        <item x="19"/>
        <item x="20"/>
        <item x="21"/>
        <item x="22"/>
        <item x="23"/>
        <item x="24"/>
        <item x="25"/>
        <item x="26"/>
        <item x="27"/>
        <item x="28"/>
        <item x="29"/>
        <item x="30"/>
        <item x="31"/>
        <item x="34"/>
        <item x="39"/>
        <item x="61"/>
        <item x="86"/>
        <item x="98"/>
        <item x="14"/>
        <item x="15"/>
        <item x="16"/>
        <item x="7"/>
        <item x="8"/>
        <item x="9"/>
        <item x="10"/>
        <item x="11"/>
        <item x="12"/>
        <item x="13"/>
        <item x="191"/>
        <item x="6"/>
        <item x="0"/>
        <item x="1"/>
        <item x="2"/>
        <item x="3"/>
        <item x="4"/>
        <item x="5"/>
        <item x="17"/>
      </items>
    </pivotField>
    <pivotField compact="0" outline="0" showAll="0" defaultSubtotal="0"/>
    <pivotField axis="axisRow" compact="0" outline="0" showAll="0" defaultSubtotal="0">
      <items count="143">
        <item x="54"/>
        <item x="61"/>
        <item x="38"/>
        <item x="58"/>
        <item x="88"/>
        <item x="78"/>
        <item x="26"/>
        <item x="17"/>
        <item x="84"/>
        <item x="23"/>
        <item x="50"/>
        <item x="11"/>
        <item x="91"/>
        <item x="79"/>
        <item x="13"/>
        <item x="63"/>
        <item x="64"/>
        <item m="1" x="130"/>
        <item m="1" x="140"/>
        <item x="32"/>
        <item x="72"/>
        <item x="55"/>
        <item x="62"/>
        <item x="110"/>
        <item x="111"/>
        <item x="46"/>
        <item x="44"/>
        <item x="53"/>
        <item x="93"/>
        <item x="109"/>
        <item x="47"/>
        <item x="95"/>
        <item x="87"/>
        <item x="120"/>
        <item x="86"/>
        <item x="82"/>
        <item x="81"/>
        <item x="77"/>
        <item x="94"/>
        <item x="48"/>
        <item m="1" x="139"/>
        <item m="1" x="138"/>
        <item x="92"/>
        <item x="60"/>
        <item m="1" x="129"/>
        <item x="51"/>
        <item x="56"/>
        <item m="1" x="131"/>
        <item m="1" x="127"/>
        <item x="5"/>
        <item x="99"/>
        <item x="101"/>
        <item m="1" x="122"/>
        <item x="73"/>
        <item x="59"/>
        <item x="75"/>
        <item x="98"/>
        <item x="9"/>
        <item x="116"/>
        <item x="114"/>
        <item x="115"/>
        <item m="1" x="128"/>
        <item x="57"/>
        <item m="1" x="126"/>
        <item m="1" x="125"/>
        <item x="103"/>
        <item x="113"/>
        <item x="100"/>
        <item m="1" x="141"/>
        <item x="97"/>
        <item x="119"/>
        <item x="80"/>
        <item x="69"/>
        <item x="22"/>
        <item x="49"/>
        <item x="106"/>
        <item m="1" x="124"/>
        <item x="107"/>
        <item x="108"/>
        <item x="112"/>
        <item x="33"/>
        <item x="65"/>
        <item m="1" x="123"/>
        <item x="90"/>
        <item x="74"/>
        <item m="1" x="137"/>
        <item m="1" x="135"/>
        <item x="66"/>
        <item x="89"/>
        <item m="1" x="136"/>
        <item x="7"/>
        <item x="45"/>
        <item m="1" x="133"/>
        <item x="67"/>
        <item x="52"/>
        <item x="118"/>
        <item x="104"/>
        <item m="1" x="132"/>
        <item x="96"/>
        <item x="121"/>
        <item x="105"/>
        <item x="70"/>
        <item x="85"/>
        <item x="43"/>
        <item x="40"/>
        <item x="42"/>
        <item x="76"/>
        <item x="83"/>
        <item x="37"/>
        <item x="41"/>
        <item m="1" x="134"/>
        <item x="36"/>
        <item x="29"/>
        <item x="30"/>
        <item x="18"/>
        <item x="19"/>
        <item x="20"/>
        <item x="21"/>
        <item x="24"/>
        <item x="25"/>
        <item x="27"/>
        <item x="28"/>
        <item x="31"/>
        <item x="34"/>
        <item m="1" x="142"/>
        <item x="39"/>
        <item x="68"/>
        <item x="117"/>
        <item x="14"/>
        <item x="15"/>
        <item x="16"/>
        <item x="8"/>
        <item x="10"/>
        <item x="12"/>
        <item x="6"/>
        <item x="0"/>
        <item x="1"/>
        <item x="2"/>
        <item x="3"/>
        <item x="4"/>
        <item x="35"/>
        <item x="71"/>
        <item x="102"/>
      </items>
    </pivotField>
    <pivotField compact="0" outline="0" showAll="0" defaultSubtotal="0"/>
    <pivotField compact="0" outline="0" showAll="0" defaultSubtotal="0"/>
    <pivotField compact="0" outline="0" showAll="0" defaultSubtotal="0"/>
    <pivotField axis="axisRow" compact="0" outline="0" showAll="0" defaultSubtotal="0">
      <items count="4">
        <item x="0"/>
        <item x="1"/>
        <item h="1" x="2"/>
        <item h="1" x="3"/>
      </items>
    </pivotField>
    <pivotField axis="axisRow" compact="0" outline="0" showAll="0" defaultSubtotal="0">
      <items count="3">
        <item x="2"/>
        <item x="1"/>
        <item x="0"/>
      </items>
    </pivotField>
    <pivotField compact="0" outline="0" showAll="0" defaultSubtotal="0"/>
    <pivotField compact="0" outline="0" showAll="0" defaultSubtotal="0"/>
    <pivotField name=" FINISHED" axis="axisPage" compact="0" outline="0" multipleItemSelectionAllowed="1" showAll="0" defaultSubtotal="0">
      <items count="14">
        <item h="1" x="2"/>
        <item h="1" x="0"/>
        <item h="1" x="3"/>
        <item h="1" x="4"/>
        <item x="6"/>
        <item h="1" x="1"/>
        <item h="1" m="1" x="7"/>
        <item h="1" m="1" x="9"/>
        <item h="1" m="1" x="10"/>
        <item h="1" m="1" x="8"/>
        <item h="1" m="1" x="11"/>
        <item h="1" m="1" x="13"/>
        <item h="1" m="1" x="12"/>
        <item h="1"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dataField="1" compact="0" numFmtId="166" outline="0" showAll="0" defaultSubtotal="0"/>
    <pivotField dataField="1" compact="0" numFmtId="9" outline="0" showAll="0" defaultSubtotal="0"/>
    <pivotField dataField="1" compact="0" numFmtId="166"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numFmtId="9"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s>
  <rowFields count="4">
    <field x="0"/>
    <field x="6"/>
    <field x="7"/>
    <field x="2"/>
  </rowFields>
  <rowItems count="12">
    <i>
      <x v="1"/>
      <x/>
      <x/>
      <x v="2"/>
    </i>
    <i>
      <x v="2"/>
      <x/>
      <x/>
      <x v="5"/>
    </i>
    <i>
      <x v="3"/>
      <x v="1"/>
      <x v="1"/>
      <x/>
    </i>
    <i>
      <x v="6"/>
      <x/>
      <x/>
      <x v="1"/>
    </i>
    <i>
      <x v="10"/>
      <x/>
      <x v="1"/>
      <x v="14"/>
    </i>
    <i>
      <x v="17"/>
      <x v="1"/>
      <x/>
      <x v="22"/>
    </i>
    <i>
      <x v="18"/>
      <x/>
      <x/>
      <x v="23"/>
    </i>
    <i>
      <x v="42"/>
      <x/>
      <x v="1"/>
      <x v="42"/>
    </i>
    <i>
      <x v="46"/>
      <x v="1"/>
      <x/>
      <x v="46"/>
    </i>
    <i>
      <x v="47"/>
      <x v="1"/>
      <x v="1"/>
      <x v="11"/>
    </i>
    <i>
      <x v="179"/>
      <x v="1"/>
      <x v="1"/>
      <x v="11"/>
    </i>
    <i t="grand">
      <x/>
    </i>
  </rowItems>
  <colFields count="1">
    <field x="-2"/>
  </colFields>
  <colItems count="12">
    <i>
      <x/>
    </i>
    <i i="1">
      <x v="1"/>
    </i>
    <i i="2">
      <x v="2"/>
    </i>
    <i i="3">
      <x v="3"/>
    </i>
    <i i="4">
      <x v="4"/>
    </i>
    <i i="5">
      <x v="5"/>
    </i>
    <i i="6">
      <x v="6"/>
    </i>
    <i i="7">
      <x v="7"/>
    </i>
    <i i="8">
      <x v="8"/>
    </i>
    <i i="9">
      <x v="9"/>
    </i>
    <i i="10">
      <x v="10"/>
    </i>
    <i i="11">
      <x v="11"/>
    </i>
  </colItems>
  <pageFields count="1">
    <pageField fld="10" hier="-1"/>
  </pageFields>
  <dataFields count="12">
    <dataField name=" Total Project Volume" fld="105" baseField="0" baseItem="0"/>
    <dataField name=" Total Revenues IPK" fld="106" baseField="0" baseItem="0"/>
    <dataField name=" Probability of Success" fld="107" subtotal="average" baseField="2" baseItem="2" numFmtId="9"/>
    <dataField name=" Real Revenue IPK" fld="108" baseField="0" baseItem="0" numFmtId="166"/>
    <dataField name=" OE100" fld="109" baseField="96" baseItem="1"/>
    <dataField name=" OE200" fld="110" baseField="96" baseItem="1"/>
    <dataField name=" OE300" fld="111" baseField="96" baseItem="1"/>
    <dataField name=" OE400" fld="112" baseField="96" baseItem="1"/>
    <dataField name=" OE600" fld="113" baseField="96" baseItem="1"/>
    <dataField name=" Acquisition Bonus OE810" fld="115" baseField="0" baseItem="0" numFmtId="166"/>
    <dataField name=" Project Execution OE810" fld="116" baseField="0" baseItem="0" numFmtId="166"/>
    <dataField name=" OE810" fld="117" baseField="96" baseItem="1" numFmtId="165"/>
  </dataFields>
  <formats count="189">
    <format dxfId="508">
      <pivotArea type="all" dataOnly="0" outline="0" fieldPosition="0"/>
    </format>
    <format dxfId="507">
      <pivotArea outline="0" collapsedLevelsAreSubtotals="1" fieldPosition="0"/>
    </format>
    <format dxfId="506">
      <pivotArea field="0" type="button" dataOnly="0" labelOnly="1" outline="0" axis="axisRow" fieldPosition="0"/>
    </format>
    <format dxfId="505">
      <pivotArea field="6" type="button" dataOnly="0" labelOnly="1" outline="0" axis="axisRow" fieldPosition="1"/>
    </format>
    <format dxfId="504">
      <pivotArea field="7" type="button" dataOnly="0" labelOnly="1" outline="0" axis="axisRow" fieldPosition="2"/>
    </format>
    <format dxfId="503">
      <pivotArea field="2" type="button" dataOnly="0" labelOnly="1" outline="0" axis="axisRow" fieldPosition="3"/>
    </format>
    <format dxfId="502">
      <pivotArea dataOnly="0" labelOnly="1" outline="0" fieldPosition="0">
        <references count="1">
          <reference field="0" count="7">
            <x v="0"/>
            <x v="1"/>
            <x v="2"/>
            <x v="3"/>
            <x v="4"/>
            <x v="5"/>
            <x v="6"/>
          </reference>
        </references>
      </pivotArea>
    </format>
    <format dxfId="501">
      <pivotArea dataOnly="0" labelOnly="1" grandRow="1" outline="0" fieldPosition="0"/>
    </format>
    <format dxfId="500">
      <pivotArea dataOnly="0" labelOnly="1" outline="0" fieldPosition="0">
        <references count="2">
          <reference field="0" count="1" selected="0">
            <x v="0"/>
          </reference>
          <reference field="6" count="1">
            <x v="2"/>
          </reference>
        </references>
      </pivotArea>
    </format>
    <format dxfId="499">
      <pivotArea dataOnly="0" labelOnly="1" outline="0" fieldPosition="0">
        <references count="2">
          <reference field="0" count="1" selected="0">
            <x v="1"/>
          </reference>
          <reference field="6" count="1">
            <x v="0"/>
          </reference>
        </references>
      </pivotArea>
    </format>
    <format dxfId="498">
      <pivotArea dataOnly="0" labelOnly="1" outline="0" fieldPosition="0">
        <references count="2">
          <reference field="0" count="1" selected="0">
            <x v="3"/>
          </reference>
          <reference field="6" count="1">
            <x v="1"/>
          </reference>
        </references>
      </pivotArea>
    </format>
    <format dxfId="497">
      <pivotArea dataOnly="0" labelOnly="1" outline="0" fieldPosition="0">
        <references count="2">
          <reference field="0" count="1" selected="0">
            <x v="4"/>
          </reference>
          <reference field="6" count="1">
            <x v="2"/>
          </reference>
        </references>
      </pivotArea>
    </format>
    <format dxfId="496">
      <pivotArea dataOnly="0" labelOnly="1" outline="0" fieldPosition="0">
        <references count="2">
          <reference field="0" count="1" selected="0">
            <x v="6"/>
          </reference>
          <reference field="6" count="1">
            <x v="0"/>
          </reference>
        </references>
      </pivotArea>
    </format>
    <format dxfId="495">
      <pivotArea dataOnly="0" labelOnly="1" outline="0" fieldPosition="0">
        <references count="3">
          <reference field="0" count="1" selected="0">
            <x v="0"/>
          </reference>
          <reference field="6" count="1" selected="0">
            <x v="2"/>
          </reference>
          <reference field="7" count="1">
            <x v="0"/>
          </reference>
        </references>
      </pivotArea>
    </format>
    <format dxfId="494">
      <pivotArea dataOnly="0" labelOnly="1" outline="0" fieldPosition="0">
        <references count="3">
          <reference field="0" count="1" selected="0">
            <x v="3"/>
          </reference>
          <reference field="6" count="1" selected="0">
            <x v="1"/>
          </reference>
          <reference field="7" count="1">
            <x v="1"/>
          </reference>
        </references>
      </pivotArea>
    </format>
    <format dxfId="493">
      <pivotArea dataOnly="0" labelOnly="1" outline="0" fieldPosition="0">
        <references count="3">
          <reference field="0" count="1" selected="0">
            <x v="4"/>
          </reference>
          <reference field="6" count="1" selected="0">
            <x v="2"/>
          </reference>
          <reference field="7" count="1">
            <x v="0"/>
          </reference>
        </references>
      </pivotArea>
    </format>
    <format dxfId="492">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491">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490">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489">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488">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487">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486">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485">
      <pivotArea type="all" dataOnly="0" outline="0" fieldPosition="0"/>
    </format>
    <format dxfId="484">
      <pivotArea outline="0" collapsedLevelsAreSubtotals="1" fieldPosition="0"/>
    </format>
    <format dxfId="483">
      <pivotArea field="0" type="button" dataOnly="0" labelOnly="1" outline="0" axis="axisRow" fieldPosition="0"/>
    </format>
    <format dxfId="482">
      <pivotArea field="6" type="button" dataOnly="0" labelOnly="1" outline="0" axis="axisRow" fieldPosition="1"/>
    </format>
    <format dxfId="481">
      <pivotArea field="7" type="button" dataOnly="0" labelOnly="1" outline="0" axis="axisRow" fieldPosition="2"/>
    </format>
    <format dxfId="480">
      <pivotArea field="2" type="button" dataOnly="0" labelOnly="1" outline="0" axis="axisRow" fieldPosition="3"/>
    </format>
    <format dxfId="479">
      <pivotArea dataOnly="0" labelOnly="1" outline="0" fieldPosition="0">
        <references count="1">
          <reference field="0" count="7">
            <x v="0"/>
            <x v="1"/>
            <x v="2"/>
            <x v="3"/>
            <x v="4"/>
            <x v="5"/>
            <x v="6"/>
          </reference>
        </references>
      </pivotArea>
    </format>
    <format dxfId="478">
      <pivotArea dataOnly="0" labelOnly="1" grandRow="1" outline="0" fieldPosition="0"/>
    </format>
    <format dxfId="477">
      <pivotArea dataOnly="0" labelOnly="1" outline="0" fieldPosition="0">
        <references count="2">
          <reference field="0" count="1" selected="0">
            <x v="0"/>
          </reference>
          <reference field="6" count="1">
            <x v="2"/>
          </reference>
        </references>
      </pivotArea>
    </format>
    <format dxfId="476">
      <pivotArea dataOnly="0" labelOnly="1" outline="0" fieldPosition="0">
        <references count="2">
          <reference field="0" count="1" selected="0">
            <x v="1"/>
          </reference>
          <reference field="6" count="1">
            <x v="0"/>
          </reference>
        </references>
      </pivotArea>
    </format>
    <format dxfId="475">
      <pivotArea dataOnly="0" labelOnly="1" outline="0" fieldPosition="0">
        <references count="2">
          <reference field="0" count="1" selected="0">
            <x v="3"/>
          </reference>
          <reference field="6" count="1">
            <x v="1"/>
          </reference>
        </references>
      </pivotArea>
    </format>
    <format dxfId="474">
      <pivotArea dataOnly="0" labelOnly="1" outline="0" fieldPosition="0">
        <references count="2">
          <reference field="0" count="1" selected="0">
            <x v="4"/>
          </reference>
          <reference field="6" count="1">
            <x v="2"/>
          </reference>
        </references>
      </pivotArea>
    </format>
    <format dxfId="473">
      <pivotArea dataOnly="0" labelOnly="1" outline="0" fieldPosition="0">
        <references count="2">
          <reference field="0" count="1" selected="0">
            <x v="6"/>
          </reference>
          <reference field="6" count="1">
            <x v="0"/>
          </reference>
        </references>
      </pivotArea>
    </format>
    <format dxfId="472">
      <pivotArea dataOnly="0" labelOnly="1" outline="0" fieldPosition="0">
        <references count="3">
          <reference field="0" count="1" selected="0">
            <x v="0"/>
          </reference>
          <reference field="6" count="1" selected="0">
            <x v="2"/>
          </reference>
          <reference field="7" count="1">
            <x v="0"/>
          </reference>
        </references>
      </pivotArea>
    </format>
    <format dxfId="471">
      <pivotArea dataOnly="0" labelOnly="1" outline="0" fieldPosition="0">
        <references count="3">
          <reference field="0" count="1" selected="0">
            <x v="3"/>
          </reference>
          <reference field="6" count="1" selected="0">
            <x v="1"/>
          </reference>
          <reference field="7" count="1">
            <x v="1"/>
          </reference>
        </references>
      </pivotArea>
    </format>
    <format dxfId="470">
      <pivotArea dataOnly="0" labelOnly="1" outline="0" fieldPosition="0">
        <references count="3">
          <reference field="0" count="1" selected="0">
            <x v="4"/>
          </reference>
          <reference field="6" count="1" selected="0">
            <x v="2"/>
          </reference>
          <reference field="7" count="1">
            <x v="0"/>
          </reference>
        </references>
      </pivotArea>
    </format>
    <format dxfId="469">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468">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467">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466">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465">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464">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463">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462">
      <pivotArea type="all" dataOnly="0" outline="0" fieldPosition="0"/>
    </format>
    <format dxfId="461">
      <pivotArea outline="0" collapsedLevelsAreSubtotals="1" fieldPosition="0"/>
    </format>
    <format dxfId="460">
      <pivotArea field="0" type="button" dataOnly="0" labelOnly="1" outline="0" axis="axisRow" fieldPosition="0"/>
    </format>
    <format dxfId="459">
      <pivotArea field="6" type="button" dataOnly="0" labelOnly="1" outline="0" axis="axisRow" fieldPosition="1"/>
    </format>
    <format dxfId="458">
      <pivotArea field="7" type="button" dataOnly="0" labelOnly="1" outline="0" axis="axisRow" fieldPosition="2"/>
    </format>
    <format dxfId="457">
      <pivotArea field="2" type="button" dataOnly="0" labelOnly="1" outline="0" axis="axisRow" fieldPosition="3"/>
    </format>
    <format dxfId="456">
      <pivotArea dataOnly="0" labelOnly="1" outline="0" fieldPosition="0">
        <references count="1">
          <reference field="0" count="7">
            <x v="0"/>
            <x v="1"/>
            <x v="2"/>
            <x v="3"/>
            <x v="4"/>
            <x v="5"/>
            <x v="6"/>
          </reference>
        </references>
      </pivotArea>
    </format>
    <format dxfId="455">
      <pivotArea dataOnly="0" labelOnly="1" grandRow="1" outline="0" fieldPosition="0"/>
    </format>
    <format dxfId="454">
      <pivotArea dataOnly="0" labelOnly="1" outline="0" fieldPosition="0">
        <references count="2">
          <reference field="0" count="1" selected="0">
            <x v="0"/>
          </reference>
          <reference field="6" count="1">
            <x v="2"/>
          </reference>
        </references>
      </pivotArea>
    </format>
    <format dxfId="453">
      <pivotArea dataOnly="0" labelOnly="1" outline="0" fieldPosition="0">
        <references count="2">
          <reference field="0" count="1" selected="0">
            <x v="1"/>
          </reference>
          <reference field="6" count="1">
            <x v="0"/>
          </reference>
        </references>
      </pivotArea>
    </format>
    <format dxfId="452">
      <pivotArea dataOnly="0" labelOnly="1" outline="0" fieldPosition="0">
        <references count="2">
          <reference field="0" count="1" selected="0">
            <x v="3"/>
          </reference>
          <reference field="6" count="1">
            <x v="1"/>
          </reference>
        </references>
      </pivotArea>
    </format>
    <format dxfId="451">
      <pivotArea dataOnly="0" labelOnly="1" outline="0" fieldPosition="0">
        <references count="2">
          <reference field="0" count="1" selected="0">
            <x v="4"/>
          </reference>
          <reference field="6" count="1">
            <x v="2"/>
          </reference>
        </references>
      </pivotArea>
    </format>
    <format dxfId="450">
      <pivotArea dataOnly="0" labelOnly="1" outline="0" fieldPosition="0">
        <references count="2">
          <reference field="0" count="1" selected="0">
            <x v="6"/>
          </reference>
          <reference field="6" count="1">
            <x v="0"/>
          </reference>
        </references>
      </pivotArea>
    </format>
    <format dxfId="449">
      <pivotArea dataOnly="0" labelOnly="1" outline="0" fieldPosition="0">
        <references count="3">
          <reference field="0" count="1" selected="0">
            <x v="0"/>
          </reference>
          <reference field="6" count="1" selected="0">
            <x v="2"/>
          </reference>
          <reference field="7" count="1">
            <x v="0"/>
          </reference>
        </references>
      </pivotArea>
    </format>
    <format dxfId="448">
      <pivotArea dataOnly="0" labelOnly="1" outline="0" fieldPosition="0">
        <references count="3">
          <reference field="0" count="1" selected="0">
            <x v="3"/>
          </reference>
          <reference field="6" count="1" selected="0">
            <x v="1"/>
          </reference>
          <reference field="7" count="1">
            <x v="1"/>
          </reference>
        </references>
      </pivotArea>
    </format>
    <format dxfId="447">
      <pivotArea dataOnly="0" labelOnly="1" outline="0" fieldPosition="0">
        <references count="3">
          <reference field="0" count="1" selected="0">
            <x v="4"/>
          </reference>
          <reference field="6" count="1" selected="0">
            <x v="2"/>
          </reference>
          <reference field="7" count="1">
            <x v="0"/>
          </reference>
        </references>
      </pivotArea>
    </format>
    <format dxfId="446">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445">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444">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443">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442">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441">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440">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439">
      <pivotArea dataOnly="0" labelOnly="1" outline="0" fieldPosition="0">
        <references count="1">
          <reference field="6" count="0"/>
        </references>
      </pivotArea>
    </format>
    <format dxfId="438">
      <pivotArea dataOnly="0" labelOnly="1" outline="0" fieldPosition="0">
        <references count="1">
          <reference field="6" count="0"/>
        </references>
      </pivotArea>
    </format>
    <format dxfId="437">
      <pivotArea dataOnly="0" labelOnly="1" outline="0" fieldPosition="0">
        <references count="1">
          <reference field="6" count="0"/>
        </references>
      </pivotArea>
    </format>
    <format dxfId="436">
      <pivotArea dataOnly="0" labelOnly="1" outline="0" fieldPosition="0">
        <references count="1">
          <reference field="6" count="0"/>
        </references>
      </pivotArea>
    </format>
    <format dxfId="435">
      <pivotArea type="all" dataOnly="0" outline="0" fieldPosition="0"/>
    </format>
    <format dxfId="434">
      <pivotArea outline="0" collapsedLevelsAreSubtotals="1" fieldPosition="0"/>
    </format>
    <format dxfId="433">
      <pivotArea field="0" type="button" dataOnly="0" labelOnly="1" outline="0" axis="axisRow" fieldPosition="0"/>
    </format>
    <format dxfId="432">
      <pivotArea field="6" type="button" dataOnly="0" labelOnly="1" outline="0" axis="axisRow" fieldPosition="1"/>
    </format>
    <format dxfId="431">
      <pivotArea field="7" type="button" dataOnly="0" labelOnly="1" outline="0" axis="axisRow" fieldPosition="2"/>
    </format>
    <format dxfId="430">
      <pivotArea field="2" type="button" dataOnly="0" labelOnly="1" outline="0" axis="axisRow" fieldPosition="3"/>
    </format>
    <format dxfId="429">
      <pivotArea dataOnly="0" labelOnly="1" outline="0" fieldPosition="0">
        <references count="1">
          <reference field="0" count="7">
            <x v="0"/>
            <x v="1"/>
            <x v="2"/>
            <x v="3"/>
            <x v="4"/>
            <x v="5"/>
            <x v="6"/>
          </reference>
        </references>
      </pivotArea>
    </format>
    <format dxfId="428">
      <pivotArea dataOnly="0" labelOnly="1" grandRow="1" outline="0" fieldPosition="0"/>
    </format>
    <format dxfId="427">
      <pivotArea dataOnly="0" labelOnly="1" outline="0" fieldPosition="0">
        <references count="2">
          <reference field="0" count="1" selected="0">
            <x v="0"/>
          </reference>
          <reference field="6" count="1">
            <x v="2"/>
          </reference>
        </references>
      </pivotArea>
    </format>
    <format dxfId="426">
      <pivotArea dataOnly="0" labelOnly="1" outline="0" fieldPosition="0">
        <references count="2">
          <reference field="0" count="1" selected="0">
            <x v="1"/>
          </reference>
          <reference field="6" count="1">
            <x v="0"/>
          </reference>
        </references>
      </pivotArea>
    </format>
    <format dxfId="425">
      <pivotArea dataOnly="0" labelOnly="1" outline="0" fieldPosition="0">
        <references count="2">
          <reference field="0" count="1" selected="0">
            <x v="3"/>
          </reference>
          <reference field="6" count="1">
            <x v="1"/>
          </reference>
        </references>
      </pivotArea>
    </format>
    <format dxfId="424">
      <pivotArea dataOnly="0" labelOnly="1" outline="0" fieldPosition="0">
        <references count="2">
          <reference field="0" count="1" selected="0">
            <x v="4"/>
          </reference>
          <reference field="6" count="1">
            <x v="2"/>
          </reference>
        </references>
      </pivotArea>
    </format>
    <format dxfId="423">
      <pivotArea dataOnly="0" labelOnly="1" outline="0" fieldPosition="0">
        <references count="2">
          <reference field="0" count="1" selected="0">
            <x v="6"/>
          </reference>
          <reference field="6" count="1">
            <x v="0"/>
          </reference>
        </references>
      </pivotArea>
    </format>
    <format dxfId="422">
      <pivotArea dataOnly="0" labelOnly="1" outline="0" fieldPosition="0">
        <references count="3">
          <reference field="0" count="1" selected="0">
            <x v="0"/>
          </reference>
          <reference field="6" count="1" selected="0">
            <x v="2"/>
          </reference>
          <reference field="7" count="1">
            <x v="0"/>
          </reference>
        </references>
      </pivotArea>
    </format>
    <format dxfId="421">
      <pivotArea dataOnly="0" labelOnly="1" outline="0" fieldPosition="0">
        <references count="3">
          <reference field="0" count="1" selected="0">
            <x v="3"/>
          </reference>
          <reference field="6" count="1" selected="0">
            <x v="1"/>
          </reference>
          <reference field="7" count="1">
            <x v="1"/>
          </reference>
        </references>
      </pivotArea>
    </format>
    <format dxfId="420">
      <pivotArea dataOnly="0" labelOnly="1" outline="0" fieldPosition="0">
        <references count="3">
          <reference field="0" count="1" selected="0">
            <x v="4"/>
          </reference>
          <reference field="6" count="1" selected="0">
            <x v="2"/>
          </reference>
          <reference field="7" count="1">
            <x v="0"/>
          </reference>
        </references>
      </pivotArea>
    </format>
    <format dxfId="419">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418">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417">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416">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415">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414">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413">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412">
      <pivotArea type="all" dataOnly="0" outline="0" fieldPosition="0"/>
    </format>
    <format dxfId="411">
      <pivotArea outline="0" collapsedLevelsAreSubtotals="1" fieldPosition="0"/>
    </format>
    <format dxfId="410">
      <pivotArea field="0" type="button" dataOnly="0" labelOnly="1" outline="0" axis="axisRow" fieldPosition="0"/>
    </format>
    <format dxfId="409">
      <pivotArea field="6" type="button" dataOnly="0" labelOnly="1" outline="0" axis="axisRow" fieldPosition="1"/>
    </format>
    <format dxfId="408">
      <pivotArea field="7" type="button" dataOnly="0" labelOnly="1" outline="0" axis="axisRow" fieldPosition="2"/>
    </format>
    <format dxfId="407">
      <pivotArea field="2" type="button" dataOnly="0" labelOnly="1" outline="0" axis="axisRow" fieldPosition="3"/>
    </format>
    <format dxfId="406">
      <pivotArea dataOnly="0" labelOnly="1" outline="0" fieldPosition="0">
        <references count="1">
          <reference field="0" count="7">
            <x v="0"/>
            <x v="1"/>
            <x v="2"/>
            <x v="3"/>
            <x v="4"/>
            <x v="5"/>
            <x v="6"/>
          </reference>
        </references>
      </pivotArea>
    </format>
    <format dxfId="405">
      <pivotArea dataOnly="0" labelOnly="1" grandRow="1" outline="0" fieldPosition="0"/>
    </format>
    <format dxfId="404">
      <pivotArea dataOnly="0" labelOnly="1" outline="0" fieldPosition="0">
        <references count="2">
          <reference field="0" count="1" selected="0">
            <x v="0"/>
          </reference>
          <reference field="6" count="1">
            <x v="2"/>
          </reference>
        </references>
      </pivotArea>
    </format>
    <format dxfId="403">
      <pivotArea dataOnly="0" labelOnly="1" outline="0" fieldPosition="0">
        <references count="2">
          <reference field="0" count="1" selected="0">
            <x v="1"/>
          </reference>
          <reference field="6" count="1">
            <x v="0"/>
          </reference>
        </references>
      </pivotArea>
    </format>
    <format dxfId="402">
      <pivotArea dataOnly="0" labelOnly="1" outline="0" fieldPosition="0">
        <references count="2">
          <reference field="0" count="1" selected="0">
            <x v="3"/>
          </reference>
          <reference field="6" count="1">
            <x v="1"/>
          </reference>
        </references>
      </pivotArea>
    </format>
    <format dxfId="401">
      <pivotArea dataOnly="0" labelOnly="1" outline="0" fieldPosition="0">
        <references count="2">
          <reference field="0" count="1" selected="0">
            <x v="4"/>
          </reference>
          <reference field="6" count="1">
            <x v="2"/>
          </reference>
        </references>
      </pivotArea>
    </format>
    <format dxfId="400">
      <pivotArea dataOnly="0" labelOnly="1" outline="0" fieldPosition="0">
        <references count="2">
          <reference field="0" count="1" selected="0">
            <x v="6"/>
          </reference>
          <reference field="6" count="1">
            <x v="0"/>
          </reference>
        </references>
      </pivotArea>
    </format>
    <format dxfId="399">
      <pivotArea dataOnly="0" labelOnly="1" outline="0" fieldPosition="0">
        <references count="3">
          <reference field="0" count="1" selected="0">
            <x v="0"/>
          </reference>
          <reference field="6" count="1" selected="0">
            <x v="2"/>
          </reference>
          <reference field="7" count="1">
            <x v="0"/>
          </reference>
        </references>
      </pivotArea>
    </format>
    <format dxfId="398">
      <pivotArea dataOnly="0" labelOnly="1" outline="0" fieldPosition="0">
        <references count="3">
          <reference field="0" count="1" selected="0">
            <x v="3"/>
          </reference>
          <reference field="6" count="1" selected="0">
            <x v="1"/>
          </reference>
          <reference field="7" count="1">
            <x v="1"/>
          </reference>
        </references>
      </pivotArea>
    </format>
    <format dxfId="397">
      <pivotArea dataOnly="0" labelOnly="1" outline="0" fieldPosition="0">
        <references count="3">
          <reference field="0" count="1" selected="0">
            <x v="4"/>
          </reference>
          <reference field="6" count="1" selected="0">
            <x v="2"/>
          </reference>
          <reference field="7" count="1">
            <x v="0"/>
          </reference>
        </references>
      </pivotArea>
    </format>
    <format dxfId="396">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395">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394">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393">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392">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391">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390">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389">
      <pivotArea field="0" type="button" dataOnly="0" labelOnly="1" outline="0" axis="axisRow" fieldPosition="0"/>
    </format>
    <format dxfId="388">
      <pivotArea field="6" type="button" dataOnly="0" labelOnly="1" outline="0" axis="axisRow" fieldPosition="1"/>
    </format>
    <format dxfId="387">
      <pivotArea field="7" type="button" dataOnly="0" labelOnly="1" outline="0" axis="axisRow" fieldPosition="2"/>
    </format>
    <format dxfId="386">
      <pivotArea field="2" type="button" dataOnly="0" labelOnly="1" outline="0" axis="axisRow" fieldPosition="3"/>
    </format>
    <format dxfId="385">
      <pivotArea grandRow="1" outline="0" collapsedLevelsAreSubtotals="1" fieldPosition="0"/>
    </format>
    <format dxfId="384">
      <pivotArea dataOnly="0" labelOnly="1" grandRow="1" outline="0" fieldPosition="0"/>
    </format>
    <format dxfId="383">
      <pivotArea type="all" dataOnly="0" outline="0" fieldPosition="0"/>
    </format>
    <format dxfId="382">
      <pivotArea outline="0" collapsedLevelsAreSubtotals="1" fieldPosition="0"/>
    </format>
    <format dxfId="381">
      <pivotArea field="0" type="button" dataOnly="0" labelOnly="1" outline="0" axis="axisRow" fieldPosition="0"/>
    </format>
    <format dxfId="380">
      <pivotArea field="6" type="button" dataOnly="0" labelOnly="1" outline="0" axis="axisRow" fieldPosition="1"/>
    </format>
    <format dxfId="379">
      <pivotArea field="7" type="button" dataOnly="0" labelOnly="1" outline="0" axis="axisRow" fieldPosition="2"/>
    </format>
    <format dxfId="378">
      <pivotArea field="2" type="button" dataOnly="0" labelOnly="1" outline="0" axis="axisRow" fieldPosition="3"/>
    </format>
    <format dxfId="377">
      <pivotArea dataOnly="0" labelOnly="1" outline="0" fieldPosition="0">
        <references count="1">
          <reference field="0" count="7">
            <x v="0"/>
            <x v="1"/>
            <x v="2"/>
            <x v="3"/>
            <x v="4"/>
            <x v="5"/>
            <x v="6"/>
          </reference>
        </references>
      </pivotArea>
    </format>
    <format dxfId="376">
      <pivotArea dataOnly="0" labelOnly="1" grandRow="1" outline="0" fieldPosition="0"/>
    </format>
    <format dxfId="375">
      <pivotArea dataOnly="0" labelOnly="1" outline="0" fieldPosition="0">
        <references count="2">
          <reference field="0" count="1" selected="0">
            <x v="0"/>
          </reference>
          <reference field="6" count="1">
            <x v="2"/>
          </reference>
        </references>
      </pivotArea>
    </format>
    <format dxfId="374">
      <pivotArea dataOnly="0" labelOnly="1" outline="0" fieldPosition="0">
        <references count="2">
          <reference field="0" count="1" selected="0">
            <x v="1"/>
          </reference>
          <reference field="6" count="1">
            <x v="0"/>
          </reference>
        </references>
      </pivotArea>
    </format>
    <format dxfId="373">
      <pivotArea dataOnly="0" labelOnly="1" outline="0" fieldPosition="0">
        <references count="2">
          <reference field="0" count="1" selected="0">
            <x v="3"/>
          </reference>
          <reference field="6" count="1">
            <x v="1"/>
          </reference>
        </references>
      </pivotArea>
    </format>
    <format dxfId="372">
      <pivotArea dataOnly="0" labelOnly="1" outline="0" fieldPosition="0">
        <references count="2">
          <reference field="0" count="1" selected="0">
            <x v="4"/>
          </reference>
          <reference field="6" count="1">
            <x v="2"/>
          </reference>
        </references>
      </pivotArea>
    </format>
    <format dxfId="371">
      <pivotArea dataOnly="0" labelOnly="1" outline="0" fieldPosition="0">
        <references count="2">
          <reference field="0" count="1" selected="0">
            <x v="6"/>
          </reference>
          <reference field="6" count="1">
            <x v="0"/>
          </reference>
        </references>
      </pivotArea>
    </format>
    <format dxfId="370">
      <pivotArea dataOnly="0" labelOnly="1" outline="0" fieldPosition="0">
        <references count="3">
          <reference field="0" count="1" selected="0">
            <x v="0"/>
          </reference>
          <reference field="6" count="1" selected="0">
            <x v="2"/>
          </reference>
          <reference field="7" count="1">
            <x v="0"/>
          </reference>
        </references>
      </pivotArea>
    </format>
    <format dxfId="369">
      <pivotArea dataOnly="0" labelOnly="1" outline="0" fieldPosition="0">
        <references count="3">
          <reference field="0" count="1" selected="0">
            <x v="3"/>
          </reference>
          <reference field="6" count="1" selected="0">
            <x v="1"/>
          </reference>
          <reference field="7" count="1">
            <x v="1"/>
          </reference>
        </references>
      </pivotArea>
    </format>
    <format dxfId="368">
      <pivotArea dataOnly="0" labelOnly="1" outline="0" fieldPosition="0">
        <references count="3">
          <reference field="0" count="1" selected="0">
            <x v="4"/>
          </reference>
          <reference field="6" count="1" selected="0">
            <x v="2"/>
          </reference>
          <reference field="7" count="1">
            <x v="0"/>
          </reference>
        </references>
      </pivotArea>
    </format>
    <format dxfId="367">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366">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365">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364">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363">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362">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361">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360">
      <pivotArea type="all" dataOnly="0" outline="0" fieldPosition="0"/>
    </format>
    <format dxfId="359">
      <pivotArea outline="0" collapsedLevelsAreSubtotals="1" fieldPosition="0"/>
    </format>
    <format dxfId="358">
      <pivotArea field="0" type="button" dataOnly="0" labelOnly="1" outline="0" axis="axisRow" fieldPosition="0"/>
    </format>
    <format dxfId="357">
      <pivotArea field="6" type="button" dataOnly="0" labelOnly="1" outline="0" axis="axisRow" fieldPosition="1"/>
    </format>
    <format dxfId="356">
      <pivotArea field="7" type="button" dataOnly="0" labelOnly="1" outline="0" axis="axisRow" fieldPosition="2"/>
    </format>
    <format dxfId="355">
      <pivotArea field="2" type="button" dataOnly="0" labelOnly="1" outline="0" axis="axisRow" fieldPosition="3"/>
    </format>
    <format dxfId="354">
      <pivotArea dataOnly="0" labelOnly="1" outline="0" fieldPosition="0">
        <references count="1">
          <reference field="0" count="7">
            <x v="0"/>
            <x v="1"/>
            <x v="2"/>
            <x v="3"/>
            <x v="4"/>
            <x v="5"/>
            <x v="6"/>
          </reference>
        </references>
      </pivotArea>
    </format>
    <format dxfId="353">
      <pivotArea dataOnly="0" labelOnly="1" grandRow="1" outline="0" fieldPosition="0"/>
    </format>
    <format dxfId="352">
      <pivotArea dataOnly="0" labelOnly="1" outline="0" fieldPosition="0">
        <references count="2">
          <reference field="0" count="1" selected="0">
            <x v="0"/>
          </reference>
          <reference field="6" count="1">
            <x v="2"/>
          </reference>
        </references>
      </pivotArea>
    </format>
    <format dxfId="351">
      <pivotArea dataOnly="0" labelOnly="1" outline="0" fieldPosition="0">
        <references count="2">
          <reference field="0" count="1" selected="0">
            <x v="1"/>
          </reference>
          <reference field="6" count="1">
            <x v="0"/>
          </reference>
        </references>
      </pivotArea>
    </format>
    <format dxfId="350">
      <pivotArea dataOnly="0" labelOnly="1" outline="0" fieldPosition="0">
        <references count="2">
          <reference field="0" count="1" selected="0">
            <x v="3"/>
          </reference>
          <reference field="6" count="1">
            <x v="1"/>
          </reference>
        </references>
      </pivotArea>
    </format>
    <format dxfId="349">
      <pivotArea dataOnly="0" labelOnly="1" outline="0" fieldPosition="0">
        <references count="2">
          <reference field="0" count="1" selected="0">
            <x v="4"/>
          </reference>
          <reference field="6" count="1">
            <x v="2"/>
          </reference>
        </references>
      </pivotArea>
    </format>
    <format dxfId="348">
      <pivotArea dataOnly="0" labelOnly="1" outline="0" fieldPosition="0">
        <references count="2">
          <reference field="0" count="1" selected="0">
            <x v="6"/>
          </reference>
          <reference field="6" count="1">
            <x v="0"/>
          </reference>
        </references>
      </pivotArea>
    </format>
    <format dxfId="347">
      <pivotArea dataOnly="0" labelOnly="1" outline="0" fieldPosition="0">
        <references count="3">
          <reference field="0" count="1" selected="0">
            <x v="0"/>
          </reference>
          <reference field="6" count="1" selected="0">
            <x v="2"/>
          </reference>
          <reference field="7" count="1">
            <x v="0"/>
          </reference>
        </references>
      </pivotArea>
    </format>
    <format dxfId="346">
      <pivotArea dataOnly="0" labelOnly="1" outline="0" fieldPosition="0">
        <references count="3">
          <reference field="0" count="1" selected="0">
            <x v="3"/>
          </reference>
          <reference field="6" count="1" selected="0">
            <x v="1"/>
          </reference>
          <reference field="7" count="1">
            <x v="1"/>
          </reference>
        </references>
      </pivotArea>
    </format>
    <format dxfId="345">
      <pivotArea dataOnly="0" labelOnly="1" outline="0" fieldPosition="0">
        <references count="3">
          <reference field="0" count="1" selected="0">
            <x v="4"/>
          </reference>
          <reference field="6" count="1" selected="0">
            <x v="2"/>
          </reference>
          <reference field="7" count="1">
            <x v="0"/>
          </reference>
        </references>
      </pivotArea>
    </format>
    <format dxfId="344">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343">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342">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341">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340">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339">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338">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337">
      <pivotArea outline="0" fieldPosition="0">
        <references count="1">
          <reference field="4294967294" count="3" selected="0">
            <x v="3"/>
            <x v="9"/>
            <x v="10"/>
          </reference>
        </references>
      </pivotArea>
    </format>
    <format dxfId="336">
      <pivotArea outline="0" fieldPosition="0">
        <references count="1">
          <reference field="4294967294" count="1" selected="0">
            <x v="11"/>
          </reference>
        </references>
      </pivotArea>
    </format>
    <format dxfId="335">
      <pivotArea dataOnly="0" outline="0" fieldPosition="0">
        <references count="1">
          <reference field="4294967294" count="4">
            <x v="3"/>
            <x v="9"/>
            <x v="10"/>
            <x v="11"/>
          </reference>
        </references>
      </pivotArea>
    </format>
    <format dxfId="334">
      <pivotArea dataOnly="0" outline="0" fieldPosition="0">
        <references count="1">
          <reference field="4294967294" count="4">
            <x v="3"/>
            <x v="9"/>
            <x v="10"/>
            <x v="11"/>
          </reference>
        </references>
      </pivotArea>
    </format>
    <format dxfId="333">
      <pivotArea dataOnly="0" outline="0" fieldPosition="0">
        <references count="1">
          <reference field="4294967294" count="4">
            <x v="3"/>
            <x v="9"/>
            <x v="10"/>
            <x v="11"/>
          </reference>
        </references>
      </pivotArea>
    </format>
    <format dxfId="332">
      <pivotArea outline="0" collapsedLevelsAreSubtotals="1" fieldPosition="0"/>
    </format>
    <format dxfId="331">
      <pivotArea dataOnly="0" labelOnly="1" outline="0" fieldPosition="0">
        <references count="1">
          <reference field="4294967294" count="9">
            <x v="3"/>
            <x v="4"/>
            <x v="5"/>
            <x v="6"/>
            <x v="7"/>
            <x v="8"/>
            <x v="9"/>
            <x v="10"/>
            <x v="11"/>
          </reference>
        </references>
      </pivotArea>
    </format>
    <format dxfId="330">
      <pivotArea outline="0" fieldPosition="0">
        <references count="1">
          <reference field="4294967294" count="1" selected="0">
            <x v="2"/>
          </reference>
        </references>
      </pivotArea>
    </format>
    <format dxfId="329">
      <pivotArea field="0" grandRow="1" outline="0" axis="axisRow" fieldPosition="0">
        <references count="1">
          <reference field="4294967294" count="1" selected="0">
            <x v="2"/>
          </reference>
        </references>
      </pivotArea>
    </format>
    <format dxfId="328">
      <pivotArea field="0" grandRow="1" outline="0" axis="axisRow" fieldPosition="0">
        <references count="1">
          <reference field="4294967294" count="1" selected="0">
            <x v="2"/>
          </reference>
        </references>
      </pivotArea>
    </format>
    <format dxfId="327">
      <pivotArea field="0" grandRow="1" outline="0" axis="axisRow" fieldPosition="0">
        <references count="1">
          <reference field="4294967294" count="1" selected="0">
            <x v="2"/>
          </reference>
        </references>
      </pivotArea>
    </format>
    <format dxfId="326">
      <pivotArea field="0" grandRow="1" outline="0" axis="axisRow" fieldPosition="0">
        <references count="1">
          <reference field="4294967294" count="1" selected="0">
            <x v="2"/>
          </reference>
        </references>
      </pivotArea>
    </format>
    <format dxfId="325">
      <pivotArea field="0" grandRow="1" outline="0" axis="axisRow" fieldPosition="0">
        <references count="1">
          <reference field="4294967294" count="1" selected="0">
            <x v="2"/>
          </reference>
        </references>
      </pivotArea>
    </format>
    <format dxfId="324">
      <pivotArea field="10" type="button" dataOnly="0" labelOnly="1" outline="0" axis="axisPage" fieldPosition="0"/>
    </format>
    <format dxfId="323">
      <pivotArea field="10" type="button" dataOnly="0" labelOnly="1" outline="0" axis="axisPage" fieldPosition="0"/>
    </format>
    <format dxfId="322">
      <pivotArea field="10" type="button" dataOnly="0" labelOnly="1" outline="0" axis="axisPage" fieldPosition="0"/>
    </format>
    <format dxfId="321">
      <pivotArea field="10" type="button" dataOnly="0" labelOnly="1" outline="0" axis="axisPage" fieldPosition="0"/>
    </format>
    <format dxfId="320">
      <pivotArea field="10" type="button" dataOnly="0" labelOnly="1" outline="0" axis="axisPage"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400-000005000000}" name="PivotTable9" cacheId="16" applyNumberFormats="0" applyBorderFormats="0" applyFontFormats="0" applyPatternFormats="0" applyAlignmentFormats="0" applyWidthHeightFormats="1" dataCaption="Werte" grandTotalCaption="Total" updatedVersion="6" minRefreshableVersion="3" showDrill="0" useAutoFormatting="1" itemPrintTitles="1" createdVersion="6" indent="0" compact="0" compactData="0" multipleFieldFilters="0">
  <location ref="B112:Q120" firstHeaderRow="0" firstDataRow="1" firstDataCol="4" rowPageCount="1" colPageCount="1"/>
  <pivotFields count="118">
    <pivotField axis="axisRow" compact="0" outline="0" showAll="0" defaultSubtotal="0">
      <items count="200">
        <item x="83"/>
        <item x="119"/>
        <item x="122"/>
        <item x="137"/>
        <item x="138"/>
        <item x="172"/>
        <item x="182"/>
        <item x="130"/>
        <item x="84"/>
        <item x="120"/>
        <item x="167"/>
        <item x="82"/>
        <item x="164"/>
        <item x="103"/>
        <item x="67"/>
        <item x="142"/>
        <item x="89"/>
        <item x="163"/>
        <item x="179"/>
        <item x="178"/>
        <item x="53"/>
        <item x="50"/>
        <item x="70"/>
        <item x="139"/>
        <item x="147"/>
        <item x="176"/>
        <item x="54"/>
        <item x="64"/>
        <item x="126"/>
        <item x="170"/>
        <item x="117"/>
        <item x="141"/>
        <item x="128"/>
        <item x="127"/>
        <item x="136"/>
        <item x="156"/>
        <item x="192"/>
        <item x="123"/>
        <item x="116"/>
        <item x="149"/>
        <item x="55"/>
        <item x="92"/>
        <item x="146"/>
        <item x="77"/>
        <item x="129"/>
        <item x="60"/>
        <item x="68"/>
        <item x="193"/>
        <item x="150"/>
        <item x="57"/>
        <item x="181"/>
        <item x="78"/>
        <item x="155"/>
        <item x="159"/>
        <item x="132"/>
        <item x="104"/>
        <item x="74"/>
        <item x="111"/>
        <item x="110"/>
        <item x="109"/>
        <item x="189"/>
        <item x="190"/>
        <item x="154"/>
        <item x="165"/>
        <item x="188"/>
        <item x="186"/>
        <item x="187"/>
        <item x="69"/>
        <item x="95"/>
        <item x="62"/>
        <item x="166"/>
        <item x="56"/>
        <item x="65"/>
        <item x="152"/>
        <item x="58"/>
        <item x="195"/>
        <item x="90"/>
        <item x="114"/>
        <item x="108"/>
        <item x="63"/>
        <item m="1" x="199"/>
        <item x="71"/>
        <item x="88"/>
        <item x="52"/>
        <item x="85"/>
        <item x="153"/>
        <item x="135"/>
        <item x="196"/>
        <item x="133"/>
        <item x="162"/>
        <item x="59"/>
        <item x="87"/>
        <item x="76"/>
        <item x="184"/>
        <item x="158"/>
        <item x="161"/>
        <item x="113"/>
        <item x="173"/>
        <item x="125"/>
        <item x="180"/>
        <item x="171"/>
        <item x="140"/>
        <item x="73"/>
        <item x="91"/>
        <item x="194"/>
        <item x="177"/>
        <item x="97"/>
        <item x="144"/>
        <item x="106"/>
        <item x="105"/>
        <item x="100"/>
        <item x="183"/>
        <item x="148"/>
        <item x="75"/>
        <item x="102"/>
        <item x="143"/>
        <item x="51"/>
        <item x="107"/>
        <item x="157"/>
        <item x="168"/>
        <item x="93"/>
        <item x="66"/>
        <item x="160"/>
        <item x="121"/>
        <item x="79"/>
        <item x="96"/>
        <item x="101"/>
        <item x="151"/>
        <item x="198"/>
        <item x="118"/>
        <item x="169"/>
        <item x="185"/>
        <item x="94"/>
        <item x="80"/>
        <item x="99"/>
        <item x="81"/>
        <item x="145"/>
        <item x="131"/>
        <item x="134"/>
        <item x="174"/>
        <item x="175"/>
        <item x="43"/>
        <item x="44"/>
        <item x="45"/>
        <item x="47"/>
        <item x="48"/>
        <item x="112"/>
        <item x="115"/>
        <item x="124"/>
        <item x="197"/>
        <item x="42"/>
        <item x="41"/>
        <item x="46"/>
        <item x="40"/>
        <item x="72"/>
        <item x="38"/>
        <item x="49"/>
        <item x="37"/>
        <item x="32"/>
        <item x="33"/>
        <item x="35"/>
        <item x="36"/>
        <item x="18"/>
        <item x="19"/>
        <item x="20"/>
        <item x="21"/>
        <item x="22"/>
        <item x="23"/>
        <item x="24"/>
        <item x="25"/>
        <item x="26"/>
        <item x="27"/>
        <item x="28"/>
        <item x="29"/>
        <item x="30"/>
        <item x="31"/>
        <item x="34"/>
        <item x="39"/>
        <item x="61"/>
        <item x="86"/>
        <item x="98"/>
        <item x="14"/>
        <item x="15"/>
        <item x="16"/>
        <item x="7"/>
        <item x="8"/>
        <item x="9"/>
        <item x="10"/>
        <item x="11"/>
        <item x="12"/>
        <item x="13"/>
        <item x="191"/>
        <item x="6"/>
        <item x="0"/>
        <item x="1"/>
        <item x="2"/>
        <item x="3"/>
        <item x="4"/>
        <item x="5"/>
        <item x="17"/>
      </items>
    </pivotField>
    <pivotField compact="0" outline="0" showAll="0" defaultSubtotal="0"/>
    <pivotField axis="axisRow" compact="0" outline="0" showAll="0" defaultSubtotal="0">
      <items count="143">
        <item x="54"/>
        <item x="61"/>
        <item x="38"/>
        <item x="58"/>
        <item x="88"/>
        <item x="78"/>
        <item x="26"/>
        <item x="17"/>
        <item x="84"/>
        <item x="23"/>
        <item x="50"/>
        <item x="11"/>
        <item x="91"/>
        <item x="79"/>
        <item x="13"/>
        <item x="63"/>
        <item x="64"/>
        <item m="1" x="130"/>
        <item m="1" x="140"/>
        <item x="32"/>
        <item x="72"/>
        <item x="55"/>
        <item x="62"/>
        <item x="110"/>
        <item x="111"/>
        <item x="46"/>
        <item x="44"/>
        <item x="53"/>
        <item x="93"/>
        <item x="109"/>
        <item x="47"/>
        <item x="95"/>
        <item x="87"/>
        <item x="120"/>
        <item x="86"/>
        <item x="82"/>
        <item x="81"/>
        <item x="77"/>
        <item x="94"/>
        <item x="48"/>
        <item m="1" x="139"/>
        <item m="1" x="138"/>
        <item x="92"/>
        <item x="60"/>
        <item m="1" x="129"/>
        <item x="51"/>
        <item x="56"/>
        <item m="1" x="131"/>
        <item m="1" x="127"/>
        <item x="5"/>
        <item x="99"/>
        <item x="101"/>
        <item m="1" x="122"/>
        <item x="73"/>
        <item x="59"/>
        <item x="75"/>
        <item x="98"/>
        <item x="9"/>
        <item x="116"/>
        <item x="114"/>
        <item x="115"/>
        <item m="1" x="128"/>
        <item x="57"/>
        <item m="1" x="126"/>
        <item m="1" x="125"/>
        <item x="103"/>
        <item x="113"/>
        <item x="100"/>
        <item m="1" x="141"/>
        <item x="97"/>
        <item x="119"/>
        <item x="80"/>
        <item x="69"/>
        <item x="22"/>
        <item x="49"/>
        <item x="106"/>
        <item m="1" x="124"/>
        <item x="107"/>
        <item x="108"/>
        <item x="112"/>
        <item x="33"/>
        <item x="65"/>
        <item m="1" x="123"/>
        <item x="90"/>
        <item x="74"/>
        <item m="1" x="137"/>
        <item m="1" x="135"/>
        <item x="66"/>
        <item x="89"/>
        <item m="1" x="136"/>
        <item x="7"/>
        <item x="45"/>
        <item m="1" x="133"/>
        <item x="67"/>
        <item x="52"/>
        <item x="118"/>
        <item x="104"/>
        <item m="1" x="132"/>
        <item x="96"/>
        <item x="121"/>
        <item x="105"/>
        <item x="70"/>
        <item x="85"/>
        <item x="43"/>
        <item x="40"/>
        <item x="42"/>
        <item x="76"/>
        <item x="83"/>
        <item x="37"/>
        <item x="41"/>
        <item m="1" x="134"/>
        <item x="36"/>
        <item x="29"/>
        <item x="30"/>
        <item x="18"/>
        <item x="19"/>
        <item x="20"/>
        <item x="21"/>
        <item x="24"/>
        <item x="25"/>
        <item x="27"/>
        <item x="28"/>
        <item x="31"/>
        <item x="34"/>
        <item m="1" x="142"/>
        <item x="39"/>
        <item x="68"/>
        <item x="117"/>
        <item x="14"/>
        <item x="15"/>
        <item x="16"/>
        <item x="8"/>
        <item x="10"/>
        <item x="12"/>
        <item x="6"/>
        <item x="0"/>
        <item x="1"/>
        <item x="2"/>
        <item x="3"/>
        <item x="4"/>
        <item x="35"/>
        <item x="71"/>
        <item x="102"/>
      </items>
    </pivotField>
    <pivotField compact="0" outline="0" showAll="0" defaultSubtotal="0"/>
    <pivotField compact="0" outline="0" showAll="0" defaultSubtotal="0"/>
    <pivotField compact="0" outline="0" showAll="0" defaultSubtotal="0"/>
    <pivotField axis="axisRow" compact="0" outline="0" showAll="0" defaultSubtotal="0">
      <items count="4">
        <item x="0"/>
        <item x="1"/>
        <item h="1" x="2"/>
        <item h="1" x="3"/>
      </items>
    </pivotField>
    <pivotField axis="axisRow" compact="0" outline="0" showAll="0" defaultSubtotal="0">
      <items count="3">
        <item x="2"/>
        <item x="1"/>
        <item x="0"/>
      </items>
    </pivotField>
    <pivotField compact="0" outline="0" showAll="0" defaultSubtotal="0"/>
    <pivotField compact="0" outline="0" showAll="0" defaultSubtotal="0"/>
    <pivotField name="APPROVED AND RUNNING " axis="axisPage" compact="0" outline="0" multipleItemSelectionAllowed="1" showAll="0" defaultSubtotal="0">
      <items count="14">
        <item h="1" x="2"/>
        <item h="1" x="0"/>
        <item h="1" x="3"/>
        <item x="4"/>
        <item h="1" x="6"/>
        <item h="1" x="1"/>
        <item h="1" m="1" x="7"/>
        <item h="1" m="1" x="9"/>
        <item h="1" m="1" x="10"/>
        <item h="1" m="1" x="8"/>
        <item h="1" m="1" x="11"/>
        <item h="1" m="1" x="13"/>
        <item h="1" m="1" x="12"/>
        <item h="1"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dataField="1" compact="0" numFmtId="166" outline="0" showAll="0" defaultSubtotal="0"/>
    <pivotField dataField="1" compact="0" numFmtId="9" outline="0" showAll="0" defaultSubtotal="0"/>
    <pivotField dataField="1" compact="0" numFmtId="166"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numFmtId="9"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s>
  <rowFields count="4">
    <field x="0"/>
    <field x="6"/>
    <field x="7"/>
    <field x="2"/>
  </rowFields>
  <rowItems count="8">
    <i>
      <x v="102"/>
      <x/>
      <x/>
      <x v="80"/>
    </i>
    <i>
      <x v="103"/>
      <x/>
      <x/>
      <x v="81"/>
    </i>
    <i>
      <x v="104"/>
      <x/>
      <x v="1"/>
      <x v="95"/>
    </i>
    <i>
      <x v="128"/>
      <x/>
      <x v="1"/>
      <x v="99"/>
    </i>
    <i>
      <x v="153"/>
      <x/>
      <x/>
      <x v="111"/>
    </i>
    <i>
      <x v="178"/>
      <x v="1"/>
      <x/>
      <x v="90"/>
    </i>
    <i>
      <x v="188"/>
      <x v="1"/>
      <x v="1"/>
      <x v="11"/>
    </i>
    <i t="grand">
      <x/>
    </i>
  </rowItems>
  <colFields count="1">
    <field x="-2"/>
  </colFields>
  <colItems count="12">
    <i>
      <x/>
    </i>
    <i i="1">
      <x v="1"/>
    </i>
    <i i="2">
      <x v="2"/>
    </i>
    <i i="3">
      <x v="3"/>
    </i>
    <i i="4">
      <x v="4"/>
    </i>
    <i i="5">
      <x v="5"/>
    </i>
    <i i="6">
      <x v="6"/>
    </i>
    <i i="7">
      <x v="7"/>
    </i>
    <i i="8">
      <x v="8"/>
    </i>
    <i i="9">
      <x v="9"/>
    </i>
    <i i="10">
      <x v="10"/>
    </i>
    <i i="11">
      <x v="11"/>
    </i>
  </colItems>
  <pageFields count="1">
    <pageField fld="10" hier="-1"/>
  </pageFields>
  <dataFields count="12">
    <dataField name=" Total Project Volume" fld="105" baseField="0" baseItem="0"/>
    <dataField name=" Total Revenues IPK" fld="106" baseField="0" baseItem="0"/>
    <dataField name=" Probability of Success" fld="107" subtotal="average" baseField="2" baseItem="2" numFmtId="9"/>
    <dataField name=" Real Revenue IPK" fld="108" baseField="0" baseItem="0" numFmtId="166"/>
    <dataField name=" OE100" fld="109" baseField="96" baseItem="1"/>
    <dataField name=" OE200" fld="110" baseField="96" baseItem="1"/>
    <dataField name=" OE300" fld="111" baseField="96" baseItem="1"/>
    <dataField name=" OE400" fld="112" baseField="96" baseItem="1"/>
    <dataField name=" OE600" fld="113" baseField="96" baseItem="1"/>
    <dataField name=" Acquisition Bonus OE810" fld="115" baseField="0" baseItem="0" numFmtId="166"/>
    <dataField name=" Project Execution OE810" fld="116" baseField="0" baseItem="0" numFmtId="166"/>
    <dataField name=" OE810" fld="117" baseField="96" baseItem="1" numFmtId="165"/>
  </dataFields>
  <formats count="187">
    <format dxfId="695">
      <pivotArea type="all" dataOnly="0" outline="0" fieldPosition="0"/>
    </format>
    <format dxfId="694">
      <pivotArea outline="0" collapsedLevelsAreSubtotals="1" fieldPosition="0"/>
    </format>
    <format dxfId="693">
      <pivotArea field="0" type="button" dataOnly="0" labelOnly="1" outline="0" axis="axisRow" fieldPosition="0"/>
    </format>
    <format dxfId="692">
      <pivotArea field="6" type="button" dataOnly="0" labelOnly="1" outline="0" axis="axisRow" fieldPosition="1"/>
    </format>
    <format dxfId="691">
      <pivotArea field="7" type="button" dataOnly="0" labelOnly="1" outline="0" axis="axisRow" fieldPosition="2"/>
    </format>
    <format dxfId="690">
      <pivotArea field="2" type="button" dataOnly="0" labelOnly="1" outline="0" axis="axisRow" fieldPosition="3"/>
    </format>
    <format dxfId="689">
      <pivotArea dataOnly="0" labelOnly="1" outline="0" fieldPosition="0">
        <references count="1">
          <reference field="0" count="7">
            <x v="0"/>
            <x v="1"/>
            <x v="2"/>
            <x v="3"/>
            <x v="4"/>
            <x v="5"/>
            <x v="6"/>
          </reference>
        </references>
      </pivotArea>
    </format>
    <format dxfId="688">
      <pivotArea dataOnly="0" labelOnly="1" grandRow="1" outline="0" fieldPosition="0"/>
    </format>
    <format dxfId="687">
      <pivotArea dataOnly="0" labelOnly="1" outline="0" fieldPosition="0">
        <references count="2">
          <reference field="0" count="1" selected="0">
            <x v="0"/>
          </reference>
          <reference field="6" count="1">
            <x v="2"/>
          </reference>
        </references>
      </pivotArea>
    </format>
    <format dxfId="686">
      <pivotArea dataOnly="0" labelOnly="1" outline="0" fieldPosition="0">
        <references count="2">
          <reference field="0" count="1" selected="0">
            <x v="1"/>
          </reference>
          <reference field="6" count="1">
            <x v="0"/>
          </reference>
        </references>
      </pivotArea>
    </format>
    <format dxfId="685">
      <pivotArea dataOnly="0" labelOnly="1" outline="0" fieldPosition="0">
        <references count="2">
          <reference field="0" count="1" selected="0">
            <x v="3"/>
          </reference>
          <reference field="6" count="1">
            <x v="1"/>
          </reference>
        </references>
      </pivotArea>
    </format>
    <format dxfId="684">
      <pivotArea dataOnly="0" labelOnly="1" outline="0" fieldPosition="0">
        <references count="2">
          <reference field="0" count="1" selected="0">
            <x v="4"/>
          </reference>
          <reference field="6" count="1">
            <x v="2"/>
          </reference>
        </references>
      </pivotArea>
    </format>
    <format dxfId="683">
      <pivotArea dataOnly="0" labelOnly="1" outline="0" fieldPosition="0">
        <references count="2">
          <reference field="0" count="1" selected="0">
            <x v="6"/>
          </reference>
          <reference field="6" count="1">
            <x v="0"/>
          </reference>
        </references>
      </pivotArea>
    </format>
    <format dxfId="682">
      <pivotArea dataOnly="0" labelOnly="1" outline="0" fieldPosition="0">
        <references count="3">
          <reference field="0" count="1" selected="0">
            <x v="0"/>
          </reference>
          <reference field="6" count="1" selected="0">
            <x v="2"/>
          </reference>
          <reference field="7" count="1">
            <x v="0"/>
          </reference>
        </references>
      </pivotArea>
    </format>
    <format dxfId="681">
      <pivotArea dataOnly="0" labelOnly="1" outline="0" fieldPosition="0">
        <references count="3">
          <reference field="0" count="1" selected="0">
            <x v="3"/>
          </reference>
          <reference field="6" count="1" selected="0">
            <x v="1"/>
          </reference>
          <reference field="7" count="1">
            <x v="1"/>
          </reference>
        </references>
      </pivotArea>
    </format>
    <format dxfId="680">
      <pivotArea dataOnly="0" labelOnly="1" outline="0" fieldPosition="0">
        <references count="3">
          <reference field="0" count="1" selected="0">
            <x v="4"/>
          </reference>
          <reference field="6" count="1" selected="0">
            <x v="2"/>
          </reference>
          <reference field="7" count="1">
            <x v="0"/>
          </reference>
        </references>
      </pivotArea>
    </format>
    <format dxfId="679">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678">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677">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676">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675">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674">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673">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672">
      <pivotArea type="all" dataOnly="0" outline="0" fieldPosition="0"/>
    </format>
    <format dxfId="671">
      <pivotArea outline="0" collapsedLevelsAreSubtotals="1" fieldPosition="0"/>
    </format>
    <format dxfId="670">
      <pivotArea field="0" type="button" dataOnly="0" labelOnly="1" outline="0" axis="axisRow" fieldPosition="0"/>
    </format>
    <format dxfId="669">
      <pivotArea field="6" type="button" dataOnly="0" labelOnly="1" outline="0" axis="axisRow" fieldPosition="1"/>
    </format>
    <format dxfId="668">
      <pivotArea field="7" type="button" dataOnly="0" labelOnly="1" outline="0" axis="axisRow" fieldPosition="2"/>
    </format>
    <format dxfId="667">
      <pivotArea field="2" type="button" dataOnly="0" labelOnly="1" outline="0" axis="axisRow" fieldPosition="3"/>
    </format>
    <format dxfId="666">
      <pivotArea dataOnly="0" labelOnly="1" outline="0" fieldPosition="0">
        <references count="1">
          <reference field="0" count="7">
            <x v="0"/>
            <x v="1"/>
            <x v="2"/>
            <x v="3"/>
            <x v="4"/>
            <x v="5"/>
            <x v="6"/>
          </reference>
        </references>
      </pivotArea>
    </format>
    <format dxfId="665">
      <pivotArea dataOnly="0" labelOnly="1" grandRow="1" outline="0" fieldPosition="0"/>
    </format>
    <format dxfId="664">
      <pivotArea dataOnly="0" labelOnly="1" outline="0" fieldPosition="0">
        <references count="2">
          <reference field="0" count="1" selected="0">
            <x v="0"/>
          </reference>
          <reference field="6" count="1">
            <x v="2"/>
          </reference>
        </references>
      </pivotArea>
    </format>
    <format dxfId="663">
      <pivotArea dataOnly="0" labelOnly="1" outline="0" fieldPosition="0">
        <references count="2">
          <reference field="0" count="1" selected="0">
            <x v="1"/>
          </reference>
          <reference field="6" count="1">
            <x v="0"/>
          </reference>
        </references>
      </pivotArea>
    </format>
    <format dxfId="662">
      <pivotArea dataOnly="0" labelOnly="1" outline="0" fieldPosition="0">
        <references count="2">
          <reference field="0" count="1" selected="0">
            <x v="3"/>
          </reference>
          <reference field="6" count="1">
            <x v="1"/>
          </reference>
        </references>
      </pivotArea>
    </format>
    <format dxfId="661">
      <pivotArea dataOnly="0" labelOnly="1" outline="0" fieldPosition="0">
        <references count="2">
          <reference field="0" count="1" selected="0">
            <x v="4"/>
          </reference>
          <reference field="6" count="1">
            <x v="2"/>
          </reference>
        </references>
      </pivotArea>
    </format>
    <format dxfId="660">
      <pivotArea dataOnly="0" labelOnly="1" outline="0" fieldPosition="0">
        <references count="2">
          <reference field="0" count="1" selected="0">
            <x v="6"/>
          </reference>
          <reference field="6" count="1">
            <x v="0"/>
          </reference>
        </references>
      </pivotArea>
    </format>
    <format dxfId="659">
      <pivotArea dataOnly="0" labelOnly="1" outline="0" fieldPosition="0">
        <references count="3">
          <reference field="0" count="1" selected="0">
            <x v="0"/>
          </reference>
          <reference field="6" count="1" selected="0">
            <x v="2"/>
          </reference>
          <reference field="7" count="1">
            <x v="0"/>
          </reference>
        </references>
      </pivotArea>
    </format>
    <format dxfId="658">
      <pivotArea dataOnly="0" labelOnly="1" outline="0" fieldPosition="0">
        <references count="3">
          <reference field="0" count="1" selected="0">
            <x v="3"/>
          </reference>
          <reference field="6" count="1" selected="0">
            <x v="1"/>
          </reference>
          <reference field="7" count="1">
            <x v="1"/>
          </reference>
        </references>
      </pivotArea>
    </format>
    <format dxfId="657">
      <pivotArea dataOnly="0" labelOnly="1" outline="0" fieldPosition="0">
        <references count="3">
          <reference field="0" count="1" selected="0">
            <x v="4"/>
          </reference>
          <reference field="6" count="1" selected="0">
            <x v="2"/>
          </reference>
          <reference field="7" count="1">
            <x v="0"/>
          </reference>
        </references>
      </pivotArea>
    </format>
    <format dxfId="656">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655">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654">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653">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652">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651">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650">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649">
      <pivotArea type="all" dataOnly="0" outline="0" fieldPosition="0"/>
    </format>
    <format dxfId="648">
      <pivotArea outline="0" collapsedLevelsAreSubtotals="1" fieldPosition="0"/>
    </format>
    <format dxfId="647">
      <pivotArea field="0" type="button" dataOnly="0" labelOnly="1" outline="0" axis="axisRow" fieldPosition="0"/>
    </format>
    <format dxfId="646">
      <pivotArea field="6" type="button" dataOnly="0" labelOnly="1" outline="0" axis="axisRow" fieldPosition="1"/>
    </format>
    <format dxfId="645">
      <pivotArea field="7" type="button" dataOnly="0" labelOnly="1" outline="0" axis="axisRow" fieldPosition="2"/>
    </format>
    <format dxfId="644">
      <pivotArea field="2" type="button" dataOnly="0" labelOnly="1" outline="0" axis="axisRow" fieldPosition="3"/>
    </format>
    <format dxfId="643">
      <pivotArea dataOnly="0" labelOnly="1" outline="0" fieldPosition="0">
        <references count="1">
          <reference field="0" count="7">
            <x v="0"/>
            <x v="1"/>
            <x v="2"/>
            <x v="3"/>
            <x v="4"/>
            <x v="5"/>
            <x v="6"/>
          </reference>
        </references>
      </pivotArea>
    </format>
    <format dxfId="642">
      <pivotArea dataOnly="0" labelOnly="1" grandRow="1" outline="0" fieldPosition="0"/>
    </format>
    <format dxfId="641">
      <pivotArea dataOnly="0" labelOnly="1" outline="0" fieldPosition="0">
        <references count="2">
          <reference field="0" count="1" selected="0">
            <x v="0"/>
          </reference>
          <reference field="6" count="1">
            <x v="2"/>
          </reference>
        </references>
      </pivotArea>
    </format>
    <format dxfId="640">
      <pivotArea dataOnly="0" labelOnly="1" outline="0" fieldPosition="0">
        <references count="2">
          <reference field="0" count="1" selected="0">
            <x v="1"/>
          </reference>
          <reference field="6" count="1">
            <x v="0"/>
          </reference>
        </references>
      </pivotArea>
    </format>
    <format dxfId="639">
      <pivotArea dataOnly="0" labelOnly="1" outline="0" fieldPosition="0">
        <references count="2">
          <reference field="0" count="1" selected="0">
            <x v="3"/>
          </reference>
          <reference field="6" count="1">
            <x v="1"/>
          </reference>
        </references>
      </pivotArea>
    </format>
    <format dxfId="638">
      <pivotArea dataOnly="0" labelOnly="1" outline="0" fieldPosition="0">
        <references count="2">
          <reference field="0" count="1" selected="0">
            <x v="4"/>
          </reference>
          <reference field="6" count="1">
            <x v="2"/>
          </reference>
        </references>
      </pivotArea>
    </format>
    <format dxfId="637">
      <pivotArea dataOnly="0" labelOnly="1" outline="0" fieldPosition="0">
        <references count="2">
          <reference field="0" count="1" selected="0">
            <x v="6"/>
          </reference>
          <reference field="6" count="1">
            <x v="0"/>
          </reference>
        </references>
      </pivotArea>
    </format>
    <format dxfId="636">
      <pivotArea dataOnly="0" labelOnly="1" outline="0" fieldPosition="0">
        <references count="3">
          <reference field="0" count="1" selected="0">
            <x v="0"/>
          </reference>
          <reference field="6" count="1" selected="0">
            <x v="2"/>
          </reference>
          <reference field="7" count="1">
            <x v="0"/>
          </reference>
        </references>
      </pivotArea>
    </format>
    <format dxfId="635">
      <pivotArea dataOnly="0" labelOnly="1" outline="0" fieldPosition="0">
        <references count="3">
          <reference field="0" count="1" selected="0">
            <x v="3"/>
          </reference>
          <reference field="6" count="1" selected="0">
            <x v="1"/>
          </reference>
          <reference field="7" count="1">
            <x v="1"/>
          </reference>
        </references>
      </pivotArea>
    </format>
    <format dxfId="634">
      <pivotArea dataOnly="0" labelOnly="1" outline="0" fieldPosition="0">
        <references count="3">
          <reference field="0" count="1" selected="0">
            <x v="4"/>
          </reference>
          <reference field="6" count="1" selected="0">
            <x v="2"/>
          </reference>
          <reference field="7" count="1">
            <x v="0"/>
          </reference>
        </references>
      </pivotArea>
    </format>
    <format dxfId="633">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632">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631">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630">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629">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628">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627">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626">
      <pivotArea dataOnly="0" labelOnly="1" outline="0" fieldPosition="0">
        <references count="1">
          <reference field="6" count="0"/>
        </references>
      </pivotArea>
    </format>
    <format dxfId="625">
      <pivotArea dataOnly="0" labelOnly="1" outline="0" fieldPosition="0">
        <references count="1">
          <reference field="6" count="0"/>
        </references>
      </pivotArea>
    </format>
    <format dxfId="624">
      <pivotArea dataOnly="0" labelOnly="1" outline="0" fieldPosition="0">
        <references count="1">
          <reference field="6" count="0"/>
        </references>
      </pivotArea>
    </format>
    <format dxfId="623">
      <pivotArea dataOnly="0" labelOnly="1" outline="0" fieldPosition="0">
        <references count="1">
          <reference field="6" count="0"/>
        </references>
      </pivotArea>
    </format>
    <format dxfId="622">
      <pivotArea type="all" dataOnly="0" outline="0" fieldPosition="0"/>
    </format>
    <format dxfId="621">
      <pivotArea outline="0" collapsedLevelsAreSubtotals="1" fieldPosition="0"/>
    </format>
    <format dxfId="620">
      <pivotArea field="0" type="button" dataOnly="0" labelOnly="1" outline="0" axis="axisRow" fieldPosition="0"/>
    </format>
    <format dxfId="619">
      <pivotArea field="6" type="button" dataOnly="0" labelOnly="1" outline="0" axis="axisRow" fieldPosition="1"/>
    </format>
    <format dxfId="618">
      <pivotArea field="7" type="button" dataOnly="0" labelOnly="1" outline="0" axis="axisRow" fieldPosition="2"/>
    </format>
    <format dxfId="617">
      <pivotArea field="2" type="button" dataOnly="0" labelOnly="1" outline="0" axis="axisRow" fieldPosition="3"/>
    </format>
    <format dxfId="616">
      <pivotArea dataOnly="0" labelOnly="1" outline="0" fieldPosition="0">
        <references count="1">
          <reference field="0" count="7">
            <x v="0"/>
            <x v="1"/>
            <x v="2"/>
            <x v="3"/>
            <x v="4"/>
            <x v="5"/>
            <x v="6"/>
          </reference>
        </references>
      </pivotArea>
    </format>
    <format dxfId="615">
      <pivotArea dataOnly="0" labelOnly="1" grandRow="1" outline="0" fieldPosition="0"/>
    </format>
    <format dxfId="614">
      <pivotArea dataOnly="0" labelOnly="1" outline="0" fieldPosition="0">
        <references count="2">
          <reference field="0" count="1" selected="0">
            <x v="0"/>
          </reference>
          <reference field="6" count="1">
            <x v="2"/>
          </reference>
        </references>
      </pivotArea>
    </format>
    <format dxfId="613">
      <pivotArea dataOnly="0" labelOnly="1" outline="0" fieldPosition="0">
        <references count="2">
          <reference field="0" count="1" selected="0">
            <x v="1"/>
          </reference>
          <reference field="6" count="1">
            <x v="0"/>
          </reference>
        </references>
      </pivotArea>
    </format>
    <format dxfId="612">
      <pivotArea dataOnly="0" labelOnly="1" outline="0" fieldPosition="0">
        <references count="2">
          <reference field="0" count="1" selected="0">
            <x v="3"/>
          </reference>
          <reference field="6" count="1">
            <x v="1"/>
          </reference>
        </references>
      </pivotArea>
    </format>
    <format dxfId="611">
      <pivotArea dataOnly="0" labelOnly="1" outline="0" fieldPosition="0">
        <references count="2">
          <reference field="0" count="1" selected="0">
            <x v="4"/>
          </reference>
          <reference field="6" count="1">
            <x v="2"/>
          </reference>
        </references>
      </pivotArea>
    </format>
    <format dxfId="610">
      <pivotArea dataOnly="0" labelOnly="1" outline="0" fieldPosition="0">
        <references count="2">
          <reference field="0" count="1" selected="0">
            <x v="6"/>
          </reference>
          <reference field="6" count="1">
            <x v="0"/>
          </reference>
        </references>
      </pivotArea>
    </format>
    <format dxfId="609">
      <pivotArea dataOnly="0" labelOnly="1" outline="0" fieldPosition="0">
        <references count="3">
          <reference field="0" count="1" selected="0">
            <x v="0"/>
          </reference>
          <reference field="6" count="1" selected="0">
            <x v="2"/>
          </reference>
          <reference field="7" count="1">
            <x v="0"/>
          </reference>
        </references>
      </pivotArea>
    </format>
    <format dxfId="608">
      <pivotArea dataOnly="0" labelOnly="1" outline="0" fieldPosition="0">
        <references count="3">
          <reference field="0" count="1" selected="0">
            <x v="3"/>
          </reference>
          <reference field="6" count="1" selected="0">
            <x v="1"/>
          </reference>
          <reference field="7" count="1">
            <x v="1"/>
          </reference>
        </references>
      </pivotArea>
    </format>
    <format dxfId="607">
      <pivotArea dataOnly="0" labelOnly="1" outline="0" fieldPosition="0">
        <references count="3">
          <reference field="0" count="1" selected="0">
            <x v="4"/>
          </reference>
          <reference field="6" count="1" selected="0">
            <x v="2"/>
          </reference>
          <reference field="7" count="1">
            <x v="0"/>
          </reference>
        </references>
      </pivotArea>
    </format>
    <format dxfId="606">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605">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604">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603">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602">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601">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600">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599">
      <pivotArea type="all" dataOnly="0" outline="0" fieldPosition="0"/>
    </format>
    <format dxfId="598">
      <pivotArea outline="0" collapsedLevelsAreSubtotals="1" fieldPosition="0"/>
    </format>
    <format dxfId="597">
      <pivotArea field="0" type="button" dataOnly="0" labelOnly="1" outline="0" axis="axisRow" fieldPosition="0"/>
    </format>
    <format dxfId="596">
      <pivotArea field="6" type="button" dataOnly="0" labelOnly="1" outline="0" axis="axisRow" fieldPosition="1"/>
    </format>
    <format dxfId="595">
      <pivotArea field="7" type="button" dataOnly="0" labelOnly="1" outline="0" axis="axisRow" fieldPosition="2"/>
    </format>
    <format dxfId="594">
      <pivotArea field="2" type="button" dataOnly="0" labelOnly="1" outline="0" axis="axisRow" fieldPosition="3"/>
    </format>
    <format dxfId="593">
      <pivotArea dataOnly="0" labelOnly="1" outline="0" fieldPosition="0">
        <references count="1">
          <reference field="0" count="7">
            <x v="0"/>
            <x v="1"/>
            <x v="2"/>
            <x v="3"/>
            <x v="4"/>
            <x v="5"/>
            <x v="6"/>
          </reference>
        </references>
      </pivotArea>
    </format>
    <format dxfId="592">
      <pivotArea dataOnly="0" labelOnly="1" grandRow="1" outline="0" fieldPosition="0"/>
    </format>
    <format dxfId="591">
      <pivotArea dataOnly="0" labelOnly="1" outline="0" fieldPosition="0">
        <references count="2">
          <reference field="0" count="1" selected="0">
            <x v="0"/>
          </reference>
          <reference field="6" count="1">
            <x v="2"/>
          </reference>
        </references>
      </pivotArea>
    </format>
    <format dxfId="590">
      <pivotArea dataOnly="0" labelOnly="1" outline="0" fieldPosition="0">
        <references count="2">
          <reference field="0" count="1" selected="0">
            <x v="1"/>
          </reference>
          <reference field="6" count="1">
            <x v="0"/>
          </reference>
        </references>
      </pivotArea>
    </format>
    <format dxfId="589">
      <pivotArea dataOnly="0" labelOnly="1" outline="0" fieldPosition="0">
        <references count="2">
          <reference field="0" count="1" selected="0">
            <x v="3"/>
          </reference>
          <reference field="6" count="1">
            <x v="1"/>
          </reference>
        </references>
      </pivotArea>
    </format>
    <format dxfId="588">
      <pivotArea dataOnly="0" labelOnly="1" outline="0" fieldPosition="0">
        <references count="2">
          <reference field="0" count="1" selected="0">
            <x v="4"/>
          </reference>
          <reference field="6" count="1">
            <x v="2"/>
          </reference>
        </references>
      </pivotArea>
    </format>
    <format dxfId="587">
      <pivotArea dataOnly="0" labelOnly="1" outline="0" fieldPosition="0">
        <references count="2">
          <reference field="0" count="1" selected="0">
            <x v="6"/>
          </reference>
          <reference field="6" count="1">
            <x v="0"/>
          </reference>
        </references>
      </pivotArea>
    </format>
    <format dxfId="586">
      <pivotArea dataOnly="0" labelOnly="1" outline="0" fieldPosition="0">
        <references count="3">
          <reference field="0" count="1" selected="0">
            <x v="0"/>
          </reference>
          <reference field="6" count="1" selected="0">
            <x v="2"/>
          </reference>
          <reference field="7" count="1">
            <x v="0"/>
          </reference>
        </references>
      </pivotArea>
    </format>
    <format dxfId="585">
      <pivotArea dataOnly="0" labelOnly="1" outline="0" fieldPosition="0">
        <references count="3">
          <reference field="0" count="1" selected="0">
            <x v="3"/>
          </reference>
          <reference field="6" count="1" selected="0">
            <x v="1"/>
          </reference>
          <reference field="7" count="1">
            <x v="1"/>
          </reference>
        </references>
      </pivotArea>
    </format>
    <format dxfId="584">
      <pivotArea dataOnly="0" labelOnly="1" outline="0" fieldPosition="0">
        <references count="3">
          <reference field="0" count="1" selected="0">
            <x v="4"/>
          </reference>
          <reference field="6" count="1" selected="0">
            <x v="2"/>
          </reference>
          <reference field="7" count="1">
            <x v="0"/>
          </reference>
        </references>
      </pivotArea>
    </format>
    <format dxfId="583">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582">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581">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580">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579">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578">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577">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576">
      <pivotArea field="0" type="button" dataOnly="0" labelOnly="1" outline="0" axis="axisRow" fieldPosition="0"/>
    </format>
    <format dxfId="575">
      <pivotArea field="6" type="button" dataOnly="0" labelOnly="1" outline="0" axis="axisRow" fieldPosition="1"/>
    </format>
    <format dxfId="574">
      <pivotArea field="7" type="button" dataOnly="0" labelOnly="1" outline="0" axis="axisRow" fieldPosition="2"/>
    </format>
    <format dxfId="573">
      <pivotArea field="2" type="button" dataOnly="0" labelOnly="1" outline="0" axis="axisRow" fieldPosition="3"/>
    </format>
    <format dxfId="572">
      <pivotArea grandRow="1" outline="0" collapsedLevelsAreSubtotals="1" fieldPosition="0"/>
    </format>
    <format dxfId="571">
      <pivotArea dataOnly="0" labelOnly="1" grandRow="1" outline="0" fieldPosition="0"/>
    </format>
    <format dxfId="570">
      <pivotArea type="all" dataOnly="0" outline="0" fieldPosition="0"/>
    </format>
    <format dxfId="569">
      <pivotArea outline="0" collapsedLevelsAreSubtotals="1" fieldPosition="0"/>
    </format>
    <format dxfId="568">
      <pivotArea field="0" type="button" dataOnly="0" labelOnly="1" outline="0" axis="axisRow" fieldPosition="0"/>
    </format>
    <format dxfId="567">
      <pivotArea field="6" type="button" dataOnly="0" labelOnly="1" outline="0" axis="axisRow" fieldPosition="1"/>
    </format>
    <format dxfId="566">
      <pivotArea field="7" type="button" dataOnly="0" labelOnly="1" outline="0" axis="axisRow" fieldPosition="2"/>
    </format>
    <format dxfId="565">
      <pivotArea field="2" type="button" dataOnly="0" labelOnly="1" outline="0" axis="axisRow" fieldPosition="3"/>
    </format>
    <format dxfId="564">
      <pivotArea dataOnly="0" labelOnly="1" outline="0" fieldPosition="0">
        <references count="1">
          <reference field="0" count="7">
            <x v="0"/>
            <x v="1"/>
            <x v="2"/>
            <x v="3"/>
            <x v="4"/>
            <x v="5"/>
            <x v="6"/>
          </reference>
        </references>
      </pivotArea>
    </format>
    <format dxfId="563">
      <pivotArea dataOnly="0" labelOnly="1" grandRow="1" outline="0" fieldPosition="0"/>
    </format>
    <format dxfId="562">
      <pivotArea dataOnly="0" labelOnly="1" outline="0" fieldPosition="0">
        <references count="2">
          <reference field="0" count="1" selected="0">
            <x v="0"/>
          </reference>
          <reference field="6" count="1">
            <x v="2"/>
          </reference>
        </references>
      </pivotArea>
    </format>
    <format dxfId="561">
      <pivotArea dataOnly="0" labelOnly="1" outline="0" fieldPosition="0">
        <references count="2">
          <reference field="0" count="1" selected="0">
            <x v="1"/>
          </reference>
          <reference field="6" count="1">
            <x v="0"/>
          </reference>
        </references>
      </pivotArea>
    </format>
    <format dxfId="560">
      <pivotArea dataOnly="0" labelOnly="1" outline="0" fieldPosition="0">
        <references count="2">
          <reference field="0" count="1" selected="0">
            <x v="3"/>
          </reference>
          <reference field="6" count="1">
            <x v="1"/>
          </reference>
        </references>
      </pivotArea>
    </format>
    <format dxfId="559">
      <pivotArea dataOnly="0" labelOnly="1" outline="0" fieldPosition="0">
        <references count="2">
          <reference field="0" count="1" selected="0">
            <x v="4"/>
          </reference>
          <reference field="6" count="1">
            <x v="2"/>
          </reference>
        </references>
      </pivotArea>
    </format>
    <format dxfId="558">
      <pivotArea dataOnly="0" labelOnly="1" outline="0" fieldPosition="0">
        <references count="2">
          <reference field="0" count="1" selected="0">
            <x v="6"/>
          </reference>
          <reference field="6" count="1">
            <x v="0"/>
          </reference>
        </references>
      </pivotArea>
    </format>
    <format dxfId="557">
      <pivotArea dataOnly="0" labelOnly="1" outline="0" fieldPosition="0">
        <references count="3">
          <reference field="0" count="1" selected="0">
            <x v="0"/>
          </reference>
          <reference field="6" count="1" selected="0">
            <x v="2"/>
          </reference>
          <reference field="7" count="1">
            <x v="0"/>
          </reference>
        </references>
      </pivotArea>
    </format>
    <format dxfId="556">
      <pivotArea dataOnly="0" labelOnly="1" outline="0" fieldPosition="0">
        <references count="3">
          <reference field="0" count="1" selected="0">
            <x v="3"/>
          </reference>
          <reference field="6" count="1" selected="0">
            <x v="1"/>
          </reference>
          <reference field="7" count="1">
            <x v="1"/>
          </reference>
        </references>
      </pivotArea>
    </format>
    <format dxfId="555">
      <pivotArea dataOnly="0" labelOnly="1" outline="0" fieldPosition="0">
        <references count="3">
          <reference field="0" count="1" selected="0">
            <x v="4"/>
          </reference>
          <reference field="6" count="1" selected="0">
            <x v="2"/>
          </reference>
          <reference field="7" count="1">
            <x v="0"/>
          </reference>
        </references>
      </pivotArea>
    </format>
    <format dxfId="554">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553">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552">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551">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550">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549">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548">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547">
      <pivotArea type="all" dataOnly="0" outline="0" fieldPosition="0"/>
    </format>
    <format dxfId="546">
      <pivotArea outline="0" collapsedLevelsAreSubtotals="1" fieldPosition="0"/>
    </format>
    <format dxfId="545">
      <pivotArea field="0" type="button" dataOnly="0" labelOnly="1" outline="0" axis="axisRow" fieldPosition="0"/>
    </format>
    <format dxfId="544">
      <pivotArea field="6" type="button" dataOnly="0" labelOnly="1" outline="0" axis="axisRow" fieldPosition="1"/>
    </format>
    <format dxfId="543">
      <pivotArea field="7" type="button" dataOnly="0" labelOnly="1" outline="0" axis="axisRow" fieldPosition="2"/>
    </format>
    <format dxfId="542">
      <pivotArea field="2" type="button" dataOnly="0" labelOnly="1" outline="0" axis="axisRow" fieldPosition="3"/>
    </format>
    <format dxfId="541">
      <pivotArea dataOnly="0" labelOnly="1" outline="0" fieldPosition="0">
        <references count="1">
          <reference field="0" count="7">
            <x v="0"/>
            <x v="1"/>
            <x v="2"/>
            <x v="3"/>
            <x v="4"/>
            <x v="5"/>
            <x v="6"/>
          </reference>
        </references>
      </pivotArea>
    </format>
    <format dxfId="540">
      <pivotArea dataOnly="0" labelOnly="1" grandRow="1" outline="0" fieldPosition="0"/>
    </format>
    <format dxfId="539">
      <pivotArea dataOnly="0" labelOnly="1" outline="0" fieldPosition="0">
        <references count="2">
          <reference field="0" count="1" selected="0">
            <x v="0"/>
          </reference>
          <reference field="6" count="1">
            <x v="2"/>
          </reference>
        </references>
      </pivotArea>
    </format>
    <format dxfId="538">
      <pivotArea dataOnly="0" labelOnly="1" outline="0" fieldPosition="0">
        <references count="2">
          <reference field="0" count="1" selected="0">
            <x v="1"/>
          </reference>
          <reference field="6" count="1">
            <x v="0"/>
          </reference>
        </references>
      </pivotArea>
    </format>
    <format dxfId="537">
      <pivotArea dataOnly="0" labelOnly="1" outline="0" fieldPosition="0">
        <references count="2">
          <reference field="0" count="1" selected="0">
            <x v="3"/>
          </reference>
          <reference field="6" count="1">
            <x v="1"/>
          </reference>
        </references>
      </pivotArea>
    </format>
    <format dxfId="536">
      <pivotArea dataOnly="0" labelOnly="1" outline="0" fieldPosition="0">
        <references count="2">
          <reference field="0" count="1" selected="0">
            <x v="4"/>
          </reference>
          <reference field="6" count="1">
            <x v="2"/>
          </reference>
        </references>
      </pivotArea>
    </format>
    <format dxfId="535">
      <pivotArea dataOnly="0" labelOnly="1" outline="0" fieldPosition="0">
        <references count="2">
          <reference field="0" count="1" selected="0">
            <x v="6"/>
          </reference>
          <reference field="6" count="1">
            <x v="0"/>
          </reference>
        </references>
      </pivotArea>
    </format>
    <format dxfId="534">
      <pivotArea dataOnly="0" labelOnly="1" outline="0" fieldPosition="0">
        <references count="3">
          <reference field="0" count="1" selected="0">
            <x v="0"/>
          </reference>
          <reference field="6" count="1" selected="0">
            <x v="2"/>
          </reference>
          <reference field="7" count="1">
            <x v="0"/>
          </reference>
        </references>
      </pivotArea>
    </format>
    <format dxfId="533">
      <pivotArea dataOnly="0" labelOnly="1" outline="0" fieldPosition="0">
        <references count="3">
          <reference field="0" count="1" selected="0">
            <x v="3"/>
          </reference>
          <reference field="6" count="1" selected="0">
            <x v="1"/>
          </reference>
          <reference field="7" count="1">
            <x v="1"/>
          </reference>
        </references>
      </pivotArea>
    </format>
    <format dxfId="532">
      <pivotArea dataOnly="0" labelOnly="1" outline="0" fieldPosition="0">
        <references count="3">
          <reference field="0" count="1" selected="0">
            <x v="4"/>
          </reference>
          <reference field="6" count="1" selected="0">
            <x v="2"/>
          </reference>
          <reference field="7" count="1">
            <x v="0"/>
          </reference>
        </references>
      </pivotArea>
    </format>
    <format dxfId="531">
      <pivotArea dataOnly="0" labelOnly="1" outline="0" fieldPosition="0">
        <references count="4">
          <reference field="0" count="1" selected="0">
            <x v="0"/>
          </reference>
          <reference field="2" count="1">
            <x v="1"/>
          </reference>
          <reference field="6" count="1" selected="0">
            <x v="2"/>
          </reference>
          <reference field="7" count="1" selected="0">
            <x v="0"/>
          </reference>
        </references>
      </pivotArea>
    </format>
    <format dxfId="530">
      <pivotArea dataOnly="0" labelOnly="1" outline="0" fieldPosition="0">
        <references count="4">
          <reference field="0" count="1" selected="0">
            <x v="1"/>
          </reference>
          <reference field="2" count="1">
            <x v="2"/>
          </reference>
          <reference field="6" count="1" selected="0">
            <x v="0"/>
          </reference>
          <reference field="7" count="1" selected="0">
            <x v="0"/>
          </reference>
        </references>
      </pivotArea>
    </format>
    <format dxfId="529">
      <pivotArea dataOnly="0" labelOnly="1" outline="0" fieldPosition="0">
        <references count="4">
          <reference field="0" count="1" selected="0">
            <x v="2"/>
          </reference>
          <reference field="2" count="1">
            <x v="5"/>
          </reference>
          <reference field="6" count="1" selected="0">
            <x v="0"/>
          </reference>
          <reference field="7" count="1" selected="0">
            <x v="0"/>
          </reference>
        </references>
      </pivotArea>
    </format>
    <format dxfId="528">
      <pivotArea dataOnly="0" labelOnly="1" outline="0" fieldPosition="0">
        <references count="4">
          <reference field="0" count="1" selected="0">
            <x v="3"/>
          </reference>
          <reference field="2" count="1">
            <x v="0"/>
          </reference>
          <reference field="6" count="1" selected="0">
            <x v="1"/>
          </reference>
          <reference field="7" count="1" selected="0">
            <x v="1"/>
          </reference>
        </references>
      </pivotArea>
    </format>
    <format dxfId="527">
      <pivotArea dataOnly="0" labelOnly="1" outline="0" fieldPosition="0">
        <references count="4">
          <reference field="0" count="1" selected="0">
            <x v="4"/>
          </reference>
          <reference field="2" count="1">
            <x v="4"/>
          </reference>
          <reference field="6" count="1" selected="0">
            <x v="2"/>
          </reference>
          <reference field="7" count="1" selected="0">
            <x v="0"/>
          </reference>
        </references>
      </pivotArea>
    </format>
    <format dxfId="526">
      <pivotArea dataOnly="0" labelOnly="1" outline="0" fieldPosition="0">
        <references count="4">
          <reference field="0" count="1" selected="0">
            <x v="5"/>
          </reference>
          <reference field="2" count="1">
            <x v="4"/>
          </reference>
          <reference field="6" count="1" selected="0">
            <x v="2"/>
          </reference>
          <reference field="7" count="1" selected="0">
            <x v="0"/>
          </reference>
        </references>
      </pivotArea>
    </format>
    <format dxfId="525">
      <pivotArea dataOnly="0" labelOnly="1" outline="0" fieldPosition="0">
        <references count="4">
          <reference field="0" count="1" selected="0">
            <x v="6"/>
          </reference>
          <reference field="2" count="1">
            <x v="1"/>
          </reference>
          <reference field="6" count="1" selected="0">
            <x v="0"/>
          </reference>
          <reference field="7" count="1" selected="0">
            <x v="0"/>
          </reference>
        </references>
      </pivotArea>
    </format>
    <format dxfId="524">
      <pivotArea outline="0" fieldPosition="0">
        <references count="1">
          <reference field="4294967294" count="3" selected="0">
            <x v="3"/>
            <x v="9"/>
            <x v="10"/>
          </reference>
        </references>
      </pivotArea>
    </format>
    <format dxfId="523">
      <pivotArea outline="0" fieldPosition="0">
        <references count="1">
          <reference field="4294967294" count="1" selected="0">
            <x v="11"/>
          </reference>
        </references>
      </pivotArea>
    </format>
    <format dxfId="522">
      <pivotArea dataOnly="0" outline="0" fieldPosition="0">
        <references count="1">
          <reference field="4294967294" count="4">
            <x v="3"/>
            <x v="9"/>
            <x v="10"/>
            <x v="11"/>
          </reference>
        </references>
      </pivotArea>
    </format>
    <format dxfId="521">
      <pivotArea dataOnly="0" outline="0" fieldPosition="0">
        <references count="1">
          <reference field="4294967294" count="4">
            <x v="3"/>
            <x v="9"/>
            <x v="10"/>
            <x v="11"/>
          </reference>
        </references>
      </pivotArea>
    </format>
    <format dxfId="520">
      <pivotArea dataOnly="0" outline="0" fieldPosition="0">
        <references count="1">
          <reference field="4294967294" count="4">
            <x v="3"/>
            <x v="9"/>
            <x v="10"/>
            <x v="11"/>
          </reference>
        </references>
      </pivotArea>
    </format>
    <format dxfId="519">
      <pivotArea outline="0" collapsedLevelsAreSubtotals="1" fieldPosition="0"/>
    </format>
    <format dxfId="518">
      <pivotArea dataOnly="0" labelOnly="1" outline="0" fieldPosition="0">
        <references count="1">
          <reference field="4294967294" count="9">
            <x v="3"/>
            <x v="4"/>
            <x v="5"/>
            <x v="6"/>
            <x v="7"/>
            <x v="8"/>
            <x v="9"/>
            <x v="10"/>
            <x v="11"/>
          </reference>
        </references>
      </pivotArea>
    </format>
    <format dxfId="517">
      <pivotArea outline="0" fieldPosition="0">
        <references count="1">
          <reference field="4294967294" count="1" selected="0">
            <x v="2"/>
          </reference>
        </references>
      </pivotArea>
    </format>
    <format dxfId="516">
      <pivotArea field="0" grandRow="1" outline="0" axis="axisRow" fieldPosition="0">
        <references count="1">
          <reference field="4294967294" count="1" selected="0">
            <x v="2"/>
          </reference>
        </references>
      </pivotArea>
    </format>
    <format dxfId="515">
      <pivotArea field="0" grandRow="1" outline="0" axis="axisRow" fieldPosition="0">
        <references count="1">
          <reference field="4294967294" count="1" selected="0">
            <x v="2"/>
          </reference>
        </references>
      </pivotArea>
    </format>
    <format dxfId="514">
      <pivotArea field="0" grandRow="1" outline="0" axis="axisRow" fieldPosition="0">
        <references count="1">
          <reference field="4294967294" count="1" selected="0">
            <x v="2"/>
          </reference>
        </references>
      </pivotArea>
    </format>
    <format dxfId="513">
      <pivotArea field="0" grandRow="1" outline="0" axis="axisRow" fieldPosition="0">
        <references count="1">
          <reference field="4294967294" count="1" selected="0">
            <x v="2"/>
          </reference>
        </references>
      </pivotArea>
    </format>
    <format dxfId="512">
      <pivotArea field="0" grandRow="1" outline="0" axis="axisRow" fieldPosition="0">
        <references count="1">
          <reference field="4294967294" count="1" selected="0">
            <x v="2"/>
          </reference>
        </references>
      </pivotArea>
    </format>
    <format dxfId="511">
      <pivotArea field="10" type="button" dataOnly="0" labelOnly="1" outline="0" axis="axisPage" fieldPosition="0"/>
    </format>
    <format dxfId="510">
      <pivotArea field="10" type="button" dataOnly="0" labelOnly="1" outline="0" axis="axisPage" fieldPosition="0"/>
    </format>
    <format dxfId="509">
      <pivotArea field="10" type="button" dataOnly="0" labelOnly="1" outline="0" axis="axisPage" fieldPosition="0"/>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6" cacheId="16" applyNumberFormats="0" applyBorderFormats="0" applyFontFormats="0" applyPatternFormats="0" applyAlignmentFormats="0" applyWidthHeightFormats="1" dataCaption="Werte" grandTotalCaption="Total" updatedVersion="6" minRefreshableVersion="3" showDrill="0" useAutoFormatting="1" itemPrintTitles="1" createdVersion="6" indent="0" compact="0" compactData="0" multipleFieldFilters="0">
  <location ref="B191:Q197" firstHeaderRow="0" firstDataRow="1" firstDataCol="4" rowPageCount="1" colPageCount="1"/>
  <pivotFields count="118">
    <pivotField axis="axisRow" compact="0" outline="0" showAll="0" defaultSubtotal="0">
      <items count="200">
        <item x="83"/>
        <item x="119"/>
        <item x="122"/>
        <item x="137"/>
        <item x="138"/>
        <item x="172"/>
        <item x="182"/>
        <item x="130"/>
        <item x="84"/>
        <item x="120"/>
        <item x="167"/>
        <item x="82"/>
        <item x="164"/>
        <item x="103"/>
        <item x="67"/>
        <item x="142"/>
        <item x="89"/>
        <item x="163"/>
        <item x="179"/>
        <item x="178"/>
        <item x="53"/>
        <item x="50"/>
        <item x="70"/>
        <item x="139"/>
        <item x="147"/>
        <item x="176"/>
        <item x="54"/>
        <item x="64"/>
        <item x="126"/>
        <item x="170"/>
        <item x="117"/>
        <item x="141"/>
        <item x="128"/>
        <item x="127"/>
        <item x="136"/>
        <item x="156"/>
        <item x="192"/>
        <item x="123"/>
        <item x="116"/>
        <item x="149"/>
        <item x="55"/>
        <item x="92"/>
        <item x="146"/>
        <item x="77"/>
        <item x="129"/>
        <item x="60"/>
        <item x="68"/>
        <item x="193"/>
        <item x="150"/>
        <item x="57"/>
        <item x="181"/>
        <item x="78"/>
        <item x="155"/>
        <item x="159"/>
        <item x="132"/>
        <item x="104"/>
        <item x="74"/>
        <item x="111"/>
        <item x="110"/>
        <item x="109"/>
        <item x="189"/>
        <item x="190"/>
        <item x="154"/>
        <item x="165"/>
        <item x="188"/>
        <item x="186"/>
        <item x="187"/>
        <item x="69"/>
        <item x="95"/>
        <item x="62"/>
        <item x="166"/>
        <item x="56"/>
        <item x="65"/>
        <item x="152"/>
        <item x="58"/>
        <item x="195"/>
        <item x="90"/>
        <item x="114"/>
        <item x="108"/>
        <item x="63"/>
        <item m="1" x="199"/>
        <item x="71"/>
        <item x="88"/>
        <item x="52"/>
        <item x="85"/>
        <item x="153"/>
        <item x="135"/>
        <item x="196"/>
        <item x="133"/>
        <item x="162"/>
        <item x="59"/>
        <item x="87"/>
        <item x="76"/>
        <item x="184"/>
        <item x="158"/>
        <item x="161"/>
        <item x="113"/>
        <item x="173"/>
        <item x="125"/>
        <item x="180"/>
        <item x="171"/>
        <item x="140"/>
        <item x="73"/>
        <item x="91"/>
        <item x="194"/>
        <item x="177"/>
        <item x="97"/>
        <item x="144"/>
        <item x="106"/>
        <item x="105"/>
        <item x="100"/>
        <item x="183"/>
        <item x="148"/>
        <item x="75"/>
        <item x="102"/>
        <item x="143"/>
        <item x="51"/>
        <item x="107"/>
        <item x="157"/>
        <item x="168"/>
        <item x="93"/>
        <item x="66"/>
        <item x="160"/>
        <item x="121"/>
        <item x="79"/>
        <item x="96"/>
        <item x="101"/>
        <item x="151"/>
        <item x="198"/>
        <item x="118"/>
        <item x="169"/>
        <item x="185"/>
        <item x="94"/>
        <item x="80"/>
        <item x="99"/>
        <item x="81"/>
        <item x="145"/>
        <item x="131"/>
        <item x="134"/>
        <item x="174"/>
        <item x="175"/>
        <item x="43"/>
        <item x="44"/>
        <item x="45"/>
        <item x="47"/>
        <item x="48"/>
        <item x="112"/>
        <item x="115"/>
        <item x="124"/>
        <item x="197"/>
        <item x="42"/>
        <item x="41"/>
        <item x="46"/>
        <item x="40"/>
        <item x="72"/>
        <item x="38"/>
        <item x="49"/>
        <item x="37"/>
        <item x="32"/>
        <item x="33"/>
        <item x="35"/>
        <item x="36"/>
        <item x="18"/>
        <item x="19"/>
        <item x="20"/>
        <item x="21"/>
        <item x="22"/>
        <item x="23"/>
        <item x="24"/>
        <item x="25"/>
        <item x="26"/>
        <item x="27"/>
        <item x="28"/>
        <item x="29"/>
        <item x="30"/>
        <item x="31"/>
        <item x="34"/>
        <item x="39"/>
        <item x="61"/>
        <item x="86"/>
        <item x="98"/>
        <item x="14"/>
        <item x="15"/>
        <item x="16"/>
        <item x="7"/>
        <item x="8"/>
        <item x="9"/>
        <item x="10"/>
        <item x="11"/>
        <item x="12"/>
        <item x="13"/>
        <item x="191"/>
        <item x="6"/>
        <item x="0"/>
        <item x="1"/>
        <item x="2"/>
        <item x="3"/>
        <item x="4"/>
        <item x="5"/>
        <item x="17"/>
      </items>
    </pivotField>
    <pivotField compact="0" outline="0" showAll="0" defaultSubtotal="0"/>
    <pivotField axis="axisRow" compact="0" outline="0" showAll="0" defaultSubtotal="0">
      <items count="143">
        <item x="54"/>
        <item x="61"/>
        <item x="38"/>
        <item x="58"/>
        <item x="88"/>
        <item x="78"/>
        <item x="26"/>
        <item x="17"/>
        <item x="84"/>
        <item x="23"/>
        <item x="50"/>
        <item x="11"/>
        <item x="91"/>
        <item x="79"/>
        <item x="13"/>
        <item x="63"/>
        <item x="64"/>
        <item m="1" x="130"/>
        <item m="1" x="140"/>
        <item x="32"/>
        <item x="72"/>
        <item x="55"/>
        <item x="62"/>
        <item x="110"/>
        <item x="111"/>
        <item x="46"/>
        <item x="44"/>
        <item x="53"/>
        <item x="93"/>
        <item x="109"/>
        <item x="47"/>
        <item x="95"/>
        <item x="87"/>
        <item x="120"/>
        <item x="86"/>
        <item x="82"/>
        <item x="81"/>
        <item x="77"/>
        <item x="94"/>
        <item x="48"/>
        <item m="1" x="139"/>
        <item m="1" x="138"/>
        <item x="92"/>
        <item x="60"/>
        <item m="1" x="129"/>
        <item x="51"/>
        <item x="56"/>
        <item m="1" x="131"/>
        <item m="1" x="127"/>
        <item x="5"/>
        <item x="99"/>
        <item x="101"/>
        <item m="1" x="122"/>
        <item x="73"/>
        <item x="59"/>
        <item x="75"/>
        <item x="98"/>
        <item x="9"/>
        <item x="116"/>
        <item x="114"/>
        <item x="115"/>
        <item m="1" x="128"/>
        <item x="57"/>
        <item m="1" x="126"/>
        <item m="1" x="125"/>
        <item x="103"/>
        <item x="113"/>
        <item x="100"/>
        <item m="1" x="141"/>
        <item x="97"/>
        <item x="119"/>
        <item x="80"/>
        <item x="69"/>
        <item x="22"/>
        <item x="49"/>
        <item x="106"/>
        <item m="1" x="124"/>
        <item x="107"/>
        <item x="108"/>
        <item x="112"/>
        <item x="33"/>
        <item x="65"/>
        <item m="1" x="123"/>
        <item x="90"/>
        <item x="74"/>
        <item m="1" x="137"/>
        <item m="1" x="135"/>
        <item x="66"/>
        <item x="89"/>
        <item m="1" x="136"/>
        <item x="7"/>
        <item x="45"/>
        <item m="1" x="133"/>
        <item x="67"/>
        <item x="52"/>
        <item x="118"/>
        <item x="104"/>
        <item m="1" x="132"/>
        <item x="96"/>
        <item x="121"/>
        <item x="105"/>
        <item x="70"/>
        <item x="85"/>
        <item x="43"/>
        <item x="40"/>
        <item x="42"/>
        <item x="76"/>
        <item x="83"/>
        <item x="37"/>
        <item x="41"/>
        <item m="1" x="134"/>
        <item x="36"/>
        <item x="29"/>
        <item x="30"/>
        <item x="18"/>
        <item x="19"/>
        <item x="20"/>
        <item x="21"/>
        <item x="24"/>
        <item x="25"/>
        <item x="27"/>
        <item x="28"/>
        <item x="31"/>
        <item x="34"/>
        <item m="1" x="142"/>
        <item x="39"/>
        <item x="68"/>
        <item x="117"/>
        <item x="14"/>
        <item x="15"/>
        <item x="16"/>
        <item x="8"/>
        <item x="10"/>
        <item x="12"/>
        <item x="6"/>
        <item x="0"/>
        <item x="1"/>
        <item x="2"/>
        <item x="3"/>
        <item x="4"/>
        <item x="35"/>
        <item x="71"/>
        <item x="102"/>
      </items>
    </pivotField>
    <pivotField compact="0" outline="0" showAll="0" defaultSubtotal="0"/>
    <pivotField compact="0" outline="0" showAll="0" defaultSubtotal="0"/>
    <pivotField compact="0" outline="0" showAll="0" defaultSubtotal="0"/>
    <pivotField axis="axisRow" compact="0" outline="0" showAll="0" defaultSubtotal="0">
      <items count="4">
        <item x="0"/>
        <item x="1"/>
        <item h="1" x="2"/>
        <item h="1" x="3"/>
      </items>
    </pivotField>
    <pivotField axis="axisRow" compact="0" outline="0" showAll="0" defaultSubtotal="0">
      <items count="3">
        <item x="2"/>
        <item x="1"/>
        <item x="0"/>
      </items>
    </pivotField>
    <pivotField compact="0" outline="0" showAll="0" defaultSubtotal="0"/>
    <pivotField compact="0" outline="0" showAll="0" defaultSubtotal="0"/>
    <pivotField name="SUBMITTED" axis="axisPage" compact="0" outline="0" showAll="0" defaultSubtotal="0">
      <items count="14">
        <item x="2"/>
        <item x="0"/>
        <item x="3"/>
        <item x="4"/>
        <item x="6"/>
        <item x="1"/>
        <item m="1" x="7"/>
        <item m="1" x="9"/>
        <item m="1" x="10"/>
        <item m="1" x="8"/>
        <item m="1" x="11"/>
        <item m="1" x="13"/>
        <item m="1" x="12"/>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outline="0" showAll="0" defaultSubtotal="0"/>
    <pivotField compact="0"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compact="0" numFmtId="166" outline="0" showAll="0" defaultSubtotal="0"/>
    <pivotField dataField="1" compact="0" numFmtId="166" outline="0" showAll="0" defaultSubtotal="0"/>
    <pivotField dataField="1" compact="0" numFmtId="166" outline="0" showAll="0" defaultSubtotal="0"/>
    <pivotField dataField="1" compact="0" numFmtId="9" outline="0" showAll="0" defaultSubtotal="0"/>
    <pivotField dataField="1" compact="0" numFmtId="166"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numFmtId="9"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s>
  <rowFields count="4">
    <field x="0"/>
    <field x="6"/>
    <field x="7"/>
    <field x="2"/>
  </rowFields>
  <rowItems count="6">
    <i>
      <x v="110"/>
      <x v="1"/>
      <x v="1"/>
      <x v="141"/>
    </i>
    <i>
      <x v="181"/>
      <x/>
      <x/>
      <x v="128"/>
    </i>
    <i>
      <x v="182"/>
      <x/>
      <x/>
      <x v="129"/>
    </i>
    <i>
      <x v="190"/>
      <x/>
      <x/>
      <x v="14"/>
    </i>
    <i>
      <x v="192"/>
      <x/>
      <x/>
      <x v="134"/>
    </i>
    <i t="grand">
      <x/>
    </i>
  </rowItems>
  <colFields count="1">
    <field x="-2"/>
  </colFields>
  <colItems count="12">
    <i>
      <x/>
    </i>
    <i i="1">
      <x v="1"/>
    </i>
    <i i="2">
      <x v="2"/>
    </i>
    <i i="3">
      <x v="3"/>
    </i>
    <i i="4">
      <x v="4"/>
    </i>
    <i i="5">
      <x v="5"/>
    </i>
    <i i="6">
      <x v="6"/>
    </i>
    <i i="7">
      <x v="7"/>
    </i>
    <i i="8">
      <x v="8"/>
    </i>
    <i i="9">
      <x v="9"/>
    </i>
    <i i="10">
      <x v="10"/>
    </i>
    <i i="11">
      <x v="11"/>
    </i>
  </colItems>
  <pageFields count="1">
    <pageField fld="10" item="2" hier="-1"/>
  </pageFields>
  <dataFields count="12">
    <dataField name=" Total Project Volume" fld="105" baseField="0" baseItem="0"/>
    <dataField name=" Total Revenues IPK" fld="106" baseField="0" baseItem="0"/>
    <dataField name=" Probability of Success" fld="107" subtotal="average" baseField="2" baseItem="7" numFmtId="9"/>
    <dataField name="Expected Revenue IPK" fld="108" baseField="0" baseItem="0" numFmtId="165"/>
    <dataField name=" OE100" fld="109" baseField="96" baseItem="2"/>
    <dataField name=" OE200" fld="110" baseField="96" baseItem="2"/>
    <dataField name="OE300" fld="111" baseField="96" baseItem="2"/>
    <dataField name=" OE400" fld="112" baseField="96" baseItem="2"/>
    <dataField name=" OE600" fld="113" baseField="96" baseItem="2"/>
    <dataField name=" Acquisition Bonus OE810" fld="115" baseField="0" baseItem="0" numFmtId="165"/>
    <dataField name=" Project Execution OE810" fld="116" baseField="0" baseItem="0" numFmtId="165"/>
    <dataField name=" OE810" fld="117" baseField="96" baseItem="2" numFmtId="165"/>
  </dataFields>
  <formats count="73">
    <format dxfId="768">
      <pivotArea type="all" dataOnly="0" outline="0" fieldPosition="0"/>
    </format>
    <format dxfId="767">
      <pivotArea outline="0" collapsedLevelsAreSubtotals="1" fieldPosition="0"/>
    </format>
    <format dxfId="766">
      <pivotArea field="0" type="button" dataOnly="0" labelOnly="1" outline="0" axis="axisRow" fieldPosition="0"/>
    </format>
    <format dxfId="765">
      <pivotArea field="6" type="button" dataOnly="0" labelOnly="1" outline="0" axis="axisRow" fieldPosition="1"/>
    </format>
    <format dxfId="764">
      <pivotArea field="7" type="button" dataOnly="0" labelOnly="1" outline="0" axis="axisRow" fieldPosition="2"/>
    </format>
    <format dxfId="763">
      <pivotArea field="2" type="button" dataOnly="0" labelOnly="1" outline="0" axis="axisRow" fieldPosition="3"/>
    </format>
    <format dxfId="762">
      <pivotArea dataOnly="0" labelOnly="1" grandRow="1" outline="0" fieldPosition="0"/>
    </format>
    <format dxfId="761">
      <pivotArea type="all" dataOnly="0" outline="0" fieldPosition="0"/>
    </format>
    <format dxfId="760">
      <pivotArea outline="0" collapsedLevelsAreSubtotals="1" fieldPosition="0"/>
    </format>
    <format dxfId="759">
      <pivotArea field="0" type="button" dataOnly="0" labelOnly="1" outline="0" axis="axisRow" fieldPosition="0"/>
    </format>
    <format dxfId="758">
      <pivotArea field="6" type="button" dataOnly="0" labelOnly="1" outline="0" axis="axisRow" fieldPosition="1"/>
    </format>
    <format dxfId="757">
      <pivotArea field="7" type="button" dataOnly="0" labelOnly="1" outline="0" axis="axisRow" fieldPosition="2"/>
    </format>
    <format dxfId="756">
      <pivotArea field="2" type="button" dataOnly="0" labelOnly="1" outline="0" axis="axisRow" fieldPosition="3"/>
    </format>
    <format dxfId="755">
      <pivotArea dataOnly="0" labelOnly="1" grandRow="1" outline="0" fieldPosition="0"/>
    </format>
    <format dxfId="754">
      <pivotArea type="all" dataOnly="0" outline="0" fieldPosition="0"/>
    </format>
    <format dxfId="753">
      <pivotArea outline="0" collapsedLevelsAreSubtotals="1" fieldPosition="0"/>
    </format>
    <format dxfId="752">
      <pivotArea field="0" type="button" dataOnly="0" labelOnly="1" outline="0" axis="axisRow" fieldPosition="0"/>
    </format>
    <format dxfId="751">
      <pivotArea field="6" type="button" dataOnly="0" labelOnly="1" outline="0" axis="axisRow" fieldPosition="1"/>
    </format>
    <format dxfId="750">
      <pivotArea field="7" type="button" dataOnly="0" labelOnly="1" outline="0" axis="axisRow" fieldPosition="2"/>
    </format>
    <format dxfId="749">
      <pivotArea field="2" type="button" dataOnly="0" labelOnly="1" outline="0" axis="axisRow" fieldPosition="3"/>
    </format>
    <format dxfId="748">
      <pivotArea dataOnly="0" labelOnly="1" grandRow="1" outline="0" fieldPosition="0"/>
    </format>
    <format dxfId="747">
      <pivotArea type="all" dataOnly="0" outline="0" fieldPosition="0"/>
    </format>
    <format dxfId="746">
      <pivotArea outline="0" collapsedLevelsAreSubtotals="1" fieldPosition="0"/>
    </format>
    <format dxfId="745">
      <pivotArea field="0" type="button" dataOnly="0" labelOnly="1" outline="0" axis="axisRow" fieldPosition="0"/>
    </format>
    <format dxfId="744">
      <pivotArea field="6" type="button" dataOnly="0" labelOnly="1" outline="0" axis="axisRow" fieldPosition="1"/>
    </format>
    <format dxfId="743">
      <pivotArea field="7" type="button" dataOnly="0" labelOnly="1" outline="0" axis="axisRow" fieldPosition="2"/>
    </format>
    <format dxfId="742">
      <pivotArea field="2" type="button" dataOnly="0" labelOnly="1" outline="0" axis="axisRow" fieldPosition="3"/>
    </format>
    <format dxfId="741">
      <pivotArea dataOnly="0" labelOnly="1" grandRow="1" outline="0" fieldPosition="0"/>
    </format>
    <format dxfId="740">
      <pivotArea type="all" dataOnly="0" outline="0" fieldPosition="0"/>
    </format>
    <format dxfId="739">
      <pivotArea outline="0" collapsedLevelsAreSubtotals="1" fieldPosition="0"/>
    </format>
    <format dxfId="738">
      <pivotArea field="0" type="button" dataOnly="0" labelOnly="1" outline="0" axis="axisRow" fieldPosition="0"/>
    </format>
    <format dxfId="737">
      <pivotArea field="6" type="button" dataOnly="0" labelOnly="1" outline="0" axis="axisRow" fieldPosition="1"/>
    </format>
    <format dxfId="736">
      <pivotArea field="7" type="button" dataOnly="0" labelOnly="1" outline="0" axis="axisRow" fieldPosition="2"/>
    </format>
    <format dxfId="735">
      <pivotArea field="2" type="button" dataOnly="0" labelOnly="1" outline="0" axis="axisRow" fieldPosition="3"/>
    </format>
    <format dxfId="734">
      <pivotArea dataOnly="0" labelOnly="1" grandRow="1" outline="0" fieldPosition="0"/>
    </format>
    <format dxfId="733">
      <pivotArea field="0" type="button" dataOnly="0" labelOnly="1" outline="0" axis="axisRow" fieldPosition="0"/>
    </format>
    <format dxfId="732">
      <pivotArea field="6" type="button" dataOnly="0" labelOnly="1" outline="0" axis="axisRow" fieldPosition="1"/>
    </format>
    <format dxfId="731">
      <pivotArea field="7" type="button" dataOnly="0" labelOnly="1" outline="0" axis="axisRow" fieldPosition="2"/>
    </format>
    <format dxfId="730">
      <pivotArea field="2" type="button" dataOnly="0" labelOnly="1" outline="0" axis="axisRow" fieldPosition="3"/>
    </format>
    <format dxfId="729">
      <pivotArea grandRow="1" outline="0" collapsedLevelsAreSubtotals="1" fieldPosition="0"/>
    </format>
    <format dxfId="728">
      <pivotArea dataOnly="0" labelOnly="1" grandRow="1" outline="0" fieldPosition="0"/>
    </format>
    <format dxfId="727">
      <pivotArea field="0" type="button" dataOnly="0" labelOnly="1" outline="0" axis="axisRow" fieldPosition="0"/>
    </format>
    <format dxfId="726">
      <pivotArea field="6" type="button" dataOnly="0" labelOnly="1" outline="0" axis="axisRow" fieldPosition="1"/>
    </format>
    <format dxfId="725">
      <pivotArea field="7" type="button" dataOnly="0" labelOnly="1" outline="0" axis="axisRow" fieldPosition="2"/>
    </format>
    <format dxfId="724">
      <pivotArea field="2" type="button" dataOnly="0" labelOnly="1" outline="0" axis="axisRow" fieldPosition="3"/>
    </format>
    <format dxfId="723">
      <pivotArea grandRow="1" outline="0" collapsedLevelsAreSubtotals="1" fieldPosition="0"/>
    </format>
    <format dxfId="722">
      <pivotArea dataOnly="0" labelOnly="1" grandRow="1" outline="0" fieldPosition="0"/>
    </format>
    <format dxfId="721">
      <pivotArea type="all" dataOnly="0" outline="0" fieldPosition="0"/>
    </format>
    <format dxfId="720">
      <pivotArea outline="0" collapsedLevelsAreSubtotals="1" fieldPosition="0"/>
    </format>
    <format dxfId="719">
      <pivotArea field="0" type="button" dataOnly="0" labelOnly="1" outline="0" axis="axisRow" fieldPosition="0"/>
    </format>
    <format dxfId="718">
      <pivotArea field="6" type="button" dataOnly="0" labelOnly="1" outline="0" axis="axisRow" fieldPosition="1"/>
    </format>
    <format dxfId="717">
      <pivotArea field="7" type="button" dataOnly="0" labelOnly="1" outline="0" axis="axisRow" fieldPosition="2"/>
    </format>
    <format dxfId="716">
      <pivotArea field="2" type="button" dataOnly="0" labelOnly="1" outline="0" axis="axisRow" fieldPosition="3"/>
    </format>
    <format dxfId="715">
      <pivotArea dataOnly="0" labelOnly="1" grandRow="1" outline="0" fieldPosition="0"/>
    </format>
    <format dxfId="714">
      <pivotArea type="all" dataOnly="0" outline="0" fieldPosition="0"/>
    </format>
    <format dxfId="713">
      <pivotArea outline="0" collapsedLevelsAreSubtotals="1" fieldPosition="0"/>
    </format>
    <format dxfId="712">
      <pivotArea field="0" type="button" dataOnly="0" labelOnly="1" outline="0" axis="axisRow" fieldPosition="0"/>
    </format>
    <format dxfId="711">
      <pivotArea field="6" type="button" dataOnly="0" labelOnly="1" outline="0" axis="axisRow" fieldPosition="1"/>
    </format>
    <format dxfId="710">
      <pivotArea field="7" type="button" dataOnly="0" labelOnly="1" outline="0" axis="axisRow" fieldPosition="2"/>
    </format>
    <format dxfId="709">
      <pivotArea field="2" type="button" dataOnly="0" labelOnly="1" outline="0" axis="axisRow" fieldPosition="3"/>
    </format>
    <format dxfId="708">
      <pivotArea dataOnly="0" labelOnly="1" grandRow="1" outline="0" fieldPosition="0"/>
    </format>
    <format dxfId="707">
      <pivotArea outline="0" fieldPosition="0">
        <references count="1">
          <reference field="4294967294" count="4" selected="0">
            <x v="3"/>
            <x v="9"/>
            <x v="10"/>
            <x v="11"/>
          </reference>
        </references>
      </pivotArea>
    </format>
    <format dxfId="706">
      <pivotArea dataOnly="0" outline="0" fieldPosition="0">
        <references count="1">
          <reference field="4294967294" count="1">
            <x v="3"/>
          </reference>
        </references>
      </pivotArea>
    </format>
    <format dxfId="705">
      <pivotArea dataOnly="0" outline="0" fieldPosition="0">
        <references count="1">
          <reference field="4294967294" count="4">
            <x v="3"/>
            <x v="9"/>
            <x v="10"/>
            <x v="11"/>
          </reference>
        </references>
      </pivotArea>
    </format>
    <format dxfId="704">
      <pivotArea dataOnly="0" outline="0" fieldPosition="0">
        <references count="1">
          <reference field="4294967294" count="4">
            <x v="3"/>
            <x v="9"/>
            <x v="10"/>
            <x v="11"/>
          </reference>
        </references>
      </pivotArea>
    </format>
    <format dxfId="703">
      <pivotArea dataOnly="0" outline="0" fieldPosition="0">
        <references count="1">
          <reference field="4294967294" count="4">
            <x v="3"/>
            <x v="9"/>
            <x v="10"/>
            <x v="11"/>
          </reference>
        </references>
      </pivotArea>
    </format>
    <format dxfId="702">
      <pivotArea outline="0" collapsedLevelsAreSubtotals="1" fieldPosition="0"/>
    </format>
    <format dxfId="701">
      <pivotArea dataOnly="0" labelOnly="1" outline="0" fieldPosition="0">
        <references count="1">
          <reference field="4294967294" count="4">
            <x v="3"/>
            <x v="9"/>
            <x v="10"/>
            <x v="11"/>
          </reference>
        </references>
      </pivotArea>
    </format>
    <format dxfId="700">
      <pivotArea outline="0" fieldPosition="0">
        <references count="1">
          <reference field="4294967294" count="1" selected="0">
            <x v="2"/>
          </reference>
        </references>
      </pivotArea>
    </format>
    <format dxfId="699">
      <pivotArea dataOnly="0" labelOnly="1" outline="0" fieldPosition="0">
        <references count="1">
          <reference field="4294967294" count="1">
            <x v="2"/>
          </reference>
        </references>
      </pivotArea>
    </format>
    <format dxfId="698">
      <pivotArea field="0" grandRow="1" outline="0" axis="axisRow" fieldPosition="0">
        <references count="1">
          <reference field="4294967294" count="1" selected="0">
            <x v="2"/>
          </reference>
        </references>
      </pivotArea>
    </format>
    <format dxfId="697">
      <pivotArea field="10" type="button" dataOnly="0" labelOnly="1" outline="0" axis="axisPage" fieldPosition="0"/>
    </format>
    <format dxfId="696">
      <pivotArea field="10" type="button" dataOnly="0" labelOnly="1" outline="0" axis="axisPage" fieldPosition="0"/>
    </format>
  </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elle4" displayName="Tabelle4" ref="A2:DN201" totalsRowShown="0" headerRowDxfId="1511" dataDxfId="1510">
  <autoFilter ref="A2:DN201" xr:uid="{00000000-0009-0000-0100-000004000000}"/>
  <sortState ref="A3:DN40">
    <sortCondition ref="A2:A201"/>
  </sortState>
  <tableColumns count="118">
    <tableColumn id="1" xr3:uid="{00000000-0010-0000-0000-000001000000}" name="Project Name" dataDxfId="1509"/>
    <tableColumn id="2" xr3:uid="{00000000-0010-0000-0000-000002000000}" name="Project Description" dataDxfId="1508"/>
    <tableColumn id="3" xr3:uid="{00000000-0010-0000-0000-000003000000}" name="Main Customer/Partner" dataDxfId="1507"/>
    <tableColumn id="116" xr3:uid="{00000000-0010-0000-0000-000074000000}" name="Industrial Sector" dataDxfId="1506"/>
    <tableColumn id="4" xr3:uid="{00000000-0010-0000-0000-000004000000}" name="Number of Related BR Corporations" dataDxfId="1505"/>
    <tableColumn id="5" xr3:uid="{00000000-0010-0000-0000-000005000000}" name="Number of Related Foreign Corporations" dataDxfId="1504"/>
    <tableColumn id="6" xr3:uid="{00000000-0010-0000-0000-000006000000}" name="FPC@ITA Executors" dataDxfId="1503"/>
    <tableColumn id="7" xr3:uid="{00000000-0010-0000-0000-000007000000}" name="Project Funding Classification" dataDxfId="1502"/>
    <tableColumn id="8" xr3:uid="{00000000-0010-0000-0000-000008000000}" name="Comments" dataDxfId="1501"/>
    <tableColumn id="9" xr3:uid="{00000000-0010-0000-0000-000009000000}" name="Prospection Start Date" dataDxfId="1500"/>
    <tableColumn id="10" xr3:uid="{00000000-0010-0000-0000-00000A000000}" name="Status CRM IPK" dataDxfId="1499"/>
    <tableColumn id="115" xr3:uid="{00000000-0010-0000-0000-000073000000}" name="Status ITA" dataDxfId="1498"/>
    <tableColumn id="117" xr3:uid="{00000000-0010-0000-0000-000075000000}" name="EUR exchange rate against BRL" dataDxfId="1497"/>
    <tableColumn id="118" xr3:uid="{00000000-0010-0000-0000-000076000000}" name="BM applied for this project" dataDxfId="1496"/>
    <tableColumn id="113" xr3:uid="{00000000-0010-0000-0000-000071000000}" name="Status Proposal (prospection ended at)" dataDxfId="1495"/>
    <tableColumn id="11" xr3:uid="{00000000-0010-0000-0000-00000B000000}" name="Project Start Date [Planned]" dataDxfId="1494"/>
    <tableColumn id="114" xr3:uid="{00000000-0010-0000-0000-000072000000}" name="Estimated duration (months)" dataDxfId="1493"/>
    <tableColumn id="12" xr3:uid="{00000000-0010-0000-0000-00000C000000}" name="Project Finish Date [Planned]" dataDxfId="1492"/>
    <tableColumn id="13" xr3:uid="{00000000-0010-0000-0000-00000D000000}" name="01. Early Project Acquisition" dataDxfId="1491"/>
    <tableColumn id="112" xr3:uid="{00000000-0010-0000-0000-000070000000}" name="02. Stand-by" dataDxfId="1490"/>
    <tableColumn id="14" xr3:uid="{00000000-0010-0000-0000-00000E000000}" name="03. Project Proposal Preparation" dataDxfId="1489"/>
    <tableColumn id="15" xr3:uid="{00000000-0010-0000-0000-00000F000000}" name="04. Proposals Submitted" dataDxfId="1488"/>
    <tableColumn id="16" xr3:uid="{00000000-0010-0000-0000-000010000000}" name="07. Projects Running" dataDxfId="1487"/>
    <tableColumn id="17" xr3:uid="{00000000-0010-0000-0000-000011000000}" name="09. Projects Finished" dataDxfId="1486"/>
    <tableColumn id="18" xr3:uid="{00000000-0010-0000-0000-000012000000}" name="10. Proposals Declined" dataDxfId="1485"/>
    <tableColumn id="19" xr3:uid="{00000000-0010-0000-0000-000013000000}" name="Name (IPK)" dataDxfId="1484">
      <calculatedColumnFormula>"IPK"</calculatedColumnFormula>
    </tableColumn>
    <tableColumn id="20" xr3:uid="{00000000-0010-0000-0000-000014000000}" name="Contact Person (IPK)" dataDxfId="1483"/>
    <tableColumn id="21" xr3:uid="{00000000-0010-0000-0000-000015000000}" name="Industry Funding from DE (IPK)" dataDxfId="1482"/>
    <tableColumn id="22" xr3:uid="{00000000-0010-0000-0000-000016000000}" name="Industry Funding from BR (IPK)" dataDxfId="1481"/>
    <tableColumn id="23" xr3:uid="{00000000-0010-0000-0000-000017000000}" name="Public Funding from DE (IPK)" dataDxfId="1480"/>
    <tableColumn id="24" xr3:uid="{00000000-0010-0000-0000-000018000000}" name="Public Funding from BR (IPK)" dataDxfId="1479"/>
    <tableColumn id="25" xr3:uid="{00000000-0010-0000-0000-000019000000}" name="In-kind Contribution (IPK)" dataDxfId="1478"/>
    <tableColumn id="26" xr3:uid="{00000000-0010-0000-0000-00001A000000}" name="Name (ITA)" dataDxfId="1477">
      <calculatedColumnFormula>"ITA"</calculatedColumnFormula>
    </tableColumn>
    <tableColumn id="111" xr3:uid="{00000000-0010-0000-0000-00006F000000}" name="Responsible (CCM)" dataDxfId="1476"/>
    <tableColumn id="27" xr3:uid="{00000000-0010-0000-0000-00001B000000}" name="Responsible for prospection" dataDxfId="1475"/>
    <tableColumn id="28" xr3:uid="{00000000-0010-0000-0000-00001C000000}" name="Industry Funding from DE (ITA)" dataDxfId="1474"/>
    <tableColumn id="29" xr3:uid="{00000000-0010-0000-0000-00001D000000}" name="Industry Funding from BR (ITA)" dataDxfId="1473"/>
    <tableColumn id="30" xr3:uid="{00000000-0010-0000-0000-00001E000000}" name="Public Funding from DE (ITA)" dataDxfId="1472"/>
    <tableColumn id="31" xr3:uid="{00000000-0010-0000-0000-00001F000000}" name="Public Funding from BR (ITA)" dataDxfId="1471"/>
    <tableColumn id="32" xr3:uid="{00000000-0010-0000-0000-000020000000}" name="In-kind Contribution (ITA)" dataDxfId="1470"/>
    <tableColumn id="33" xr3:uid="{00000000-0010-0000-0000-000021000000}" name="Name (R&amp;D III)" dataDxfId="1469"/>
    <tableColumn id="34" xr3:uid="{00000000-0010-0000-0000-000022000000}" name="Contact Person (R&amp;D III)" dataDxfId="1468"/>
    <tableColumn id="35" xr3:uid="{00000000-0010-0000-0000-000023000000}" name="Industry Funding from DE (R&amp;D III)" dataDxfId="1467"/>
    <tableColumn id="36" xr3:uid="{00000000-0010-0000-0000-000024000000}" name="Industry Funding from BR (R&amp;D III)" dataDxfId="1466"/>
    <tableColumn id="37" xr3:uid="{00000000-0010-0000-0000-000025000000}" name="Public Funding from DE (R&amp;D III)" dataDxfId="1465"/>
    <tableColumn id="38" xr3:uid="{00000000-0010-0000-0000-000026000000}" name="Public Funding from BR (R&amp;D III)" dataDxfId="1464"/>
    <tableColumn id="39" xr3:uid="{00000000-0010-0000-0000-000027000000}" name="In-kind Contribution (R&amp;D III)" dataDxfId="1463"/>
    <tableColumn id="40" xr3:uid="{00000000-0010-0000-0000-000028000000}" name="Name (R&amp;D IV)" dataDxfId="1462"/>
    <tableColumn id="41" xr3:uid="{00000000-0010-0000-0000-000029000000}" name="Contact Person (R&amp;D IV)" dataDxfId="1461"/>
    <tableColumn id="42" xr3:uid="{00000000-0010-0000-0000-00002A000000}" name="Industry Funding from DE (R&amp;D IV)" dataDxfId="1460"/>
    <tableColumn id="43" xr3:uid="{00000000-0010-0000-0000-00002B000000}" name="Industry Funding from BR (R&amp;D IV)" dataDxfId="1459"/>
    <tableColumn id="44" xr3:uid="{00000000-0010-0000-0000-00002C000000}" name="Public Funding from DE (R&amp;D IV)" dataDxfId="1458"/>
    <tableColumn id="45" xr3:uid="{00000000-0010-0000-0000-00002D000000}" name="Public Funding from BR (R&amp;D IV)" dataDxfId="1457"/>
    <tableColumn id="46" xr3:uid="{00000000-0010-0000-0000-00002E000000}" name="In-kind Contribution (R&amp;D IV)" dataDxfId="1456"/>
    <tableColumn id="47" xr3:uid="{00000000-0010-0000-0000-00002F000000}" name="Name (Ind I)" dataDxfId="1455"/>
    <tableColumn id="48" xr3:uid="{00000000-0010-0000-0000-000030000000}" name="Contact Person (Ind I)" dataDxfId="1454"/>
    <tableColumn id="49" xr3:uid="{00000000-0010-0000-0000-000031000000}" name="Financial Contribution (Ind I)" dataDxfId="1453"/>
    <tableColumn id="50" xr3:uid="{00000000-0010-0000-0000-000032000000}" name="In-kind Contribution (Ind I)" dataDxfId="1452"/>
    <tableColumn id="51" xr3:uid="{00000000-0010-0000-0000-000033000000}" name="Name (Ind II)" dataDxfId="1451"/>
    <tableColumn id="52" xr3:uid="{00000000-0010-0000-0000-000034000000}" name="Contact Person (Ind II)" dataDxfId="1450"/>
    <tableColumn id="53" xr3:uid="{00000000-0010-0000-0000-000035000000}" name="Financial Contribution (Ind II)" dataDxfId="1449"/>
    <tableColumn id="54" xr3:uid="{00000000-0010-0000-0000-000036000000}" name="In-kind Contribution (Ind II)" dataDxfId="1448"/>
    <tableColumn id="55" xr3:uid="{00000000-0010-0000-0000-000037000000}" name="Name (Ind III)" dataDxfId="1447"/>
    <tableColumn id="56" xr3:uid="{00000000-0010-0000-0000-000038000000}" name="Contact Person (Ind III)" dataDxfId="1446"/>
    <tableColumn id="57" xr3:uid="{00000000-0010-0000-0000-000039000000}" name="Financial Contribution (Ind III)" dataDxfId="1445"/>
    <tableColumn id="58" xr3:uid="{00000000-0010-0000-0000-00003A000000}" name="In-kind Contribution (Ind III)" dataDxfId="1444"/>
    <tableColumn id="59" xr3:uid="{00000000-0010-0000-0000-00003B000000}" name="Name (Ind IV)" dataDxfId="1443"/>
    <tableColumn id="60" xr3:uid="{00000000-0010-0000-0000-00003C000000}" name="Contact Person (Ind IV)" dataDxfId="1442"/>
    <tableColumn id="61" xr3:uid="{00000000-0010-0000-0000-00003D000000}" name="Financial Contribution (Ind IV)" dataDxfId="1441"/>
    <tableColumn id="62" xr3:uid="{00000000-0010-0000-0000-00003E000000}" name="In-kind Contribution (Ind IV)" dataDxfId="1440"/>
    <tableColumn id="63" xr3:uid="{00000000-0010-0000-0000-00003F000000}" name="Name (Fund I)" dataDxfId="1439"/>
    <tableColumn id="64" xr3:uid="{00000000-0010-0000-0000-000040000000}" name="Contact Person (Fund I)" dataDxfId="1438"/>
    <tableColumn id="65" xr3:uid="{00000000-0010-0000-0000-000041000000}" name="Funding Amount (Fund I)" dataDxfId="1437"/>
    <tableColumn id="66" xr3:uid="{00000000-0010-0000-0000-000042000000}" name="Name (Fund II)" dataDxfId="1436"/>
    <tableColumn id="67" xr3:uid="{00000000-0010-0000-0000-000043000000}" name="Contact Person (Fund II)" dataDxfId="1435"/>
    <tableColumn id="68" xr3:uid="{00000000-0010-0000-0000-000044000000}" name="Funding Amount (Fund II)" dataDxfId="1434"/>
    <tableColumn id="69" xr3:uid="{00000000-0010-0000-0000-000045000000}" name="Total Project Volume (IPK)" dataDxfId="1433">
      <calculatedColumnFormula>Tabelle4[[#This Row],[Industry Funding from DE (IPK)]]+Tabelle4[[#This Row],[Industry Funding from BR (IPK)]]+Tabelle4[[#This Row],[Public Funding from DE (IPK)]]+Tabelle4[[#This Row],[Public Funding from BR (IPK)]]+Tabelle4[[#This Row],[In-kind Contribution (IPK)]]</calculatedColumnFormula>
    </tableColumn>
    <tableColumn id="108" xr3:uid="{00000000-0010-0000-0000-00006C000000}" name="Total Revenues (IPK)" dataDxfId="1432">
      <calculatedColumnFormula>Tabelle4[[#This Row],[Industry Funding from DE (IPK)]]+Tabelle4[[#This Row],[Industry Funding from BR (IPK)]]+Tabelle4[[#This Row],[Public Funding from DE (IPK)]]+Tabelle4[[#This Row],[Public Funding from BR (IPK)]]</calculatedColumnFormula>
    </tableColumn>
    <tableColumn id="70" xr3:uid="{00000000-0010-0000-0000-000046000000}" name="Total Industry Funding (IPK)" dataDxfId="1431">
      <calculatedColumnFormula>Tabelle4[[#This Row],[Industry Funding from DE (IPK)]]+Tabelle4[[#This Row],[Industry Funding from BR (IPK)]]</calculatedColumnFormula>
    </tableColumn>
    <tableColumn id="71" xr3:uid="{00000000-0010-0000-0000-000047000000}" name="Total Public Funding (IPK)" dataDxfId="1430">
      <calculatedColumnFormula>Tabelle4[[#This Row],[Public Funding from DE (IPK)]]+Tabelle4[[#This Row],[Public Funding from BR (IPK)]]</calculatedColumnFormula>
    </tableColumn>
    <tableColumn id="109" xr3:uid="{00000000-0010-0000-0000-00006D000000}" name="Total In-kind Contribution" dataDxfId="1429">
      <calculatedColumnFormula>Tabelle4[[#This Row],[In-kind Contribution (IPK)]]</calculatedColumnFormula>
    </tableColumn>
    <tableColumn id="72" xr3:uid="{00000000-0010-0000-0000-000048000000}" name="Funding Ratio (IPK)" dataDxfId="1428">
      <calculatedColumnFormula>(Tabelle4[[#This Row],[Total Industry Funding (IPK)]] + Tabelle4[[#This Row],[Total Public Funding (IPK)]])/Tabelle4[[#This Row],[Total Project Volume (IPK)]]</calculatedColumnFormula>
    </tableColumn>
    <tableColumn id="110" xr3:uid="{00000000-0010-0000-0000-00006E000000}" name="Rho-Wi" dataDxfId="1427">
      <calculatedColumnFormula>Tabelle4[[#This Row],[Total Industry Funding (IPK)]] / Tabelle4[[#This Row],[Total Project Volume (IPK)]]</calculatedColumnFormula>
    </tableColumn>
    <tableColumn id="73" xr3:uid="{00000000-0010-0000-0000-000049000000}" name="Internal Project Classification (IPK)" dataDxfId="1426">
      <calculatedColumnFormula>Tabelle4[[#This Row],[Project Funding Classification]]</calculatedColumnFormula>
    </tableColumn>
    <tableColumn id="74" xr3:uid="{00000000-0010-0000-0000-00004A000000}" name="Total Funding DE (IPK)" dataDxfId="1425">
      <calculatedColumnFormula>Tabelle4[[#This Row],[Industry Funding from DE (IPK)]]+Tabelle4[[#This Row],[Public Funding from DE (IPK)]]</calculatedColumnFormula>
    </tableColumn>
    <tableColumn id="75" xr3:uid="{00000000-0010-0000-0000-00004B000000}" name="Total Funding BR (IPK)" dataDxfId="1424">
      <calculatedColumnFormula>Tabelle4[[#This Row],[Industry Funding from BR (IPK)]]+Tabelle4[[#This Row],[Public Funding from BR (IPK)]]</calculatedColumnFormula>
    </tableColumn>
    <tableColumn id="76" xr3:uid="{00000000-0010-0000-0000-00004C000000}" name="Total Project Volume (ITA)" dataDxfId="1423">
      <calculatedColumnFormula>Tabelle4[[#This Row],[Industry Funding from DE (ITA)]]+Tabelle4[[#This Row],[Industry Funding from BR (ITA)]]+Tabelle4[[#This Row],[Public Funding from DE (ITA)]]+Tabelle4[[#This Row],[Public Funding from BR (ITA)]]</calculatedColumnFormula>
    </tableColumn>
    <tableColumn id="77" xr3:uid="{00000000-0010-0000-0000-00004D000000}" name="Total Industry Funding (ITA)" dataDxfId="1422">
      <calculatedColumnFormula>Tabelle4[[#This Row],[Industry Funding from DE (ITA)]]+Tabelle4[[#This Row],[Industry Funding from BR (ITA)]]</calculatedColumnFormula>
    </tableColumn>
    <tableColumn id="78" xr3:uid="{00000000-0010-0000-0000-00004E000000}" name="Total Public Funding (ITA)" dataDxfId="1421">
      <calculatedColumnFormula>Tabelle4[[#This Row],[Public Funding from DE (ITA)]]+Tabelle4[[#This Row],[Public Funding from BR (ITA)]]</calculatedColumnFormula>
    </tableColumn>
    <tableColumn id="79" xr3:uid="{00000000-0010-0000-0000-00004F000000}" name="Funding Ratio (ITA)" dataDxfId="1420">
      <calculatedColumnFormula>Tabelle4[[#This Row],[Total Industry Funding (ITA)]]/Tabelle4[[#This Row],[Total Project Volume (ITA)]]</calculatedColumnFormula>
    </tableColumn>
    <tableColumn id="80" xr3:uid="{00000000-0010-0000-0000-000050000000}" name="Internal Project Classification (ITA)" dataDxfId="1419">
      <calculatedColumnFormula>IF(Tabelle4[[#This Row],[Funding Ratio (ITA)]]&lt;0.5,"Public Funding","Industry")</calculatedColumnFormula>
    </tableColumn>
    <tableColumn id="81" xr3:uid="{00000000-0010-0000-0000-000051000000}" name="Total Funding DE (ITA)" dataDxfId="1418">
      <calculatedColumnFormula>Tabelle4[[#This Row],[Industry Funding from DE (ITA)]]+Tabelle4[[#This Row],[Public Funding from DE (ITA)]]</calculatedColumnFormula>
    </tableColumn>
    <tableColumn id="82" xr3:uid="{00000000-0010-0000-0000-000052000000}" name="Total Funding BR (ITA)" dataDxfId="1417">
      <calculatedColumnFormula>Tabelle4[[#This Row],[Industry Funding from BR (ITA)]]+Tabelle4[[#This Row],[Public Funding from BR (ITA)]]</calculatedColumnFormula>
    </tableColumn>
    <tableColumn id="83" xr3:uid="{00000000-0010-0000-0000-000053000000}" name="Total Budget (FPC)" dataDxfId="1416">
      <calculatedColumnFormula>Tabelle4[[#This Row],[Total Project Volume (IPK)]]+Tabelle4[[#This Row],[Total Project Volume (ITA)]]</calculatedColumnFormula>
    </tableColumn>
    <tableColumn id="84" xr3:uid="{00000000-0010-0000-0000-000054000000}" name="Total Industry Funding (FPC)" dataDxfId="1415">
      <calculatedColumnFormula>Tabelle4[[#This Row],[Total Industry Funding (IPK)]]+Tabelle4[[#This Row],[Total Industry Funding (ITA)]]</calculatedColumnFormula>
    </tableColumn>
    <tableColumn id="85" xr3:uid="{00000000-0010-0000-0000-000055000000}" name="Industry Funding from DE (FPC)" dataDxfId="1414">
      <calculatedColumnFormula>Tabelle4[[#This Row],[Industry Funding from DE (IPK)]]+Tabelle4[[#This Row],[Industry Funding from DE (ITA)]]</calculatedColumnFormula>
    </tableColumn>
    <tableColumn id="86" xr3:uid="{00000000-0010-0000-0000-000056000000}" name="Industry Funding from BR (FPC)" dataDxfId="1413">
      <calculatedColumnFormula>Tabelle4[[#This Row],[Industry Funding from BR (IPK)]]+Tabelle4[[#This Row],[Industry Funding from BR (ITA)]]</calculatedColumnFormula>
    </tableColumn>
    <tableColumn id="87" xr3:uid="{00000000-0010-0000-0000-000057000000}" name="Total Public Funding (FPC)" dataDxfId="1412">
      <calculatedColumnFormula>Tabelle4[[#This Row],[Total Public Funding (IPK)]]+Tabelle4[[#This Row],[Total Public Funding (ITA)]]</calculatedColumnFormula>
    </tableColumn>
    <tableColumn id="88" xr3:uid="{00000000-0010-0000-0000-000058000000}" name="Public Funding from DE (FPC)" dataDxfId="1411">
      <calculatedColumnFormula>Tabelle4[[#This Row],[Public Funding from DE (IPK)]]+Tabelle4[[#This Row],[Public Funding from DE (ITA)]]</calculatedColumnFormula>
    </tableColumn>
    <tableColumn id="89" xr3:uid="{00000000-0010-0000-0000-000059000000}" name="Public Funding from BR (FPC)" dataDxfId="1410">
      <calculatedColumnFormula>Tabelle4[[#This Row],[Public Funding from BR (IPK)]]+Tabelle4[[#This Row],[Public Funding from BR (ITA)]]</calculatedColumnFormula>
    </tableColumn>
    <tableColumn id="90" xr3:uid="{00000000-0010-0000-0000-00005A000000}" name="Total Funding DE (FPC)" dataDxfId="1409">
      <calculatedColumnFormula>Tabelle4[[#This Row],[Industry Funding from DE (FPC)]]+Tabelle4[[#This Row],[Public Funding from DE (FPC)]]</calculatedColumnFormula>
    </tableColumn>
    <tableColumn id="91" xr3:uid="{00000000-0010-0000-0000-00005B000000}" name="Total Funding BR (FPC)" dataDxfId="1408">
      <calculatedColumnFormula>Tabelle4[[#This Row],[Industry Funding from BR (FPC)]]+Tabelle4[[#This Row],[Public Funding from BR (FPC)]]</calculatedColumnFormula>
    </tableColumn>
    <tableColumn id="92" xr3:uid="{00000000-0010-0000-0000-00005C000000}" name="Total Volume (Other)" dataDxfId="1407">
      <calculatedColumnFormula>Tabelle4[[#This Row],[Total Financial Budget (Other)]]+Tabelle4[[#This Row],[Total In-kind Contribution (Other)]]</calculatedColumnFormula>
    </tableColumn>
    <tableColumn id="93" xr3:uid="{00000000-0010-0000-0000-00005D000000}" name="Total Financial Budget (Other)" dataDxfId="1406">
      <calculatedColumnFormula>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calculatedColumnFormula>
    </tableColumn>
    <tableColumn id="94" xr3:uid="{00000000-0010-0000-0000-00005E000000}" name="Total In-kind Contribution (Other)" dataDxfId="1405">
      <calculatedColumnFormula>Tabelle4[[#This Row],[In-kind Contribution (R&amp;D III)]]+Tabelle4[[#This Row],[In-kind Contribution (R&amp;D IV)]]</calculatedColumnFormula>
    </tableColumn>
    <tableColumn id="95" xr3:uid="{00000000-0010-0000-0000-00005F000000}" name="Total Project Volume" dataDxfId="1404">
      <calculatedColumnFormula>Tabelle4[[#This Row],[Total Budget (FPC)]]+Tabelle4[[#This Row],[Total Volume (Other)]]</calculatedColumnFormula>
    </tableColumn>
    <tableColumn id="96" xr3:uid="{00000000-0010-0000-0000-000060000000}" name="Total Revenues IPK" dataDxfId="1403">
      <calculatedColumnFormula>Tabelle4[[#This Row],[Total Revenues (IPK)]]</calculatedColumnFormula>
    </tableColumn>
    <tableColumn id="97" xr3:uid="{00000000-0010-0000-0000-000061000000}" name="Probability of Success" dataDxfId="1402"/>
    <tableColumn id="98" xr3:uid="{00000000-0010-0000-0000-000062000000}" name="Real Budget IPK" dataDxfId="1401">
      <calculatedColumnFormula>Tabelle4[[#This Row],[Total Revenues IPK]]*Tabelle4[[#This Row],[Probability of Success]]</calculatedColumnFormula>
    </tableColumn>
    <tableColumn id="107" xr3:uid="{00000000-0010-0000-0000-00006B000000}" name="Project Execution OE100" dataDxfId="1400"/>
    <tableColumn id="106" xr3:uid="{00000000-0010-0000-0000-00006A000000}" name="Project Execution OE200" dataDxfId="1399"/>
    <tableColumn id="105" xr3:uid="{00000000-0010-0000-0000-000069000000}" name="Project Execution OE300" dataDxfId="1398"/>
    <tableColumn id="104" xr3:uid="{00000000-0010-0000-0000-000068000000}" name="Project Execution OE400" dataDxfId="1397"/>
    <tableColumn id="103" xr3:uid="{00000000-0010-0000-0000-000067000000}" name="Project Execution OE600" dataDxfId="1396"/>
    <tableColumn id="102" xr3:uid="{00000000-0010-0000-0000-000066000000}" name="Acquisition Factor OE810" dataDxfId="1395"/>
    <tableColumn id="99" xr3:uid="{00000000-0010-0000-0000-000063000000}" name="Acquisition Bonus OE810" dataDxfId="1394">
      <calculatedColumnFormula>Tabelle4[[#This Row],[Real Budget IPK]]*Tabelle4[[#This Row],[Acquisition Factor OE810]]</calculatedColumnFormula>
    </tableColumn>
    <tableColumn id="100" xr3:uid="{00000000-0010-0000-0000-000064000000}" name="Project Execution OE810" dataDxfId="1393"/>
    <tableColumn id="101" xr3:uid="{00000000-0010-0000-0000-000065000000}" name="Total OE810" dataDxfId="1392">
      <calculatedColumnFormula>Tabelle4[[#This Row],[Acquisition Bonus OE810]]+Tabelle4[[#This Row],[Project Execution OE810]]</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le1" displayName="Tabelle1" ref="A1:A4" totalsRowShown="0" headerRowDxfId="17" dataDxfId="16">
  <autoFilter ref="A1:A4" xr:uid="{00000000-0009-0000-0100-000001000000}"/>
  <tableColumns count="1">
    <tableColumn id="1" xr3:uid="{00000000-0010-0000-0100-000001000000}" name="FPC@ITA Executors" dataDxfId="15"/>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elle2" displayName="Tabelle2" ref="B1:B3" totalsRowShown="0" headerRowDxfId="14" dataDxfId="13">
  <autoFilter ref="B1:B3" xr:uid="{00000000-0009-0000-0100-000002000000}"/>
  <tableColumns count="1">
    <tableColumn id="1" xr3:uid="{00000000-0010-0000-0200-000001000000}" name="Project Funding Classification" dataDxfId="1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elle3" displayName="Tabelle3" ref="C1:C8" totalsRowShown="0" headerRowDxfId="11" dataDxfId="10">
  <autoFilter ref="C1:C8" xr:uid="{00000000-0009-0000-0100-000003000000}"/>
  <tableColumns count="1">
    <tableColumn id="1" xr3:uid="{00000000-0010-0000-0300-000001000000}" name="Status CRM IPK" dataDxfId="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elle36" displayName="Tabelle36" ref="D1:D7" totalsRowShown="0" headerRowDxfId="8" dataDxfId="7">
  <autoFilter ref="D1:D7" xr:uid="{00000000-0009-0000-0100-000005000000}"/>
  <tableColumns count="1">
    <tableColumn id="1" xr3:uid="{00000000-0010-0000-0400-000001000000}" name="Status ITA" dataDxfId="6"/>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E1:E14" totalsRowShown="0" headerRowDxfId="5" dataDxfId="4">
  <autoFilter ref="E1:E14" xr:uid="{00000000-0009-0000-0100-000006000000}"/>
  <tableColumns count="1">
    <tableColumn id="1" xr3:uid="{00000000-0010-0000-0500-000001000000}" name="Business Model" dataDxfId="3"/>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elle7" displayName="Tabelle7" ref="F1:F9" totalsRowShown="0" headerRowDxfId="2" dataDxfId="1">
  <autoFilter ref="F1:F9" xr:uid="{00000000-0009-0000-0100-000007000000}"/>
  <tableColumns count="1">
    <tableColumn id="1" xr3:uid="{00000000-0010-0000-0600-000001000000}" name="Industrial sector" dataDxfId="0"/>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3.xml"/><Relationship Id="rId7"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ctrlProp" Target="../ctrlProps/ctrlProp5.xml"/><Relationship Id="rId4" Type="http://schemas.openxmlformats.org/officeDocument/2006/relationships/pivotTable" Target="../pivotTables/pivotTable4.xm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pivotTable" Target="../pivotTables/pivotTable12.xml"/><Relationship Id="rId7" Type="http://schemas.openxmlformats.org/officeDocument/2006/relationships/printerSettings" Target="../printerSettings/printerSettings4.bin"/><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5" Type="http://schemas.openxmlformats.org/officeDocument/2006/relationships/pivotTable" Target="../pivotTables/pivotTable14.xml"/><Relationship Id="rId10" Type="http://schemas.openxmlformats.org/officeDocument/2006/relationships/ctrlProp" Target="../ctrlProps/ctrlProp6.xml"/><Relationship Id="rId4" Type="http://schemas.openxmlformats.org/officeDocument/2006/relationships/pivotTable" Target="../pivotTables/pivotTable13.xml"/><Relationship Id="rId9"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5.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Q13"/>
  <sheetViews>
    <sheetView showGridLines="0" tabSelected="1" zoomScale="70" zoomScaleNormal="70" workbookViewId="0">
      <selection activeCell="Q10" sqref="Q10"/>
    </sheetView>
  </sheetViews>
  <sheetFormatPr baseColWidth="10" defaultColWidth="11.265625" defaultRowHeight="13.9" x14ac:dyDescent="0.45"/>
  <cols>
    <col min="1" max="16384" width="11.265625" style="31"/>
  </cols>
  <sheetData>
    <row r="13" spans="17:17" x14ac:dyDescent="0.45">
      <c r="Q13" s="88"/>
    </row>
  </sheetData>
  <pageMargins left="0.7" right="0.7" top="0.78740157499999996" bottom="0.78740157499999996" header="0.3" footer="0.3"/>
  <pageSetup paperSize="9"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ave_and_Logout">
                <anchor moveWithCells="1" sizeWithCells="1">
                  <from>
                    <xdr:col>10</xdr:col>
                    <xdr:colOff>38100</xdr:colOff>
                    <xdr:row>25</xdr:row>
                    <xdr:rowOff>38100</xdr:rowOff>
                  </from>
                  <to>
                    <xdr:col>14</xdr:col>
                    <xdr:colOff>28575</xdr:colOff>
                    <xdr:row>26</xdr:row>
                    <xdr:rowOff>66675</xdr:rowOff>
                  </to>
                </anchor>
              </controlPr>
            </control>
          </mc:Choice>
        </mc:AlternateContent>
        <mc:AlternateContent xmlns:mc="http://schemas.openxmlformats.org/markup-compatibility/2006">
          <mc:Choice Requires="x14">
            <control shapeId="11267" r:id="rId5" name="Button 3">
              <controlPr defaultSize="0" print="0" autoFill="0" autoPict="0" macro="[0]!Logout">
                <anchor moveWithCells="1" sizeWithCells="1">
                  <from>
                    <xdr:col>10</xdr:col>
                    <xdr:colOff>38100</xdr:colOff>
                    <xdr:row>26</xdr:row>
                    <xdr:rowOff>85725</xdr:rowOff>
                  </from>
                  <to>
                    <xdr:col>14</xdr:col>
                    <xdr:colOff>28575</xdr:colOff>
                    <xdr:row>28</xdr:row>
                    <xdr:rowOff>28575</xdr:rowOff>
                  </to>
                </anchor>
              </controlPr>
            </control>
          </mc:Choice>
        </mc:AlternateContent>
        <mc:AlternateContent xmlns:mc="http://schemas.openxmlformats.org/markup-compatibility/2006">
          <mc:Choice Requires="x14">
            <control shapeId="11265" r:id="rId6" name="Button 1">
              <controlPr defaultSize="0" print="0" autoFill="0" autoPict="0" macro="[0]!Show_Login_Form">
                <anchor moveWithCells="1" sizeWithCells="1">
                  <from>
                    <xdr:col>10</xdr:col>
                    <xdr:colOff>38100</xdr:colOff>
                    <xdr:row>23</xdr:row>
                    <xdr:rowOff>76200</xdr:rowOff>
                  </from>
                  <to>
                    <xdr:col>14</xdr:col>
                    <xdr:colOff>28575</xdr:colOff>
                    <xdr:row>25</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XFC201"/>
  <sheetViews>
    <sheetView showGridLines="0" zoomScaleNormal="100" workbookViewId="0">
      <pane xSplit="2" ySplit="2" topLeftCell="C43" activePane="bottomRight" state="frozen"/>
      <selection pane="topRight" activeCell="C1" sqref="C1"/>
      <selection pane="bottomLeft" activeCell="A3" sqref="A3"/>
      <selection pane="bottomRight" activeCell="K43" sqref="K43"/>
    </sheetView>
  </sheetViews>
  <sheetFormatPr baseColWidth="10" defaultColWidth="12" defaultRowHeight="13.9" outlineLevelCol="1" x14ac:dyDescent="0.45"/>
  <cols>
    <col min="1" max="1" width="35.59765625" style="33" customWidth="1"/>
    <col min="2" max="2" width="40.73046875" style="33" customWidth="1"/>
    <col min="3" max="4" width="15.1328125" style="33" customWidth="1"/>
    <col min="5" max="5" width="14.86328125" style="33" customWidth="1"/>
    <col min="6" max="6" width="17.265625" style="33" customWidth="1"/>
    <col min="7" max="7" width="12" style="33"/>
    <col min="8" max="8" width="14.59765625" style="33" customWidth="1"/>
    <col min="9" max="9" width="34.1328125" style="33" customWidth="1"/>
    <col min="10" max="10" width="15.73046875" style="59" customWidth="1"/>
    <col min="11" max="12" width="19.59765625" style="33" customWidth="1"/>
    <col min="13" max="13" width="19.59765625" style="144" customWidth="1"/>
    <col min="14" max="14" width="19.59765625" style="33" customWidth="1"/>
    <col min="15" max="15" width="19.59765625" style="59" customWidth="1"/>
    <col min="16" max="16" width="17" style="59" bestFit="1" customWidth="1"/>
    <col min="17" max="17" width="17" style="33" customWidth="1"/>
    <col min="18" max="22" width="13.1328125" style="59" customWidth="1"/>
    <col min="23" max="23" width="13.59765625" style="59" customWidth="1"/>
    <col min="24" max="25" width="13.1328125" style="59" customWidth="1"/>
    <col min="26" max="26" width="12" style="33"/>
    <col min="27" max="27" width="14" style="33" customWidth="1"/>
    <col min="28" max="32" width="15.59765625" style="61" customWidth="1"/>
    <col min="33" max="33" width="12" style="33"/>
    <col min="34" max="34" width="15.265625" style="33" customWidth="1"/>
    <col min="35" max="35" width="18" style="33" customWidth="1"/>
    <col min="36" max="36" width="15.59765625" style="104" customWidth="1"/>
    <col min="37" max="37" width="19.59765625" style="104" customWidth="1"/>
    <col min="38" max="38" width="15.59765625" style="104" customWidth="1"/>
    <col min="39" max="39" width="19.265625" style="104" customWidth="1"/>
    <col min="40" max="40" width="15.59765625" style="104" customWidth="1"/>
    <col min="41" max="41" width="12" style="33" customWidth="1" outlineLevel="1"/>
    <col min="42" max="42" width="13.1328125" style="33" customWidth="1" outlineLevel="1"/>
    <col min="43" max="47" width="15.59765625" style="61" customWidth="1" outlineLevel="1"/>
    <col min="48" max="49" width="12" style="33" customWidth="1" outlineLevel="1"/>
    <col min="50" max="54" width="15.59765625" style="61" customWidth="1" outlineLevel="1"/>
    <col min="55" max="55" width="14" style="33" customWidth="1"/>
    <col min="56" max="56" width="15.265625" style="33" customWidth="1"/>
    <col min="57" max="58" width="16.265625" style="61" customWidth="1"/>
    <col min="59" max="59" width="14" style="33" hidden="1" customWidth="1" outlineLevel="1"/>
    <col min="60" max="60" width="14.73046875" style="33" hidden="1" customWidth="1" outlineLevel="1"/>
    <col min="61" max="61" width="16.265625" style="61" hidden="1" customWidth="1" outlineLevel="1"/>
    <col min="62" max="62" width="16.265625" style="65" hidden="1" customWidth="1" outlineLevel="1"/>
    <col min="63" max="63" width="14" style="33" hidden="1" customWidth="1" outlineLevel="1"/>
    <col min="64" max="64" width="15" style="33" hidden="1" customWidth="1" outlineLevel="1"/>
    <col min="65" max="65" width="16.265625" style="61" hidden="1" customWidth="1" outlineLevel="1"/>
    <col min="66" max="66" width="16.265625" style="65" hidden="1" customWidth="1" outlineLevel="1"/>
    <col min="67" max="67" width="14.265625" style="33" hidden="1" customWidth="1" outlineLevel="1"/>
    <col min="68" max="68" width="15.265625" style="33" hidden="1" customWidth="1" outlineLevel="1"/>
    <col min="69" max="69" width="16.265625" style="61" hidden="1" customWidth="1" outlineLevel="1"/>
    <col min="70" max="70" width="16.265625" style="65" hidden="1" customWidth="1" outlineLevel="1"/>
    <col min="71" max="71" width="13.265625" style="33" bestFit="1" customWidth="1" collapsed="1"/>
    <col min="72" max="72" width="12" style="33" customWidth="1"/>
    <col min="73" max="73" width="16.265625" style="65" customWidth="1"/>
    <col min="74" max="75" width="12" style="33" hidden="1" customWidth="1" outlineLevel="1"/>
    <col min="76" max="76" width="16.265625" style="65" hidden="1" customWidth="1" outlineLevel="1"/>
    <col min="77" max="77" width="16.265625" style="44" customWidth="1" collapsed="1"/>
    <col min="78" max="81" width="16.265625" style="44" customWidth="1"/>
    <col min="82" max="83" width="12" style="47" customWidth="1"/>
    <col min="84" max="84" width="16.59765625" style="33" customWidth="1"/>
    <col min="85" max="85" width="16.265625" style="44" customWidth="1"/>
    <col min="86" max="86" width="16.265625" style="46" customWidth="1"/>
    <col min="87" max="87" width="20" style="44" customWidth="1"/>
    <col min="88" max="88" width="19.73046875" style="44" customWidth="1"/>
    <col min="89" max="89" width="18.265625" style="44" customWidth="1"/>
    <col min="90" max="90" width="12" style="47" customWidth="1"/>
    <col min="91" max="91" width="16.73046875" style="33" customWidth="1"/>
    <col min="92" max="92" width="16.265625" style="44" customWidth="1"/>
    <col min="93" max="93" width="18.86328125" style="46" customWidth="1"/>
    <col min="94" max="94" width="19.59765625" style="44" customWidth="1"/>
    <col min="95" max="95" width="18.73046875" style="44" customWidth="1"/>
    <col min="96" max="96" width="16.265625" style="44" customWidth="1"/>
    <col min="97" max="97" width="18.265625" style="44" customWidth="1"/>
    <col min="98" max="98" width="19.265625" style="44" customWidth="1"/>
    <col min="99" max="99" width="16.265625" style="44" customWidth="1"/>
    <col min="100" max="100" width="19.265625" style="44" customWidth="1"/>
    <col min="101" max="101" width="16.265625" style="44" customWidth="1"/>
    <col min="102" max="102" width="18" style="46" customWidth="1"/>
    <col min="103" max="104" width="16.265625" style="44" customWidth="1"/>
    <col min="105" max="105" width="16.265625" style="98" customWidth="1"/>
    <col min="106" max="106" width="18.73046875" style="101" customWidth="1"/>
    <col min="107" max="107" width="16.265625" style="104" customWidth="1"/>
    <col min="108" max="108" width="16.265625" style="47" customWidth="1"/>
    <col min="109" max="114" width="16.265625" style="44" customWidth="1"/>
    <col min="115" max="115" width="16.265625" style="47" customWidth="1"/>
    <col min="116" max="117" width="16.265625" style="44" customWidth="1"/>
    <col min="118" max="118" width="16.265625" style="46" customWidth="1"/>
    <col min="119" max="16384" width="12" style="33"/>
  </cols>
  <sheetData>
    <row r="1" spans="1:118 16301:16383" ht="27.75" x14ac:dyDescent="0.45">
      <c r="A1" s="169" t="s">
        <v>22</v>
      </c>
      <c r="B1" s="170"/>
      <c r="C1" s="170"/>
      <c r="D1" s="170"/>
      <c r="E1" s="170"/>
      <c r="F1" s="170"/>
      <c r="G1" s="170"/>
      <c r="H1" s="170"/>
      <c r="I1" s="170"/>
      <c r="J1" s="170"/>
      <c r="K1" s="170"/>
      <c r="L1" s="170"/>
      <c r="M1" s="170"/>
      <c r="N1" s="170"/>
      <c r="O1" s="170"/>
      <c r="P1" s="170"/>
      <c r="Q1" s="170"/>
      <c r="R1" s="170"/>
      <c r="S1" s="171" t="s">
        <v>4</v>
      </c>
      <c r="T1" s="172"/>
      <c r="U1" s="172"/>
      <c r="V1" s="172"/>
      <c r="W1" s="172"/>
      <c r="X1" s="172"/>
      <c r="Y1" s="173"/>
      <c r="Z1" s="165" t="s">
        <v>98</v>
      </c>
      <c r="AA1" s="166"/>
      <c r="AB1" s="166"/>
      <c r="AC1" s="166"/>
      <c r="AD1" s="166"/>
      <c r="AE1" s="166"/>
      <c r="AF1" s="166"/>
      <c r="AG1" s="165" t="s">
        <v>99</v>
      </c>
      <c r="AH1" s="166"/>
      <c r="AI1" s="166"/>
      <c r="AJ1" s="166"/>
      <c r="AK1" s="166"/>
      <c r="AL1" s="166"/>
      <c r="AM1" s="166"/>
      <c r="AN1" s="166"/>
      <c r="AO1" s="165" t="s">
        <v>11</v>
      </c>
      <c r="AP1" s="166"/>
      <c r="AQ1" s="166"/>
      <c r="AR1" s="166"/>
      <c r="AS1" s="166"/>
      <c r="AT1" s="166"/>
      <c r="AU1" s="166"/>
      <c r="AV1" s="165" t="s">
        <v>12</v>
      </c>
      <c r="AW1" s="166"/>
      <c r="AX1" s="166"/>
      <c r="AY1" s="166"/>
      <c r="AZ1" s="166"/>
      <c r="BA1" s="166"/>
      <c r="BB1" s="166"/>
      <c r="BC1" s="174" t="s">
        <v>13</v>
      </c>
      <c r="BD1" s="175"/>
      <c r="BE1" s="175"/>
      <c r="BF1" s="176"/>
      <c r="BG1" s="162" t="s">
        <v>15</v>
      </c>
      <c r="BH1" s="162"/>
      <c r="BI1" s="162"/>
      <c r="BJ1" s="162"/>
      <c r="BK1" s="161" t="s">
        <v>16</v>
      </c>
      <c r="BL1" s="162"/>
      <c r="BM1" s="162"/>
      <c r="BN1" s="162"/>
      <c r="BO1" s="161" t="s">
        <v>17</v>
      </c>
      <c r="BP1" s="162"/>
      <c r="BQ1" s="162"/>
      <c r="BR1" s="162"/>
      <c r="BS1" s="163" t="s">
        <v>18</v>
      </c>
      <c r="BT1" s="164"/>
      <c r="BU1" s="164"/>
      <c r="BV1" s="163" t="s">
        <v>19</v>
      </c>
      <c r="BW1" s="164"/>
      <c r="BX1" s="164"/>
      <c r="BY1" s="165" t="s">
        <v>27</v>
      </c>
      <c r="BZ1" s="166"/>
      <c r="CA1" s="166"/>
      <c r="CB1" s="166"/>
      <c r="CC1" s="166"/>
      <c r="CD1" s="166"/>
      <c r="CE1" s="166"/>
      <c r="CF1" s="166"/>
      <c r="CG1" s="166"/>
      <c r="CH1" s="166"/>
      <c r="CI1" s="165" t="s">
        <v>26</v>
      </c>
      <c r="CJ1" s="166"/>
      <c r="CK1" s="166"/>
      <c r="CL1" s="166"/>
      <c r="CM1" s="166"/>
      <c r="CN1" s="166"/>
      <c r="CO1" s="166"/>
      <c r="CP1" s="165" t="s">
        <v>25</v>
      </c>
      <c r="CQ1" s="166"/>
      <c r="CR1" s="166"/>
      <c r="CS1" s="166"/>
      <c r="CT1" s="166"/>
      <c r="CU1" s="166"/>
      <c r="CV1" s="166"/>
      <c r="CW1" s="166"/>
      <c r="CX1" s="166"/>
      <c r="CY1" s="165" t="s">
        <v>28</v>
      </c>
      <c r="CZ1" s="166"/>
      <c r="DA1" s="166"/>
      <c r="DB1" s="99" t="s">
        <v>29</v>
      </c>
      <c r="DC1" s="167" t="s">
        <v>30</v>
      </c>
      <c r="DD1" s="167"/>
      <c r="DE1" s="167"/>
      <c r="DF1" s="167"/>
      <c r="DG1" s="167"/>
      <c r="DH1" s="167"/>
      <c r="DI1" s="167"/>
      <c r="DJ1" s="167"/>
      <c r="DK1" s="167"/>
      <c r="DL1" s="167"/>
      <c r="DM1" s="167"/>
      <c r="DN1" s="168"/>
    </row>
    <row r="2" spans="1:118 16301:16383" ht="41.65" x14ac:dyDescent="0.45">
      <c r="A2" s="34" t="s">
        <v>5</v>
      </c>
      <c r="B2" s="35" t="s">
        <v>6</v>
      </c>
      <c r="C2" s="35" t="s">
        <v>14</v>
      </c>
      <c r="D2" s="35" t="s">
        <v>702</v>
      </c>
      <c r="E2" s="35" t="s">
        <v>20</v>
      </c>
      <c r="F2" s="35" t="s">
        <v>21</v>
      </c>
      <c r="G2" s="35" t="s">
        <v>7</v>
      </c>
      <c r="H2" s="35" t="s">
        <v>23</v>
      </c>
      <c r="I2" s="35" t="s">
        <v>3</v>
      </c>
      <c r="J2" s="121" t="s">
        <v>8</v>
      </c>
      <c r="K2" s="35" t="s">
        <v>304</v>
      </c>
      <c r="L2" s="35" t="s">
        <v>303</v>
      </c>
      <c r="M2" s="143" t="s">
        <v>649</v>
      </c>
      <c r="N2" s="35" t="s">
        <v>650</v>
      </c>
      <c r="O2" s="121" t="s">
        <v>302</v>
      </c>
      <c r="P2" s="121" t="s">
        <v>9</v>
      </c>
      <c r="Q2" s="35" t="s">
        <v>420</v>
      </c>
      <c r="R2" s="121" t="s">
        <v>10</v>
      </c>
      <c r="S2" s="121" t="s">
        <v>241</v>
      </c>
      <c r="T2" s="121" t="s">
        <v>630</v>
      </c>
      <c r="U2" s="121" t="s">
        <v>242</v>
      </c>
      <c r="V2" s="121" t="s">
        <v>243</v>
      </c>
      <c r="W2" s="121" t="s">
        <v>244</v>
      </c>
      <c r="X2" s="121" t="s">
        <v>245</v>
      </c>
      <c r="Y2" s="121" t="s">
        <v>246</v>
      </c>
      <c r="Z2" s="36" t="s">
        <v>106</v>
      </c>
      <c r="AA2" s="37" t="s">
        <v>105</v>
      </c>
      <c r="AB2" s="118" t="s">
        <v>104</v>
      </c>
      <c r="AC2" s="118" t="s">
        <v>100</v>
      </c>
      <c r="AD2" s="118" t="s">
        <v>101</v>
      </c>
      <c r="AE2" s="118" t="s">
        <v>102</v>
      </c>
      <c r="AF2" s="118" t="s">
        <v>103</v>
      </c>
      <c r="AG2" s="36" t="s">
        <v>107</v>
      </c>
      <c r="AH2" s="37" t="s">
        <v>300</v>
      </c>
      <c r="AI2" s="37" t="s">
        <v>301</v>
      </c>
      <c r="AJ2" s="118" t="s">
        <v>108</v>
      </c>
      <c r="AK2" s="118" t="s">
        <v>109</v>
      </c>
      <c r="AL2" s="118" t="s">
        <v>110</v>
      </c>
      <c r="AM2" s="118" t="s">
        <v>111</v>
      </c>
      <c r="AN2" s="118" t="s">
        <v>112</v>
      </c>
      <c r="AO2" s="36" t="s">
        <v>36</v>
      </c>
      <c r="AP2" s="37" t="s">
        <v>37</v>
      </c>
      <c r="AQ2" s="118" t="s">
        <v>38</v>
      </c>
      <c r="AR2" s="118" t="s">
        <v>39</v>
      </c>
      <c r="AS2" s="118" t="s">
        <v>40</v>
      </c>
      <c r="AT2" s="118" t="s">
        <v>41</v>
      </c>
      <c r="AU2" s="118" t="s">
        <v>42</v>
      </c>
      <c r="AV2" s="36" t="s">
        <v>43</v>
      </c>
      <c r="AW2" s="37" t="s">
        <v>44</v>
      </c>
      <c r="AX2" s="118" t="s">
        <v>45</v>
      </c>
      <c r="AY2" s="118" t="s">
        <v>46</v>
      </c>
      <c r="AZ2" s="118" t="s">
        <v>47</v>
      </c>
      <c r="BA2" s="118" t="s">
        <v>48</v>
      </c>
      <c r="BB2" s="118" t="s">
        <v>49</v>
      </c>
      <c r="BC2" s="38" t="s">
        <v>50</v>
      </c>
      <c r="BD2" s="39" t="s">
        <v>51</v>
      </c>
      <c r="BE2" s="115" t="s">
        <v>52</v>
      </c>
      <c r="BF2" s="116" t="s">
        <v>53</v>
      </c>
      <c r="BG2" s="39" t="s">
        <v>54</v>
      </c>
      <c r="BH2" s="39" t="s">
        <v>55</v>
      </c>
      <c r="BI2" s="115" t="s">
        <v>56</v>
      </c>
      <c r="BJ2" s="116" t="s">
        <v>57</v>
      </c>
      <c r="BK2" s="39" t="s">
        <v>58</v>
      </c>
      <c r="BL2" s="39" t="s">
        <v>59</v>
      </c>
      <c r="BM2" s="115" t="s">
        <v>60</v>
      </c>
      <c r="BN2" s="116" t="s">
        <v>61</v>
      </c>
      <c r="BO2" s="39" t="s">
        <v>62</v>
      </c>
      <c r="BP2" s="39" t="s">
        <v>63</v>
      </c>
      <c r="BQ2" s="115" t="s">
        <v>64</v>
      </c>
      <c r="BR2" s="116" t="s">
        <v>65</v>
      </c>
      <c r="BS2" s="40" t="s">
        <v>66</v>
      </c>
      <c r="BT2" s="40" t="s">
        <v>67</v>
      </c>
      <c r="BU2" s="113" t="s">
        <v>68</v>
      </c>
      <c r="BV2" s="40" t="s">
        <v>69</v>
      </c>
      <c r="BW2" s="40" t="s">
        <v>70</v>
      </c>
      <c r="BX2" s="113" t="s">
        <v>71</v>
      </c>
      <c r="BY2" s="109" t="s">
        <v>251</v>
      </c>
      <c r="BZ2" s="109" t="s">
        <v>253</v>
      </c>
      <c r="CA2" s="109" t="s">
        <v>72</v>
      </c>
      <c r="CB2" s="109" t="s">
        <v>73</v>
      </c>
      <c r="CC2" s="109" t="s">
        <v>254</v>
      </c>
      <c r="CD2" s="112" t="s">
        <v>74</v>
      </c>
      <c r="CE2" s="112" t="s">
        <v>255</v>
      </c>
      <c r="CF2" s="37" t="s">
        <v>75</v>
      </c>
      <c r="CG2" s="109" t="s">
        <v>76</v>
      </c>
      <c r="CH2" s="110" t="s">
        <v>77</v>
      </c>
      <c r="CI2" s="109" t="s">
        <v>256</v>
      </c>
      <c r="CJ2" s="109" t="s">
        <v>78</v>
      </c>
      <c r="CK2" s="109" t="s">
        <v>79</v>
      </c>
      <c r="CL2" s="112" t="s">
        <v>80</v>
      </c>
      <c r="CM2" s="37" t="s">
        <v>81</v>
      </c>
      <c r="CN2" s="109" t="s">
        <v>82</v>
      </c>
      <c r="CO2" s="110" t="s">
        <v>83</v>
      </c>
      <c r="CP2" s="109" t="s">
        <v>84</v>
      </c>
      <c r="CQ2" s="109" t="s">
        <v>85</v>
      </c>
      <c r="CR2" s="109" t="s">
        <v>86</v>
      </c>
      <c r="CS2" s="109" t="s">
        <v>87</v>
      </c>
      <c r="CT2" s="109" t="s">
        <v>88</v>
      </c>
      <c r="CU2" s="109" t="s">
        <v>89</v>
      </c>
      <c r="CV2" s="109" t="s">
        <v>90</v>
      </c>
      <c r="CW2" s="109" t="s">
        <v>91</v>
      </c>
      <c r="CX2" s="110" t="s">
        <v>92</v>
      </c>
      <c r="CY2" s="109" t="s">
        <v>93</v>
      </c>
      <c r="CZ2" s="109" t="s">
        <v>94</v>
      </c>
      <c r="DA2" s="108" t="s">
        <v>95</v>
      </c>
      <c r="DB2" s="100" t="s">
        <v>24</v>
      </c>
      <c r="DC2" s="103" t="s">
        <v>252</v>
      </c>
      <c r="DD2" s="41" t="s">
        <v>31</v>
      </c>
      <c r="DE2" s="106" t="s">
        <v>32</v>
      </c>
      <c r="DF2" s="106" t="s">
        <v>229</v>
      </c>
      <c r="DG2" s="106" t="s">
        <v>230</v>
      </c>
      <c r="DH2" s="106" t="s">
        <v>231</v>
      </c>
      <c r="DI2" s="106" t="s">
        <v>232</v>
      </c>
      <c r="DJ2" s="106" t="s">
        <v>233</v>
      </c>
      <c r="DK2" s="41" t="s">
        <v>113</v>
      </c>
      <c r="DL2" s="106" t="s">
        <v>33</v>
      </c>
      <c r="DM2" s="106" t="s">
        <v>34</v>
      </c>
      <c r="DN2" s="107" t="s">
        <v>35</v>
      </c>
    </row>
    <row r="3" spans="1:118 16301:16383" ht="69.400000000000006" x14ac:dyDescent="0.45">
      <c r="A3" s="33" t="s">
        <v>874</v>
      </c>
      <c r="B3" s="33" t="s">
        <v>875</v>
      </c>
      <c r="C3" s="33" t="s">
        <v>2</v>
      </c>
      <c r="D3" s="33" t="s">
        <v>711</v>
      </c>
      <c r="E3" s="33">
        <v>1</v>
      </c>
      <c r="G3" s="33" t="s">
        <v>1</v>
      </c>
      <c r="J3" s="59">
        <v>44595</v>
      </c>
      <c r="K3" s="33" t="s">
        <v>242</v>
      </c>
      <c r="Q3" s="33">
        <v>1</v>
      </c>
      <c r="S3" s="59">
        <v>44594</v>
      </c>
      <c r="U3" s="59">
        <v>44608</v>
      </c>
      <c r="Z3" s="42" t="str">
        <f>"IPK"</f>
        <v>IPK</v>
      </c>
      <c r="AA3" s="33" t="s">
        <v>141</v>
      </c>
      <c r="AB3" s="104"/>
      <c r="AC3" s="104"/>
      <c r="AD3" s="104"/>
      <c r="AE3" s="104">
        <v>22100</v>
      </c>
      <c r="AF3" s="104"/>
      <c r="AG3" s="42" t="str">
        <f>"ITA"</f>
        <v>ITA</v>
      </c>
      <c r="AH3" s="33" t="s">
        <v>876</v>
      </c>
      <c r="AO3" s="42"/>
      <c r="AQ3" s="104"/>
      <c r="AR3" s="104"/>
      <c r="AS3" s="160"/>
      <c r="AT3" s="33"/>
      <c r="AU3" s="101"/>
      <c r="AV3" s="42"/>
      <c r="AX3" s="104"/>
      <c r="AY3" s="104"/>
      <c r="AZ3" s="104"/>
      <c r="BA3" s="104"/>
      <c r="BB3" s="104"/>
      <c r="BC3" s="42"/>
      <c r="BE3" s="104"/>
      <c r="BF3" s="101"/>
      <c r="BG3" s="42"/>
      <c r="BI3" s="104"/>
      <c r="BJ3" s="101"/>
      <c r="BK3" s="42"/>
      <c r="BM3" s="104"/>
      <c r="BN3" s="101"/>
      <c r="BO3" s="42"/>
      <c r="BQ3" s="104"/>
      <c r="BR3" s="101"/>
      <c r="BS3" s="33" t="s">
        <v>424</v>
      </c>
      <c r="BU3" s="101">
        <v>22100</v>
      </c>
      <c r="BX3" s="101"/>
      <c r="BY3" s="44">
        <f>Tabelle4[[#This Row],[Industry Funding from DE (IPK)]]+Tabelle4[[#This Row],[Industry Funding from BR (IPK)]]+Tabelle4[[#This Row],[Public Funding from DE (IPK)]]+Tabelle4[[#This Row],[Public Funding from BR (IPK)]]+Tabelle4[[#This Row],[In-kind Contribution (IPK)]]</f>
        <v>22100</v>
      </c>
      <c r="BZ3" s="44">
        <f>Tabelle4[[#This Row],[Industry Funding from DE (IPK)]]+Tabelle4[[#This Row],[Industry Funding from BR (IPK)]]+Tabelle4[[#This Row],[Public Funding from DE (IPK)]]+Tabelle4[[#This Row],[Public Funding from BR (IPK)]]</f>
        <v>22100</v>
      </c>
      <c r="CA3" s="44">
        <f>Tabelle4[[#This Row],[Industry Funding from DE (IPK)]]+Tabelle4[[#This Row],[Industry Funding from BR (IPK)]]</f>
        <v>0</v>
      </c>
      <c r="CB3" s="44">
        <f>Tabelle4[[#This Row],[Public Funding from DE (IPK)]]+Tabelle4[[#This Row],[Public Funding from BR (IPK)]]</f>
        <v>22100</v>
      </c>
      <c r="CC3" s="44">
        <f>Tabelle4[[#This Row],[In-kind Contribution (IPK)]]</f>
        <v>0</v>
      </c>
      <c r="CD3" s="47">
        <f>(Tabelle4[[#This Row],[Total Industry Funding (IPK)]] + Tabelle4[[#This Row],[Total Public Funding (IPK)]])/Tabelle4[[#This Row],[Total Project Volume (IPK)]]</f>
        <v>1</v>
      </c>
      <c r="CE3" s="47">
        <f>Tabelle4[[#This Row],[Total Industry Funding (IPK)]] / Tabelle4[[#This Row],[Total Project Volume (IPK)]]</f>
        <v>0</v>
      </c>
      <c r="CF3" s="44">
        <f>Tabelle4[[#This Row],[Project Funding Classification]]</f>
        <v>0</v>
      </c>
      <c r="CG3" s="44">
        <f>Tabelle4[[#This Row],[Industry Funding from DE (IPK)]]+Tabelle4[[#This Row],[Public Funding from DE (IPK)]]</f>
        <v>0</v>
      </c>
      <c r="CH3" s="46">
        <f>Tabelle4[[#This Row],[Industry Funding from BR (IPK)]]+Tabelle4[[#This Row],[Public Funding from BR (IPK)]]</f>
        <v>22100</v>
      </c>
      <c r="CI3" s="44">
        <f>Tabelle4[[#This Row],[Industry Funding from DE (ITA)]]+Tabelle4[[#This Row],[Industry Funding from BR (ITA)]]+Tabelle4[[#This Row],[Public Funding from DE (ITA)]]+Tabelle4[[#This Row],[Public Funding from BR (ITA)]]</f>
        <v>0</v>
      </c>
      <c r="CJ3" s="44">
        <f>Tabelle4[[#This Row],[Industry Funding from DE (ITA)]]+Tabelle4[[#This Row],[Industry Funding from BR (ITA)]]</f>
        <v>0</v>
      </c>
      <c r="CK3" s="44">
        <f>Tabelle4[[#This Row],[Public Funding from DE (ITA)]]+Tabelle4[[#This Row],[Public Funding from BR (ITA)]]</f>
        <v>0</v>
      </c>
      <c r="CL3" s="47" t="e">
        <f>Tabelle4[[#This Row],[Total Industry Funding (ITA)]]/Tabelle4[[#This Row],[Total Project Volume (ITA)]]</f>
        <v>#DIV/0!</v>
      </c>
      <c r="CM3" s="33" t="e">
        <f>IF(Tabelle4[[#This Row],[Funding Ratio (ITA)]]&lt;0.5,"Public Funding","Industry")</f>
        <v>#DIV/0!</v>
      </c>
      <c r="CN3" s="44">
        <f>Tabelle4[[#This Row],[Industry Funding from DE (ITA)]]+Tabelle4[[#This Row],[Public Funding from DE (ITA)]]</f>
        <v>0</v>
      </c>
      <c r="CO3" s="46">
        <f>Tabelle4[[#This Row],[Industry Funding from BR (ITA)]]+Tabelle4[[#This Row],[Public Funding from BR (ITA)]]</f>
        <v>0</v>
      </c>
      <c r="CP3" s="44">
        <f>Tabelle4[[#This Row],[Total Project Volume (IPK)]]+Tabelle4[[#This Row],[Total Project Volume (ITA)]]</f>
        <v>22100</v>
      </c>
      <c r="CQ3" s="44">
        <f>Tabelle4[[#This Row],[Total Industry Funding (IPK)]]+Tabelle4[[#This Row],[Total Industry Funding (ITA)]]</f>
        <v>0</v>
      </c>
      <c r="CR3" s="44">
        <f>Tabelle4[[#This Row],[Industry Funding from DE (IPK)]]+Tabelle4[[#This Row],[Industry Funding from DE (ITA)]]</f>
        <v>0</v>
      </c>
      <c r="CS3" s="44">
        <f>Tabelle4[[#This Row],[Industry Funding from BR (IPK)]]+Tabelle4[[#This Row],[Industry Funding from BR (ITA)]]</f>
        <v>0</v>
      </c>
      <c r="CT3" s="44">
        <f>Tabelle4[[#This Row],[Total Public Funding (IPK)]]+Tabelle4[[#This Row],[Total Public Funding (ITA)]]</f>
        <v>22100</v>
      </c>
      <c r="CU3" s="44">
        <f>Tabelle4[[#This Row],[Public Funding from DE (IPK)]]+Tabelle4[[#This Row],[Public Funding from DE (ITA)]]</f>
        <v>0</v>
      </c>
      <c r="CV3" s="44">
        <f>Tabelle4[[#This Row],[Public Funding from BR (IPK)]]+Tabelle4[[#This Row],[Public Funding from BR (ITA)]]</f>
        <v>22100</v>
      </c>
      <c r="CW3" s="44">
        <f>Tabelle4[[#This Row],[Industry Funding from DE (FPC)]]+Tabelle4[[#This Row],[Public Funding from DE (FPC)]]</f>
        <v>0</v>
      </c>
      <c r="CX3" s="46">
        <f>Tabelle4[[#This Row],[Industry Funding from BR (FPC)]]+Tabelle4[[#This Row],[Public Funding from BR (FPC)]]</f>
        <v>22100</v>
      </c>
      <c r="CY3" s="44">
        <f>Tabelle4[[#This Row],[Total Financial Budget (Other)]]+Tabelle4[[#This Row],[Total In-kind Contribution (Other)]]</f>
        <v>0</v>
      </c>
      <c r="CZ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3" s="44">
        <f>Tabelle4[[#This Row],[In-kind Contribution (R&amp;D III)]]+Tabelle4[[#This Row],[In-kind Contribution (R&amp;D IV)]]</f>
        <v>0</v>
      </c>
      <c r="DB3" s="158">
        <f>Tabelle4[[#This Row],[Total Budget (FPC)]]+Tabelle4[[#This Row],[Total Volume (Other)]]</f>
        <v>22100</v>
      </c>
      <c r="DC3" s="104">
        <f>Tabelle4[[#This Row],[Total Revenues (IPK)]]</f>
        <v>22100</v>
      </c>
      <c r="DD3" s="159">
        <v>0.05</v>
      </c>
      <c r="DE3" s="44">
        <f>Tabelle4[[#This Row],[Total Revenues IPK]]*Tabelle4[[#This Row],[Probability of Success]]</f>
        <v>1105</v>
      </c>
      <c r="DK3" s="47">
        <v>0.2</v>
      </c>
      <c r="DL3" s="44">
        <f>Tabelle4[[#This Row],[Real Budget IPK]]*Tabelle4[[#This Row],[Acquisition Factor OE810]]</f>
        <v>221</v>
      </c>
      <c r="DN3" s="46">
        <f>Tabelle4[[#This Row],[Acquisition Bonus OE810]]+Tabelle4[[#This Row],[Project Execution OE810]]</f>
        <v>221</v>
      </c>
      <c r="XBY3" s="42"/>
      <c r="XCH3" s="59"/>
      <c r="XCK3" s="144"/>
      <c r="XCM3" s="59"/>
      <c r="XCN3" s="59"/>
      <c r="XCP3" s="59"/>
      <c r="XCQ3" s="59"/>
      <c r="XCR3" s="59"/>
      <c r="XCS3" s="59"/>
      <c r="XCT3" s="59"/>
      <c r="XCU3" s="59"/>
      <c r="XCV3" s="59"/>
      <c r="XCW3" s="59"/>
      <c r="XCX3" s="42"/>
      <c r="XCZ3" s="104"/>
      <c r="XDA3" s="104"/>
      <c r="XDB3" s="104"/>
      <c r="XDC3" s="104"/>
      <c r="XDD3" s="104"/>
      <c r="XDE3" s="42"/>
      <c r="XDH3" s="104"/>
      <c r="XDI3" s="104"/>
      <c r="XDJ3" s="104"/>
      <c r="XDK3" s="104"/>
      <c r="XDL3" s="104"/>
      <c r="XDN3" s="144"/>
      <c r="XDP3" s="59"/>
      <c r="XDQ3" s="59"/>
      <c r="XDS3" s="59"/>
      <c r="XDT3" s="59"/>
      <c r="XDU3" s="59"/>
      <c r="XDV3" s="59"/>
      <c r="XDW3" s="59"/>
      <c r="XDX3" s="59"/>
      <c r="XDY3" s="59"/>
      <c r="XDZ3" s="59"/>
      <c r="XEC3" s="104"/>
      <c r="XED3" s="104"/>
      <c r="XEE3" s="104"/>
      <c r="XEF3" s="104"/>
      <c r="XEG3" s="104"/>
      <c r="XEK3" s="104"/>
      <c r="XEL3" s="104"/>
      <c r="XEM3" s="104"/>
      <c r="XEN3" s="104"/>
      <c r="XEO3" s="104"/>
      <c r="XEQ3" s="104"/>
      <c r="XER3" s="104"/>
      <c r="XES3" s="104"/>
      <c r="XET3" s="104"/>
      <c r="XEU3" s="104"/>
      <c r="XEY3" s="104"/>
      <c r="XEZ3" s="104"/>
      <c r="XFA3" s="104"/>
      <c r="XFB3" s="104"/>
      <c r="XFC3" s="104"/>
    </row>
    <row r="4" spans="1:118 16301:16383" ht="41.65" x14ac:dyDescent="0.45">
      <c r="A4" s="42" t="s">
        <v>865</v>
      </c>
      <c r="B4" s="33" t="s">
        <v>866</v>
      </c>
      <c r="C4" s="33" t="s">
        <v>867</v>
      </c>
      <c r="D4" s="33" t="s">
        <v>708</v>
      </c>
      <c r="E4" s="33">
        <v>1</v>
      </c>
      <c r="G4" s="33" t="s">
        <v>1</v>
      </c>
      <c r="H4" s="33" t="s">
        <v>96</v>
      </c>
      <c r="I4" s="33" t="s">
        <v>868</v>
      </c>
      <c r="J4" s="59">
        <v>44562</v>
      </c>
      <c r="K4" s="33" t="s">
        <v>246</v>
      </c>
      <c r="O4" s="59">
        <v>44635</v>
      </c>
      <c r="Q4" s="33">
        <v>36</v>
      </c>
      <c r="S4" s="59">
        <v>44562</v>
      </c>
      <c r="U4" s="59">
        <v>44581</v>
      </c>
      <c r="Y4" s="59">
        <v>44635</v>
      </c>
      <c r="Z4" s="42" t="str">
        <f>"IPK"</f>
        <v>IPK</v>
      </c>
      <c r="AA4" s="33" t="s">
        <v>141</v>
      </c>
      <c r="AB4" s="104"/>
      <c r="AC4" s="104"/>
      <c r="AD4" s="104">
        <v>900000</v>
      </c>
      <c r="AE4" s="104"/>
      <c r="AF4" s="104"/>
      <c r="AG4" s="42" t="str">
        <f>"ITA"</f>
        <v>ITA</v>
      </c>
      <c r="AO4" s="42" t="s">
        <v>869</v>
      </c>
      <c r="AP4" s="33" t="s">
        <v>870</v>
      </c>
      <c r="AQ4" s="104"/>
      <c r="AR4" s="104"/>
      <c r="AS4" s="160">
        <v>600000</v>
      </c>
      <c r="AT4" s="33"/>
      <c r="AU4" s="101"/>
      <c r="AV4" s="42" t="s">
        <v>867</v>
      </c>
      <c r="AW4" s="33" t="s">
        <v>871</v>
      </c>
      <c r="AX4" s="104"/>
      <c r="AY4" s="104"/>
      <c r="AZ4" s="104"/>
      <c r="BA4" s="104">
        <v>1500000</v>
      </c>
      <c r="BB4" s="104"/>
      <c r="BC4" s="42"/>
      <c r="BE4" s="104"/>
      <c r="BF4" s="101"/>
      <c r="BG4" s="42"/>
      <c r="BI4" s="104"/>
      <c r="BJ4" s="101"/>
      <c r="BK4" s="42"/>
      <c r="BM4" s="104"/>
      <c r="BN4" s="101"/>
      <c r="BO4" s="42"/>
      <c r="BQ4" s="104"/>
      <c r="BR4" s="101"/>
      <c r="BS4" s="33" t="s">
        <v>872</v>
      </c>
      <c r="BU4" s="101">
        <v>1500000</v>
      </c>
      <c r="BX4" s="101"/>
      <c r="BY4" s="44">
        <f>Tabelle4[[#This Row],[Industry Funding from DE (IPK)]]+Tabelle4[[#This Row],[Industry Funding from BR (IPK)]]+Tabelle4[[#This Row],[Public Funding from DE (IPK)]]+Tabelle4[[#This Row],[Public Funding from BR (IPK)]]+Tabelle4[[#This Row],[In-kind Contribution (IPK)]]</f>
        <v>900000</v>
      </c>
      <c r="BZ4" s="44">
        <f>Tabelle4[[#This Row],[Industry Funding from DE (IPK)]]+Tabelle4[[#This Row],[Industry Funding from BR (IPK)]]+Tabelle4[[#This Row],[Public Funding from DE (IPK)]]+Tabelle4[[#This Row],[Public Funding from BR (IPK)]]</f>
        <v>900000</v>
      </c>
      <c r="CA4" s="44">
        <f>Tabelle4[[#This Row],[Industry Funding from DE (IPK)]]+Tabelle4[[#This Row],[Industry Funding from BR (IPK)]]</f>
        <v>0</v>
      </c>
      <c r="CB4" s="44">
        <f>Tabelle4[[#This Row],[Public Funding from DE (IPK)]]+Tabelle4[[#This Row],[Public Funding from BR (IPK)]]</f>
        <v>900000</v>
      </c>
      <c r="CC4" s="44">
        <f>Tabelle4[[#This Row],[In-kind Contribution (IPK)]]</f>
        <v>0</v>
      </c>
      <c r="CD4" s="47">
        <f>(Tabelle4[[#This Row],[Total Industry Funding (IPK)]] + Tabelle4[[#This Row],[Total Public Funding (IPK)]])/Tabelle4[[#This Row],[Total Project Volume (IPK)]]</f>
        <v>1</v>
      </c>
      <c r="CE4" s="47">
        <f>Tabelle4[[#This Row],[Total Industry Funding (IPK)]] / Tabelle4[[#This Row],[Total Project Volume (IPK)]]</f>
        <v>0</v>
      </c>
      <c r="CF4" s="44" t="str">
        <f>Tabelle4[[#This Row],[Project Funding Classification]]</f>
        <v>Public Funding</v>
      </c>
      <c r="CG4" s="44">
        <f>Tabelle4[[#This Row],[Industry Funding from DE (IPK)]]+Tabelle4[[#This Row],[Public Funding from DE (IPK)]]</f>
        <v>900000</v>
      </c>
      <c r="CH4" s="46">
        <f>Tabelle4[[#This Row],[Industry Funding from BR (IPK)]]+Tabelle4[[#This Row],[Public Funding from BR (IPK)]]</f>
        <v>0</v>
      </c>
      <c r="CI4" s="44">
        <f>Tabelle4[[#This Row],[Industry Funding from DE (ITA)]]+Tabelle4[[#This Row],[Industry Funding from BR (ITA)]]+Tabelle4[[#This Row],[Public Funding from DE (ITA)]]+Tabelle4[[#This Row],[Public Funding from BR (ITA)]]</f>
        <v>0</v>
      </c>
      <c r="CJ4" s="44">
        <f>Tabelle4[[#This Row],[Industry Funding from DE (ITA)]]+Tabelle4[[#This Row],[Industry Funding from BR (ITA)]]</f>
        <v>0</v>
      </c>
      <c r="CK4" s="44">
        <f>Tabelle4[[#This Row],[Public Funding from DE (ITA)]]+Tabelle4[[#This Row],[Public Funding from BR (ITA)]]</f>
        <v>0</v>
      </c>
      <c r="CL4" s="47" t="e">
        <f>Tabelle4[[#This Row],[Total Industry Funding (ITA)]]/Tabelle4[[#This Row],[Total Project Volume (ITA)]]</f>
        <v>#DIV/0!</v>
      </c>
      <c r="CM4" s="33" t="e">
        <f>IF(Tabelle4[[#This Row],[Funding Ratio (ITA)]]&lt;0.5,"Public Funding","Industry")</f>
        <v>#DIV/0!</v>
      </c>
      <c r="CN4" s="44">
        <f>Tabelle4[[#This Row],[Industry Funding from DE (ITA)]]+Tabelle4[[#This Row],[Public Funding from DE (ITA)]]</f>
        <v>0</v>
      </c>
      <c r="CO4" s="46">
        <f>Tabelle4[[#This Row],[Industry Funding from BR (ITA)]]+Tabelle4[[#This Row],[Public Funding from BR (ITA)]]</f>
        <v>0</v>
      </c>
      <c r="CP4" s="44">
        <f>Tabelle4[[#This Row],[Total Project Volume (IPK)]]+Tabelle4[[#This Row],[Total Project Volume (ITA)]]</f>
        <v>900000</v>
      </c>
      <c r="CQ4" s="44">
        <f>Tabelle4[[#This Row],[Total Industry Funding (IPK)]]+Tabelle4[[#This Row],[Total Industry Funding (ITA)]]</f>
        <v>0</v>
      </c>
      <c r="CR4" s="44">
        <f>Tabelle4[[#This Row],[Industry Funding from DE (IPK)]]+Tabelle4[[#This Row],[Industry Funding from DE (ITA)]]</f>
        <v>0</v>
      </c>
      <c r="CS4" s="44">
        <f>Tabelle4[[#This Row],[Industry Funding from BR (IPK)]]+Tabelle4[[#This Row],[Industry Funding from BR (ITA)]]</f>
        <v>0</v>
      </c>
      <c r="CT4" s="44">
        <f>Tabelle4[[#This Row],[Total Public Funding (IPK)]]+Tabelle4[[#This Row],[Total Public Funding (ITA)]]</f>
        <v>900000</v>
      </c>
      <c r="CU4" s="44">
        <f>Tabelle4[[#This Row],[Public Funding from DE (IPK)]]+Tabelle4[[#This Row],[Public Funding from DE (ITA)]]</f>
        <v>900000</v>
      </c>
      <c r="CV4" s="44">
        <f>Tabelle4[[#This Row],[Public Funding from BR (IPK)]]+Tabelle4[[#This Row],[Public Funding from BR (ITA)]]</f>
        <v>0</v>
      </c>
      <c r="CW4" s="44">
        <f>Tabelle4[[#This Row],[Industry Funding from DE (FPC)]]+Tabelle4[[#This Row],[Public Funding from DE (FPC)]]</f>
        <v>900000</v>
      </c>
      <c r="CX4" s="46">
        <f>Tabelle4[[#This Row],[Industry Funding from BR (FPC)]]+Tabelle4[[#This Row],[Public Funding from BR (FPC)]]</f>
        <v>0</v>
      </c>
      <c r="CY4" s="44">
        <f>Tabelle4[[#This Row],[Total Financial Budget (Other)]]+Tabelle4[[#This Row],[Total In-kind Contribution (Other)]]</f>
        <v>2100000</v>
      </c>
      <c r="CZ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2100000</v>
      </c>
      <c r="DA4" s="44">
        <f>Tabelle4[[#This Row],[In-kind Contribution (R&amp;D III)]]+Tabelle4[[#This Row],[In-kind Contribution (R&amp;D IV)]]</f>
        <v>0</v>
      </c>
      <c r="DB4" s="158">
        <f>Tabelle4[[#This Row],[Total Budget (FPC)]]+Tabelle4[[#This Row],[Total Volume (Other)]]</f>
        <v>3000000</v>
      </c>
      <c r="DC4" s="104">
        <f>Tabelle4[[#This Row],[Total Revenues (IPK)]]</f>
        <v>900000</v>
      </c>
      <c r="DD4" s="159">
        <v>0</v>
      </c>
      <c r="DE4" s="44">
        <f>Tabelle4[[#This Row],[Total Revenues IPK]]*Tabelle4[[#This Row],[Probability of Success]]</f>
        <v>0</v>
      </c>
      <c r="DL4" s="44">
        <f>Tabelle4[[#This Row],[Real Budget IPK]]*Tabelle4[[#This Row],[Acquisition Factor OE810]]</f>
        <v>0</v>
      </c>
      <c r="DN4" s="46">
        <f>Tabelle4[[#This Row],[Acquisition Bonus OE810]]+Tabelle4[[#This Row],[Project Execution OE810]]</f>
        <v>0</v>
      </c>
      <c r="XBY4" s="42"/>
      <c r="XCH4" s="59"/>
      <c r="XCK4" s="144"/>
      <c r="XCM4" s="59"/>
      <c r="XCN4" s="59"/>
      <c r="XCP4" s="59"/>
      <c r="XCQ4" s="59"/>
      <c r="XCR4" s="59"/>
      <c r="XCS4" s="59"/>
      <c r="XCT4" s="59"/>
      <c r="XCU4" s="59"/>
      <c r="XCV4" s="59"/>
      <c r="XCW4" s="59"/>
      <c r="XCX4" s="42"/>
      <c r="XCZ4" s="104"/>
      <c r="XDA4" s="104"/>
      <c r="XDB4" s="104"/>
      <c r="XDC4" s="104"/>
      <c r="XDD4" s="104"/>
      <c r="XDE4" s="42"/>
      <c r="XDH4" s="104"/>
      <c r="XDI4" s="104"/>
      <c r="XDJ4" s="104"/>
      <c r="XDK4" s="104"/>
      <c r="XDL4" s="104"/>
      <c r="XDN4" s="144"/>
      <c r="XDP4" s="59"/>
      <c r="XDQ4" s="59"/>
      <c r="XDS4" s="59"/>
      <c r="XDT4" s="59"/>
      <c r="XDU4" s="59"/>
      <c r="XDV4" s="59"/>
      <c r="XDW4" s="59"/>
      <c r="XDX4" s="59"/>
      <c r="XDY4" s="59"/>
      <c r="XDZ4" s="59"/>
      <c r="XEC4" s="104"/>
      <c r="XED4" s="104"/>
      <c r="XEE4" s="104"/>
      <c r="XEF4" s="104"/>
      <c r="XEG4" s="104"/>
      <c r="XEK4" s="104"/>
      <c r="XEL4" s="104"/>
      <c r="XEM4" s="104"/>
      <c r="XEN4" s="104"/>
      <c r="XEO4" s="104"/>
      <c r="XEQ4" s="104"/>
      <c r="XER4" s="104"/>
      <c r="XES4" s="104"/>
      <c r="XET4" s="104"/>
      <c r="XEU4" s="104"/>
      <c r="XEY4" s="104"/>
      <c r="XEZ4" s="104"/>
      <c r="XFA4" s="104"/>
      <c r="XFB4" s="104"/>
      <c r="XFC4" s="104"/>
    </row>
    <row r="5" spans="1:118 16301:16383" ht="27.75" x14ac:dyDescent="0.45">
      <c r="A5" s="42" t="s">
        <v>859</v>
      </c>
      <c r="C5" s="33" t="s">
        <v>860</v>
      </c>
      <c r="D5" s="33" t="s">
        <v>706</v>
      </c>
      <c r="E5" s="33">
        <v>2</v>
      </c>
      <c r="F5" s="33">
        <v>0</v>
      </c>
      <c r="G5" s="33" t="s">
        <v>97</v>
      </c>
      <c r="J5" s="59">
        <v>44692</v>
      </c>
      <c r="K5" s="33" t="s">
        <v>241</v>
      </c>
      <c r="L5" s="33" t="s">
        <v>305</v>
      </c>
      <c r="S5" s="59">
        <v>44692</v>
      </c>
      <c r="Z5" s="42" t="s">
        <v>1</v>
      </c>
      <c r="AB5" s="104"/>
      <c r="AC5" s="104"/>
      <c r="AD5" s="104"/>
      <c r="AE5" s="104"/>
      <c r="AF5" s="104"/>
      <c r="AG5" s="42" t="s">
        <v>2</v>
      </c>
      <c r="AH5" s="33" t="s">
        <v>130</v>
      </c>
      <c r="AI5" s="33" t="s">
        <v>438</v>
      </c>
      <c r="AO5" s="42"/>
      <c r="AQ5" s="104"/>
      <c r="AR5" s="104"/>
      <c r="AS5" s="33"/>
      <c r="AT5" s="33"/>
      <c r="AU5" s="101"/>
      <c r="AV5" s="42"/>
      <c r="AX5" s="104"/>
      <c r="AY5" s="104"/>
      <c r="AZ5" s="104"/>
      <c r="BA5" s="104"/>
      <c r="BB5" s="104"/>
      <c r="BC5" s="42"/>
      <c r="BE5" s="104"/>
      <c r="BF5" s="101"/>
      <c r="BG5" s="42"/>
      <c r="BI5" s="104"/>
      <c r="BJ5" s="101"/>
      <c r="BK5" s="42"/>
      <c r="BM5" s="104"/>
      <c r="BN5" s="101"/>
      <c r="BO5" s="42"/>
      <c r="BQ5" s="104"/>
      <c r="BR5" s="101"/>
      <c r="BU5" s="101"/>
      <c r="BX5" s="101"/>
      <c r="BY5" s="44">
        <f>Tabelle4[[#This Row],[Industry Funding from DE (IPK)]]+Tabelle4[[#This Row],[Industry Funding from BR (IPK)]]+Tabelle4[[#This Row],[Public Funding from DE (IPK)]]+Tabelle4[[#This Row],[Public Funding from BR (IPK)]]+Tabelle4[[#This Row],[In-kind Contribution (IPK)]]</f>
        <v>0</v>
      </c>
      <c r="BZ5" s="44">
        <f>Tabelle4[[#This Row],[Industry Funding from DE (IPK)]]+Tabelle4[[#This Row],[Industry Funding from BR (IPK)]]+Tabelle4[[#This Row],[Public Funding from DE (IPK)]]+Tabelle4[[#This Row],[Public Funding from BR (IPK)]]</f>
        <v>0</v>
      </c>
      <c r="CA5" s="44">
        <f>Tabelle4[[#This Row],[Industry Funding from DE (IPK)]]+Tabelle4[[#This Row],[Industry Funding from BR (IPK)]]</f>
        <v>0</v>
      </c>
      <c r="CB5" s="44">
        <f>Tabelle4[[#This Row],[Public Funding from DE (IPK)]]+Tabelle4[[#This Row],[Public Funding from BR (IPK)]]</f>
        <v>0</v>
      </c>
      <c r="CC5" s="44">
        <f>Tabelle4[[#This Row],[In-kind Contribution (IPK)]]</f>
        <v>0</v>
      </c>
      <c r="CD5" s="47" t="e">
        <f>(Tabelle4[[#This Row],[Total Industry Funding (IPK)]] + Tabelle4[[#This Row],[Total Public Funding (IPK)]])/Tabelle4[[#This Row],[Total Project Volume (IPK)]]</f>
        <v>#DIV/0!</v>
      </c>
      <c r="CE5" s="47" t="e">
        <f>Tabelle4[[#This Row],[Total Industry Funding (IPK)]] / Tabelle4[[#This Row],[Total Project Volume (IPK)]]</f>
        <v>#DIV/0!</v>
      </c>
      <c r="CF5" s="44">
        <f>Tabelle4[[#This Row],[Project Funding Classification]]</f>
        <v>0</v>
      </c>
      <c r="CG5" s="44">
        <f>Tabelle4[[#This Row],[Industry Funding from DE (IPK)]]+Tabelle4[[#This Row],[Public Funding from DE (IPK)]]</f>
        <v>0</v>
      </c>
      <c r="CH5" s="46">
        <f>Tabelle4[[#This Row],[Industry Funding from BR (IPK)]]+Tabelle4[[#This Row],[Public Funding from BR (IPK)]]</f>
        <v>0</v>
      </c>
      <c r="CI5" s="44">
        <f>Tabelle4[[#This Row],[Industry Funding from DE (ITA)]]+Tabelle4[[#This Row],[Industry Funding from BR (ITA)]]+Tabelle4[[#This Row],[Public Funding from DE (ITA)]]+Tabelle4[[#This Row],[Public Funding from BR (ITA)]]</f>
        <v>0</v>
      </c>
      <c r="CJ5" s="44">
        <f>Tabelle4[[#This Row],[Industry Funding from DE (ITA)]]+Tabelle4[[#This Row],[Industry Funding from BR (ITA)]]</f>
        <v>0</v>
      </c>
      <c r="CK5" s="44">
        <f>Tabelle4[[#This Row],[Public Funding from DE (ITA)]]+Tabelle4[[#This Row],[Public Funding from BR (ITA)]]</f>
        <v>0</v>
      </c>
      <c r="CL5" s="47" t="e">
        <f>Tabelle4[[#This Row],[Total Industry Funding (ITA)]]/Tabelle4[[#This Row],[Total Project Volume (ITA)]]</f>
        <v>#DIV/0!</v>
      </c>
      <c r="CM5" s="33" t="e">
        <f>IF(Tabelle4[[#This Row],[Funding Ratio (ITA)]]&lt;0.5,"Public Funding","Industry")</f>
        <v>#DIV/0!</v>
      </c>
      <c r="CN5" s="44">
        <f>Tabelle4[[#This Row],[Industry Funding from DE (ITA)]]+Tabelle4[[#This Row],[Public Funding from DE (ITA)]]</f>
        <v>0</v>
      </c>
      <c r="CO5" s="46">
        <f>Tabelle4[[#This Row],[Industry Funding from BR (ITA)]]+Tabelle4[[#This Row],[Public Funding from BR (ITA)]]</f>
        <v>0</v>
      </c>
      <c r="CP5" s="44">
        <f>Tabelle4[[#This Row],[Total Project Volume (IPK)]]+Tabelle4[[#This Row],[Total Project Volume (ITA)]]</f>
        <v>0</v>
      </c>
      <c r="CQ5" s="44">
        <f>Tabelle4[[#This Row],[Total Industry Funding (IPK)]]+Tabelle4[[#This Row],[Total Industry Funding (ITA)]]</f>
        <v>0</v>
      </c>
      <c r="CR5" s="44">
        <f>Tabelle4[[#This Row],[Industry Funding from DE (IPK)]]+Tabelle4[[#This Row],[Industry Funding from DE (ITA)]]</f>
        <v>0</v>
      </c>
      <c r="CS5" s="44">
        <f>Tabelle4[[#This Row],[Industry Funding from BR (IPK)]]+Tabelle4[[#This Row],[Industry Funding from BR (ITA)]]</f>
        <v>0</v>
      </c>
      <c r="CT5" s="44">
        <f>Tabelle4[[#This Row],[Total Public Funding (IPK)]]+Tabelle4[[#This Row],[Total Public Funding (ITA)]]</f>
        <v>0</v>
      </c>
      <c r="CU5" s="44">
        <f>Tabelle4[[#This Row],[Public Funding from DE (IPK)]]+Tabelle4[[#This Row],[Public Funding from DE (ITA)]]</f>
        <v>0</v>
      </c>
      <c r="CV5" s="44">
        <f>Tabelle4[[#This Row],[Public Funding from BR (IPK)]]+Tabelle4[[#This Row],[Public Funding from BR (ITA)]]</f>
        <v>0</v>
      </c>
      <c r="CW5" s="44">
        <f>Tabelle4[[#This Row],[Industry Funding from DE (FPC)]]+Tabelle4[[#This Row],[Public Funding from DE (FPC)]]</f>
        <v>0</v>
      </c>
      <c r="CX5" s="46">
        <f>Tabelle4[[#This Row],[Industry Funding from BR (FPC)]]+Tabelle4[[#This Row],[Public Funding from BR (FPC)]]</f>
        <v>0</v>
      </c>
      <c r="CY5" s="44">
        <f>Tabelle4[[#This Row],[Total Financial Budget (Other)]]+Tabelle4[[#This Row],[Total In-kind Contribution (Other)]]</f>
        <v>0</v>
      </c>
      <c r="CZ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5" s="44">
        <f>Tabelle4[[#This Row],[In-kind Contribution (R&amp;D III)]]+Tabelle4[[#This Row],[In-kind Contribution (R&amp;D IV)]]</f>
        <v>0</v>
      </c>
      <c r="DB5" s="158">
        <f>Tabelle4[[#This Row],[Total Budget (FPC)]]+Tabelle4[[#This Row],[Total Volume (Other)]]</f>
        <v>0</v>
      </c>
      <c r="DC5" s="104">
        <f>Tabelle4[[#This Row],[Total Revenues (IPK)]]</f>
        <v>0</v>
      </c>
      <c r="DD5" s="159"/>
      <c r="DE5" s="44">
        <f>Tabelle4[[#This Row],[Total Revenues IPK]]*Tabelle4[[#This Row],[Probability of Success]]</f>
        <v>0</v>
      </c>
      <c r="DL5" s="44">
        <f>Tabelle4[[#This Row],[Real Budget IPK]]*Tabelle4[[#This Row],[Acquisition Factor OE810]]</f>
        <v>0</v>
      </c>
      <c r="DN5" s="46">
        <f>Tabelle4[[#This Row],[Acquisition Bonus OE810]]+Tabelle4[[#This Row],[Project Execution OE810]]</f>
        <v>0</v>
      </c>
      <c r="XBY5" s="42"/>
      <c r="XCH5" s="59"/>
      <c r="XCK5" s="144"/>
      <c r="XCM5" s="59"/>
      <c r="XCN5" s="59"/>
      <c r="XCP5" s="59"/>
      <c r="XCQ5" s="59"/>
      <c r="XCR5" s="59"/>
      <c r="XCS5" s="59"/>
      <c r="XCT5" s="59"/>
      <c r="XCU5" s="59"/>
      <c r="XCV5" s="59"/>
      <c r="XCW5" s="59"/>
      <c r="XCX5" s="42"/>
      <c r="XCZ5" s="104"/>
      <c r="XDA5" s="104"/>
      <c r="XDB5" s="104"/>
      <c r="XDC5" s="104"/>
      <c r="XDD5" s="104"/>
      <c r="XDE5" s="42"/>
      <c r="XDH5" s="104"/>
      <c r="XDI5" s="104"/>
      <c r="XDJ5" s="104"/>
      <c r="XDK5" s="104"/>
      <c r="XDL5" s="104"/>
      <c r="XDN5" s="144"/>
      <c r="XDP5" s="59"/>
      <c r="XDQ5" s="59"/>
      <c r="XDS5" s="59"/>
      <c r="XDT5" s="59"/>
      <c r="XDU5" s="59"/>
      <c r="XDV5" s="59"/>
      <c r="XDW5" s="59"/>
      <c r="XDX5" s="59"/>
      <c r="XDY5" s="59"/>
      <c r="XDZ5" s="59"/>
      <c r="XEC5" s="104"/>
      <c r="XED5" s="104"/>
      <c r="XEE5" s="104"/>
      <c r="XEF5" s="104"/>
      <c r="XEG5" s="104"/>
      <c r="XEK5" s="104"/>
      <c r="XEL5" s="104"/>
      <c r="XEM5" s="104"/>
      <c r="XEN5" s="104"/>
      <c r="XEO5" s="104"/>
      <c r="XEQ5" s="104"/>
      <c r="XER5" s="104"/>
      <c r="XES5" s="104"/>
      <c r="XET5" s="104"/>
      <c r="XEU5" s="104"/>
      <c r="XEY5" s="104"/>
      <c r="XEZ5" s="104"/>
      <c r="XFA5" s="104"/>
      <c r="XFB5" s="104"/>
      <c r="XFC5" s="104"/>
    </row>
    <row r="6" spans="1:118 16301:16383" ht="27.75" x14ac:dyDescent="0.45">
      <c r="A6" s="42"/>
      <c r="B6" s="33" t="s">
        <v>854</v>
      </c>
      <c r="C6" s="33" t="s">
        <v>853</v>
      </c>
      <c r="D6" s="33" t="s">
        <v>706</v>
      </c>
      <c r="E6" s="33">
        <v>1</v>
      </c>
      <c r="F6" s="33">
        <v>0</v>
      </c>
      <c r="G6" s="33" t="s">
        <v>2</v>
      </c>
      <c r="H6" s="33" t="s">
        <v>0</v>
      </c>
      <c r="J6" s="59">
        <v>44664</v>
      </c>
      <c r="K6" s="33" t="s">
        <v>241</v>
      </c>
      <c r="L6" s="33" t="s">
        <v>305</v>
      </c>
      <c r="M6" s="144">
        <v>5.0881999999999996</v>
      </c>
      <c r="S6" s="59">
        <v>44664</v>
      </c>
      <c r="Z6" s="42" t="s">
        <v>1</v>
      </c>
      <c r="AB6" s="104"/>
      <c r="AC6" s="104"/>
      <c r="AD6" s="104"/>
      <c r="AE6" s="104"/>
      <c r="AF6" s="104"/>
      <c r="AG6" s="42" t="s">
        <v>2</v>
      </c>
      <c r="AH6" s="33" t="s">
        <v>386</v>
      </c>
      <c r="AI6" s="33" t="s">
        <v>767</v>
      </c>
      <c r="AO6" s="42"/>
      <c r="AQ6" s="104"/>
      <c r="AR6" s="104"/>
      <c r="AS6" s="33"/>
      <c r="AT6" s="33"/>
      <c r="AU6" s="101"/>
      <c r="AV6" s="42"/>
      <c r="AX6" s="104"/>
      <c r="AY6" s="104"/>
      <c r="AZ6" s="104"/>
      <c r="BA6" s="104"/>
      <c r="BB6" s="104"/>
      <c r="BC6" s="42"/>
      <c r="BE6" s="104"/>
      <c r="BF6" s="101"/>
      <c r="BG6" s="42"/>
      <c r="BI6" s="104"/>
      <c r="BJ6" s="101"/>
      <c r="BK6" s="42"/>
      <c r="BM6" s="104"/>
      <c r="BN6" s="101"/>
      <c r="BO6" s="42"/>
      <c r="BQ6" s="104"/>
      <c r="BR6" s="101"/>
      <c r="BU6" s="101"/>
      <c r="BX6" s="101"/>
      <c r="BY6" s="44">
        <f>Tabelle4[[#This Row],[Industry Funding from DE (IPK)]]+Tabelle4[[#This Row],[Industry Funding from BR (IPK)]]+Tabelle4[[#This Row],[Public Funding from DE (IPK)]]+Tabelle4[[#This Row],[Public Funding from BR (IPK)]]+Tabelle4[[#This Row],[In-kind Contribution (IPK)]]</f>
        <v>0</v>
      </c>
      <c r="BZ6" s="44">
        <f>Tabelle4[[#This Row],[Industry Funding from DE (IPK)]]+Tabelle4[[#This Row],[Industry Funding from BR (IPK)]]+Tabelle4[[#This Row],[Public Funding from DE (IPK)]]+Tabelle4[[#This Row],[Public Funding from BR (IPK)]]</f>
        <v>0</v>
      </c>
      <c r="CA6" s="44">
        <f>Tabelle4[[#This Row],[Industry Funding from DE (IPK)]]+Tabelle4[[#This Row],[Industry Funding from BR (IPK)]]</f>
        <v>0</v>
      </c>
      <c r="CB6" s="44">
        <f>Tabelle4[[#This Row],[Public Funding from DE (IPK)]]+Tabelle4[[#This Row],[Public Funding from BR (IPK)]]</f>
        <v>0</v>
      </c>
      <c r="CC6" s="44">
        <f>Tabelle4[[#This Row],[In-kind Contribution (IPK)]]</f>
        <v>0</v>
      </c>
      <c r="CD6" s="47" t="e">
        <f>(Tabelle4[[#This Row],[Total Industry Funding (IPK)]] + Tabelle4[[#This Row],[Total Public Funding (IPK)]])/Tabelle4[[#This Row],[Total Project Volume (IPK)]]</f>
        <v>#DIV/0!</v>
      </c>
      <c r="CE6" s="47" t="e">
        <f>Tabelle4[[#This Row],[Total Industry Funding (IPK)]] / Tabelle4[[#This Row],[Total Project Volume (IPK)]]</f>
        <v>#DIV/0!</v>
      </c>
      <c r="CF6" s="44" t="str">
        <f>Tabelle4[[#This Row],[Project Funding Classification]]</f>
        <v>Industry</v>
      </c>
      <c r="CG6" s="44">
        <f>Tabelle4[[#This Row],[Industry Funding from DE (IPK)]]+Tabelle4[[#This Row],[Public Funding from DE (IPK)]]</f>
        <v>0</v>
      </c>
      <c r="CH6" s="46">
        <f>Tabelle4[[#This Row],[Industry Funding from BR (IPK)]]+Tabelle4[[#This Row],[Public Funding from BR (IPK)]]</f>
        <v>0</v>
      </c>
      <c r="CI6" s="44">
        <f>Tabelle4[[#This Row],[Industry Funding from DE (ITA)]]+Tabelle4[[#This Row],[Industry Funding from BR (ITA)]]+Tabelle4[[#This Row],[Public Funding from DE (ITA)]]+Tabelle4[[#This Row],[Public Funding from BR (ITA)]]</f>
        <v>0</v>
      </c>
      <c r="CJ6" s="44">
        <f>Tabelle4[[#This Row],[Industry Funding from DE (ITA)]]+Tabelle4[[#This Row],[Industry Funding from BR (ITA)]]</f>
        <v>0</v>
      </c>
      <c r="CK6" s="44">
        <f>Tabelle4[[#This Row],[Public Funding from DE (ITA)]]+Tabelle4[[#This Row],[Public Funding from BR (ITA)]]</f>
        <v>0</v>
      </c>
      <c r="CL6" s="47" t="e">
        <f>Tabelle4[[#This Row],[Total Industry Funding (ITA)]]/Tabelle4[[#This Row],[Total Project Volume (ITA)]]</f>
        <v>#DIV/0!</v>
      </c>
      <c r="CM6" s="33" t="e">
        <f>IF(Tabelle4[[#This Row],[Funding Ratio (ITA)]]&lt;0.5,"Public Funding","Industry")</f>
        <v>#DIV/0!</v>
      </c>
      <c r="CN6" s="44">
        <f>Tabelle4[[#This Row],[Industry Funding from DE (ITA)]]+Tabelle4[[#This Row],[Public Funding from DE (ITA)]]</f>
        <v>0</v>
      </c>
      <c r="CO6" s="46">
        <f>Tabelle4[[#This Row],[Industry Funding from BR (ITA)]]+Tabelle4[[#This Row],[Public Funding from BR (ITA)]]</f>
        <v>0</v>
      </c>
      <c r="CP6" s="44">
        <f>Tabelle4[[#This Row],[Total Project Volume (IPK)]]+Tabelle4[[#This Row],[Total Project Volume (ITA)]]</f>
        <v>0</v>
      </c>
      <c r="CQ6" s="44">
        <f>Tabelle4[[#This Row],[Total Industry Funding (IPK)]]+Tabelle4[[#This Row],[Total Industry Funding (ITA)]]</f>
        <v>0</v>
      </c>
      <c r="CR6" s="44">
        <f>Tabelle4[[#This Row],[Industry Funding from DE (IPK)]]+Tabelle4[[#This Row],[Industry Funding from DE (ITA)]]</f>
        <v>0</v>
      </c>
      <c r="CS6" s="44">
        <f>Tabelle4[[#This Row],[Industry Funding from BR (IPK)]]+Tabelle4[[#This Row],[Industry Funding from BR (ITA)]]</f>
        <v>0</v>
      </c>
      <c r="CT6" s="44">
        <f>Tabelle4[[#This Row],[Total Public Funding (IPK)]]+Tabelle4[[#This Row],[Total Public Funding (ITA)]]</f>
        <v>0</v>
      </c>
      <c r="CU6" s="44">
        <f>Tabelle4[[#This Row],[Public Funding from DE (IPK)]]+Tabelle4[[#This Row],[Public Funding from DE (ITA)]]</f>
        <v>0</v>
      </c>
      <c r="CV6" s="44">
        <f>Tabelle4[[#This Row],[Public Funding from BR (IPK)]]+Tabelle4[[#This Row],[Public Funding from BR (ITA)]]</f>
        <v>0</v>
      </c>
      <c r="CW6" s="44">
        <f>Tabelle4[[#This Row],[Industry Funding from DE (FPC)]]+Tabelle4[[#This Row],[Public Funding from DE (FPC)]]</f>
        <v>0</v>
      </c>
      <c r="CX6" s="46">
        <f>Tabelle4[[#This Row],[Industry Funding from BR (FPC)]]+Tabelle4[[#This Row],[Public Funding from BR (FPC)]]</f>
        <v>0</v>
      </c>
      <c r="CY6" s="44">
        <f>Tabelle4[[#This Row],[Total Financial Budget (Other)]]+Tabelle4[[#This Row],[Total In-kind Contribution (Other)]]</f>
        <v>0</v>
      </c>
      <c r="CZ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6" s="44">
        <f>Tabelle4[[#This Row],[In-kind Contribution (R&amp;D III)]]+Tabelle4[[#This Row],[In-kind Contribution (R&amp;D IV)]]</f>
        <v>0</v>
      </c>
      <c r="DB6" s="158">
        <f>Tabelle4[[#This Row],[Total Budget (FPC)]]+Tabelle4[[#This Row],[Total Volume (Other)]]</f>
        <v>0</v>
      </c>
      <c r="DC6" s="104">
        <f>Tabelle4[[#This Row],[Total Revenues (IPK)]]</f>
        <v>0</v>
      </c>
      <c r="DD6" s="159"/>
      <c r="DE6" s="44">
        <f>Tabelle4[[#This Row],[Total Revenues IPK]]*Tabelle4[[#This Row],[Probability of Success]]</f>
        <v>0</v>
      </c>
      <c r="DL6" s="44">
        <f>Tabelle4[[#This Row],[Real Budget IPK]]*Tabelle4[[#This Row],[Acquisition Factor OE810]]</f>
        <v>0</v>
      </c>
      <c r="DN6" s="46">
        <f>Tabelle4[[#This Row],[Acquisition Bonus OE810]]+Tabelle4[[#This Row],[Project Execution OE810]]</f>
        <v>0</v>
      </c>
      <c r="XBY6" s="42"/>
      <c r="XCH6" s="59"/>
      <c r="XCK6" s="144"/>
      <c r="XCM6" s="59"/>
      <c r="XCN6" s="59"/>
      <c r="XCP6" s="59"/>
      <c r="XCQ6" s="59"/>
      <c r="XCR6" s="59"/>
      <c r="XCS6" s="59"/>
      <c r="XCT6" s="59"/>
      <c r="XCU6" s="59"/>
      <c r="XCV6" s="59"/>
      <c r="XCW6" s="59"/>
      <c r="XCX6" s="42"/>
      <c r="XCZ6" s="104"/>
      <c r="XDA6" s="104"/>
      <c r="XDB6" s="104"/>
      <c r="XDC6" s="104"/>
      <c r="XDD6" s="104"/>
      <c r="XDE6" s="42"/>
      <c r="XDH6" s="104"/>
      <c r="XDI6" s="104"/>
      <c r="XDJ6" s="104"/>
      <c r="XDK6" s="104"/>
      <c r="XDL6" s="104"/>
      <c r="XDN6" s="144"/>
      <c r="XDP6" s="59"/>
      <c r="XDQ6" s="59"/>
      <c r="XDS6" s="59"/>
      <c r="XDT6" s="59"/>
      <c r="XDU6" s="59"/>
      <c r="XDV6" s="59"/>
      <c r="XDW6" s="59"/>
      <c r="XDX6" s="59"/>
      <c r="XDY6" s="59"/>
      <c r="XDZ6" s="59"/>
      <c r="XEC6" s="104"/>
      <c r="XED6" s="104"/>
      <c r="XEE6" s="104"/>
      <c r="XEF6" s="104"/>
      <c r="XEG6" s="104"/>
      <c r="XEK6" s="104"/>
      <c r="XEL6" s="104"/>
      <c r="XEM6" s="104"/>
      <c r="XEN6" s="104"/>
      <c r="XEO6" s="104"/>
      <c r="XEQ6" s="104"/>
      <c r="XER6" s="104"/>
      <c r="XES6" s="104"/>
      <c r="XET6" s="104"/>
      <c r="XEU6" s="104"/>
      <c r="XEY6" s="104"/>
      <c r="XEZ6" s="104"/>
      <c r="XFA6" s="104"/>
      <c r="XFB6" s="104"/>
      <c r="XFC6" s="104"/>
    </row>
    <row r="7" spans="1:118 16301:16383" ht="27.75" x14ac:dyDescent="0.45">
      <c r="A7" s="42" t="s">
        <v>851</v>
      </c>
      <c r="B7" s="33" t="s">
        <v>846</v>
      </c>
      <c r="C7" s="33" t="s">
        <v>847</v>
      </c>
      <c r="D7" s="33" t="s">
        <v>709</v>
      </c>
      <c r="E7" s="33">
        <v>1</v>
      </c>
      <c r="F7" s="33">
        <v>0</v>
      </c>
      <c r="G7" s="33" t="s">
        <v>2</v>
      </c>
      <c r="H7" s="33" t="s">
        <v>0</v>
      </c>
      <c r="J7" s="59">
        <v>44665</v>
      </c>
      <c r="K7" s="33" t="s">
        <v>241</v>
      </c>
      <c r="L7" s="33" t="s">
        <v>305</v>
      </c>
      <c r="S7" s="59">
        <v>44664</v>
      </c>
      <c r="Z7" s="42" t="s">
        <v>1</v>
      </c>
      <c r="AB7" s="104"/>
      <c r="AC7" s="104"/>
      <c r="AD7" s="104"/>
      <c r="AE7" s="104"/>
      <c r="AF7" s="104"/>
      <c r="AG7" s="42" t="s">
        <v>2</v>
      </c>
      <c r="AH7" s="33" t="s">
        <v>130</v>
      </c>
      <c r="AI7" s="33" t="s">
        <v>438</v>
      </c>
      <c r="AO7" s="42"/>
      <c r="AQ7" s="104"/>
      <c r="AR7" s="104"/>
      <c r="AS7" s="33"/>
      <c r="AT7" s="33"/>
      <c r="AU7" s="101"/>
      <c r="AV7" s="42"/>
      <c r="AX7" s="104"/>
      <c r="AY7" s="104"/>
      <c r="AZ7" s="104"/>
      <c r="BA7" s="104"/>
      <c r="BB7" s="104"/>
      <c r="BC7" s="42"/>
      <c r="BE7" s="104"/>
      <c r="BF7" s="101"/>
      <c r="BG7" s="42"/>
      <c r="BI7" s="104"/>
      <c r="BJ7" s="101"/>
      <c r="BK7" s="42"/>
      <c r="BM7" s="104"/>
      <c r="BN7" s="101"/>
      <c r="BO7" s="42"/>
      <c r="BQ7" s="104"/>
      <c r="BR7" s="101"/>
      <c r="BU7" s="101"/>
      <c r="BX7" s="101"/>
      <c r="BY7" s="44">
        <f>Tabelle4[[#This Row],[Industry Funding from DE (IPK)]]+Tabelle4[[#This Row],[Industry Funding from BR (IPK)]]+Tabelle4[[#This Row],[Public Funding from DE (IPK)]]+Tabelle4[[#This Row],[Public Funding from BR (IPK)]]+Tabelle4[[#This Row],[In-kind Contribution (IPK)]]</f>
        <v>0</v>
      </c>
      <c r="BZ7" s="44">
        <f>Tabelle4[[#This Row],[Industry Funding from DE (IPK)]]+Tabelle4[[#This Row],[Industry Funding from BR (IPK)]]+Tabelle4[[#This Row],[Public Funding from DE (IPK)]]+Tabelle4[[#This Row],[Public Funding from BR (IPK)]]</f>
        <v>0</v>
      </c>
      <c r="CA7" s="44">
        <f>Tabelle4[[#This Row],[Industry Funding from DE (IPK)]]+Tabelle4[[#This Row],[Industry Funding from BR (IPK)]]</f>
        <v>0</v>
      </c>
      <c r="CB7" s="44">
        <f>Tabelle4[[#This Row],[Public Funding from DE (IPK)]]+Tabelle4[[#This Row],[Public Funding from BR (IPK)]]</f>
        <v>0</v>
      </c>
      <c r="CC7" s="44">
        <f>Tabelle4[[#This Row],[In-kind Contribution (IPK)]]</f>
        <v>0</v>
      </c>
      <c r="CD7" s="47" t="e">
        <f>(Tabelle4[[#This Row],[Total Industry Funding (IPK)]] + Tabelle4[[#This Row],[Total Public Funding (IPK)]])/Tabelle4[[#This Row],[Total Project Volume (IPK)]]</f>
        <v>#DIV/0!</v>
      </c>
      <c r="CE7" s="47" t="e">
        <f>Tabelle4[[#This Row],[Total Industry Funding (IPK)]] / Tabelle4[[#This Row],[Total Project Volume (IPK)]]</f>
        <v>#DIV/0!</v>
      </c>
      <c r="CF7" s="44" t="str">
        <f>Tabelle4[[#This Row],[Project Funding Classification]]</f>
        <v>Industry</v>
      </c>
      <c r="CG7" s="44">
        <f>Tabelle4[[#This Row],[Industry Funding from DE (IPK)]]+Tabelle4[[#This Row],[Public Funding from DE (IPK)]]</f>
        <v>0</v>
      </c>
      <c r="CH7" s="46">
        <f>Tabelle4[[#This Row],[Industry Funding from BR (IPK)]]+Tabelle4[[#This Row],[Public Funding from BR (IPK)]]</f>
        <v>0</v>
      </c>
      <c r="CI7" s="44">
        <f>Tabelle4[[#This Row],[Industry Funding from DE (ITA)]]+Tabelle4[[#This Row],[Industry Funding from BR (ITA)]]+Tabelle4[[#This Row],[Public Funding from DE (ITA)]]+Tabelle4[[#This Row],[Public Funding from BR (ITA)]]</f>
        <v>0</v>
      </c>
      <c r="CJ7" s="44">
        <f>Tabelle4[[#This Row],[Industry Funding from DE (ITA)]]+Tabelle4[[#This Row],[Industry Funding from BR (ITA)]]</f>
        <v>0</v>
      </c>
      <c r="CK7" s="44">
        <f>Tabelle4[[#This Row],[Public Funding from DE (ITA)]]+Tabelle4[[#This Row],[Public Funding from BR (ITA)]]</f>
        <v>0</v>
      </c>
      <c r="CL7" s="47" t="e">
        <f>Tabelle4[[#This Row],[Total Industry Funding (ITA)]]/Tabelle4[[#This Row],[Total Project Volume (ITA)]]</f>
        <v>#DIV/0!</v>
      </c>
      <c r="CM7" s="33" t="e">
        <f>IF(Tabelle4[[#This Row],[Funding Ratio (ITA)]]&lt;0.5,"Public Funding","Industry")</f>
        <v>#DIV/0!</v>
      </c>
      <c r="CN7" s="44">
        <f>Tabelle4[[#This Row],[Industry Funding from DE (ITA)]]+Tabelle4[[#This Row],[Public Funding from DE (ITA)]]</f>
        <v>0</v>
      </c>
      <c r="CO7" s="46">
        <f>Tabelle4[[#This Row],[Industry Funding from BR (ITA)]]+Tabelle4[[#This Row],[Public Funding from BR (ITA)]]</f>
        <v>0</v>
      </c>
      <c r="CP7" s="44">
        <f>Tabelle4[[#This Row],[Total Project Volume (IPK)]]+Tabelle4[[#This Row],[Total Project Volume (ITA)]]</f>
        <v>0</v>
      </c>
      <c r="CQ7" s="44">
        <f>Tabelle4[[#This Row],[Total Industry Funding (IPK)]]+Tabelle4[[#This Row],[Total Industry Funding (ITA)]]</f>
        <v>0</v>
      </c>
      <c r="CR7" s="44">
        <f>Tabelle4[[#This Row],[Industry Funding from DE (IPK)]]+Tabelle4[[#This Row],[Industry Funding from DE (ITA)]]</f>
        <v>0</v>
      </c>
      <c r="CS7" s="44">
        <f>Tabelle4[[#This Row],[Industry Funding from BR (IPK)]]+Tabelle4[[#This Row],[Industry Funding from BR (ITA)]]</f>
        <v>0</v>
      </c>
      <c r="CT7" s="44">
        <f>Tabelle4[[#This Row],[Total Public Funding (IPK)]]+Tabelle4[[#This Row],[Total Public Funding (ITA)]]</f>
        <v>0</v>
      </c>
      <c r="CU7" s="44">
        <f>Tabelle4[[#This Row],[Public Funding from DE (IPK)]]+Tabelle4[[#This Row],[Public Funding from DE (ITA)]]</f>
        <v>0</v>
      </c>
      <c r="CV7" s="44">
        <f>Tabelle4[[#This Row],[Public Funding from BR (IPK)]]+Tabelle4[[#This Row],[Public Funding from BR (ITA)]]</f>
        <v>0</v>
      </c>
      <c r="CW7" s="44">
        <f>Tabelle4[[#This Row],[Industry Funding from DE (FPC)]]+Tabelle4[[#This Row],[Public Funding from DE (FPC)]]</f>
        <v>0</v>
      </c>
      <c r="CX7" s="46">
        <f>Tabelle4[[#This Row],[Industry Funding from BR (FPC)]]+Tabelle4[[#This Row],[Public Funding from BR (FPC)]]</f>
        <v>0</v>
      </c>
      <c r="CY7" s="44">
        <f>Tabelle4[[#This Row],[Total Financial Budget (Other)]]+Tabelle4[[#This Row],[Total In-kind Contribution (Other)]]</f>
        <v>0</v>
      </c>
      <c r="CZ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7" s="44">
        <f>Tabelle4[[#This Row],[In-kind Contribution (R&amp;D III)]]+Tabelle4[[#This Row],[In-kind Contribution (R&amp;D IV)]]</f>
        <v>0</v>
      </c>
      <c r="DB7" s="158">
        <f>Tabelle4[[#This Row],[Total Budget (FPC)]]+Tabelle4[[#This Row],[Total Volume (Other)]]</f>
        <v>0</v>
      </c>
      <c r="DC7" s="104">
        <f>Tabelle4[[#This Row],[Total Revenues (IPK)]]</f>
        <v>0</v>
      </c>
      <c r="DD7" s="159"/>
      <c r="DE7" s="44">
        <f>Tabelle4[[#This Row],[Total Revenues IPK]]*Tabelle4[[#This Row],[Probability of Success]]</f>
        <v>0</v>
      </c>
      <c r="DL7" s="44">
        <f>Tabelle4[[#This Row],[Real Budget IPK]]*Tabelle4[[#This Row],[Acquisition Factor OE810]]</f>
        <v>0</v>
      </c>
      <c r="DN7" s="46">
        <f>Tabelle4[[#This Row],[Acquisition Bonus OE810]]+Tabelle4[[#This Row],[Project Execution OE810]]</f>
        <v>0</v>
      </c>
      <c r="XBY7" s="42"/>
      <c r="XCH7" s="59"/>
      <c r="XCK7" s="144"/>
      <c r="XCM7" s="59"/>
      <c r="XCN7" s="59"/>
      <c r="XCP7" s="59"/>
      <c r="XCQ7" s="59"/>
      <c r="XCR7" s="59"/>
      <c r="XCS7" s="59"/>
      <c r="XCT7" s="59"/>
      <c r="XCU7" s="59"/>
      <c r="XCV7" s="59"/>
      <c r="XCW7" s="59"/>
      <c r="XCX7" s="42"/>
      <c r="XCZ7" s="104"/>
      <c r="XDA7" s="104"/>
      <c r="XDB7" s="104"/>
      <c r="XDC7" s="104"/>
      <c r="XDD7" s="104"/>
      <c r="XDE7" s="42"/>
      <c r="XDH7" s="104"/>
      <c r="XDI7" s="104"/>
      <c r="XDJ7" s="104"/>
      <c r="XDK7" s="104"/>
      <c r="XDL7" s="104"/>
      <c r="XDN7" s="144"/>
      <c r="XDP7" s="59"/>
      <c r="XDQ7" s="59"/>
      <c r="XDS7" s="59"/>
      <c r="XDT7" s="59"/>
      <c r="XDU7" s="59"/>
      <c r="XDV7" s="59"/>
      <c r="XDW7" s="59"/>
      <c r="XDX7" s="59"/>
      <c r="XDY7" s="59"/>
      <c r="XDZ7" s="59"/>
      <c r="XEC7" s="104"/>
      <c r="XED7" s="104"/>
      <c r="XEE7" s="104"/>
      <c r="XEF7" s="104"/>
      <c r="XEG7" s="104"/>
      <c r="XEK7" s="104"/>
      <c r="XEL7" s="104"/>
      <c r="XEM7" s="104"/>
      <c r="XEN7" s="104"/>
      <c r="XEO7" s="104"/>
      <c r="XEQ7" s="104"/>
      <c r="XER7" s="104"/>
      <c r="XES7" s="104"/>
      <c r="XET7" s="104"/>
      <c r="XEU7" s="104"/>
      <c r="XEY7" s="104"/>
      <c r="XEZ7" s="104"/>
      <c r="XFA7" s="104"/>
      <c r="XFB7" s="104"/>
      <c r="XFC7" s="104"/>
    </row>
    <row r="8" spans="1:118 16301:16383" ht="41.65" x14ac:dyDescent="0.45">
      <c r="A8" s="42" t="s">
        <v>842</v>
      </c>
      <c r="B8" s="33" t="s">
        <v>858</v>
      </c>
      <c r="C8" s="33" t="s">
        <v>321</v>
      </c>
      <c r="D8" s="33" t="s">
        <v>704</v>
      </c>
      <c r="E8" s="33">
        <v>1</v>
      </c>
      <c r="F8" s="33">
        <v>0</v>
      </c>
      <c r="G8" s="33" t="s">
        <v>2</v>
      </c>
      <c r="H8" s="33" t="s">
        <v>0</v>
      </c>
      <c r="J8" s="59">
        <v>44614</v>
      </c>
      <c r="K8" s="33" t="s">
        <v>242</v>
      </c>
      <c r="L8" s="33" t="s">
        <v>307</v>
      </c>
      <c r="S8" s="59">
        <v>44614</v>
      </c>
      <c r="U8" s="59">
        <v>44630</v>
      </c>
      <c r="Z8" s="42" t="str">
        <f t="shared" ref="Z8:Z13" si="0">"IPK"</f>
        <v>IPK</v>
      </c>
      <c r="AB8" s="104"/>
      <c r="AC8" s="104"/>
      <c r="AD8" s="104"/>
      <c r="AE8" s="104"/>
      <c r="AF8" s="104"/>
      <c r="AG8" s="42" t="str">
        <f t="shared" ref="AG8:AG13" si="1">"ITA"</f>
        <v>ITA</v>
      </c>
      <c r="AH8" s="33" t="s">
        <v>130</v>
      </c>
      <c r="AI8" s="33" t="s">
        <v>438</v>
      </c>
      <c r="AO8" s="42"/>
      <c r="AQ8" s="104"/>
      <c r="AR8" s="104"/>
      <c r="AS8" s="33"/>
      <c r="AT8" s="33"/>
      <c r="AU8" s="101"/>
      <c r="AV8" s="42"/>
      <c r="AX8" s="104"/>
      <c r="AY8" s="104"/>
      <c r="AZ8" s="104"/>
      <c r="BA8" s="104"/>
      <c r="BB8" s="104"/>
      <c r="BC8" s="42"/>
      <c r="BE8" s="104"/>
      <c r="BF8" s="101"/>
      <c r="BG8" s="42"/>
      <c r="BI8" s="104"/>
      <c r="BJ8" s="101"/>
      <c r="BK8" s="42"/>
      <c r="BM8" s="104"/>
      <c r="BN8" s="101"/>
      <c r="BO8" s="42"/>
      <c r="BQ8" s="104"/>
      <c r="BR8" s="101"/>
      <c r="BU8" s="101"/>
      <c r="BX8" s="101"/>
      <c r="BY8" s="44">
        <f>Tabelle4[[#This Row],[Industry Funding from DE (IPK)]]+Tabelle4[[#This Row],[Industry Funding from BR (IPK)]]+Tabelle4[[#This Row],[Public Funding from DE (IPK)]]+Tabelle4[[#This Row],[Public Funding from BR (IPK)]]+Tabelle4[[#This Row],[In-kind Contribution (IPK)]]</f>
        <v>0</v>
      </c>
      <c r="BZ8" s="44">
        <f>Tabelle4[[#This Row],[Industry Funding from DE (IPK)]]+Tabelle4[[#This Row],[Industry Funding from BR (IPK)]]+Tabelle4[[#This Row],[Public Funding from DE (IPK)]]+Tabelle4[[#This Row],[Public Funding from BR (IPK)]]</f>
        <v>0</v>
      </c>
      <c r="CA8" s="44">
        <f>Tabelle4[[#This Row],[Industry Funding from DE (IPK)]]+Tabelle4[[#This Row],[Industry Funding from BR (IPK)]]</f>
        <v>0</v>
      </c>
      <c r="CB8" s="44">
        <f>Tabelle4[[#This Row],[Public Funding from DE (IPK)]]+Tabelle4[[#This Row],[Public Funding from BR (IPK)]]</f>
        <v>0</v>
      </c>
      <c r="CC8" s="44">
        <f>Tabelle4[[#This Row],[In-kind Contribution (IPK)]]</f>
        <v>0</v>
      </c>
      <c r="CD8" s="47" t="e">
        <f>(Tabelle4[[#This Row],[Total Industry Funding (IPK)]] + Tabelle4[[#This Row],[Total Public Funding (IPK)]])/Tabelle4[[#This Row],[Total Project Volume (IPK)]]</f>
        <v>#DIV/0!</v>
      </c>
      <c r="CE8" s="47" t="e">
        <f>Tabelle4[[#This Row],[Total Industry Funding (IPK)]] / Tabelle4[[#This Row],[Total Project Volume (IPK)]]</f>
        <v>#DIV/0!</v>
      </c>
      <c r="CF8" s="44" t="str">
        <f>Tabelle4[[#This Row],[Project Funding Classification]]</f>
        <v>Industry</v>
      </c>
      <c r="CG8" s="44">
        <f>Tabelle4[[#This Row],[Industry Funding from DE (IPK)]]+Tabelle4[[#This Row],[Public Funding from DE (IPK)]]</f>
        <v>0</v>
      </c>
      <c r="CH8" s="46">
        <f>Tabelle4[[#This Row],[Industry Funding from BR (IPK)]]+Tabelle4[[#This Row],[Public Funding from BR (IPK)]]</f>
        <v>0</v>
      </c>
      <c r="CI8" s="44">
        <f>Tabelle4[[#This Row],[Industry Funding from DE (ITA)]]+Tabelle4[[#This Row],[Industry Funding from BR (ITA)]]+Tabelle4[[#This Row],[Public Funding from DE (ITA)]]+Tabelle4[[#This Row],[Public Funding from BR (ITA)]]</f>
        <v>0</v>
      </c>
      <c r="CJ8" s="44">
        <f>Tabelle4[[#This Row],[Industry Funding from DE (ITA)]]+Tabelle4[[#This Row],[Industry Funding from BR (ITA)]]</f>
        <v>0</v>
      </c>
      <c r="CK8" s="44">
        <f>Tabelle4[[#This Row],[Public Funding from DE (ITA)]]+Tabelle4[[#This Row],[Public Funding from BR (ITA)]]</f>
        <v>0</v>
      </c>
      <c r="CL8" s="47" t="e">
        <f>Tabelle4[[#This Row],[Total Industry Funding (ITA)]]/Tabelle4[[#This Row],[Total Project Volume (ITA)]]</f>
        <v>#DIV/0!</v>
      </c>
      <c r="CM8" s="33" t="e">
        <f>IF(Tabelle4[[#This Row],[Funding Ratio (ITA)]]&lt;0.5,"Public Funding","Industry")</f>
        <v>#DIV/0!</v>
      </c>
      <c r="CN8" s="44">
        <f>Tabelle4[[#This Row],[Industry Funding from DE (ITA)]]+Tabelle4[[#This Row],[Public Funding from DE (ITA)]]</f>
        <v>0</v>
      </c>
      <c r="CO8" s="46">
        <f>Tabelle4[[#This Row],[Industry Funding from BR (ITA)]]+Tabelle4[[#This Row],[Public Funding from BR (ITA)]]</f>
        <v>0</v>
      </c>
      <c r="CP8" s="44">
        <f>Tabelle4[[#This Row],[Total Project Volume (IPK)]]+Tabelle4[[#This Row],[Total Project Volume (ITA)]]</f>
        <v>0</v>
      </c>
      <c r="CQ8" s="44">
        <f>Tabelle4[[#This Row],[Total Industry Funding (IPK)]]+Tabelle4[[#This Row],[Total Industry Funding (ITA)]]</f>
        <v>0</v>
      </c>
      <c r="CR8" s="44">
        <f>Tabelle4[[#This Row],[Industry Funding from DE (IPK)]]+Tabelle4[[#This Row],[Industry Funding from DE (ITA)]]</f>
        <v>0</v>
      </c>
      <c r="CS8" s="44">
        <f>Tabelle4[[#This Row],[Industry Funding from BR (IPK)]]+Tabelle4[[#This Row],[Industry Funding from BR (ITA)]]</f>
        <v>0</v>
      </c>
      <c r="CT8" s="44">
        <f>Tabelle4[[#This Row],[Total Public Funding (IPK)]]+Tabelle4[[#This Row],[Total Public Funding (ITA)]]</f>
        <v>0</v>
      </c>
      <c r="CU8" s="44">
        <f>Tabelle4[[#This Row],[Public Funding from DE (IPK)]]+Tabelle4[[#This Row],[Public Funding from DE (ITA)]]</f>
        <v>0</v>
      </c>
      <c r="CV8" s="44">
        <f>Tabelle4[[#This Row],[Public Funding from BR (IPK)]]+Tabelle4[[#This Row],[Public Funding from BR (ITA)]]</f>
        <v>0</v>
      </c>
      <c r="CW8" s="44">
        <f>Tabelle4[[#This Row],[Industry Funding from DE (FPC)]]+Tabelle4[[#This Row],[Public Funding from DE (FPC)]]</f>
        <v>0</v>
      </c>
      <c r="CX8" s="46">
        <f>Tabelle4[[#This Row],[Industry Funding from BR (FPC)]]+Tabelle4[[#This Row],[Public Funding from BR (FPC)]]</f>
        <v>0</v>
      </c>
      <c r="CY8" s="44">
        <f>Tabelle4[[#This Row],[Total Financial Budget (Other)]]+Tabelle4[[#This Row],[Total In-kind Contribution (Other)]]</f>
        <v>0</v>
      </c>
      <c r="CZ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8" s="44">
        <f>Tabelle4[[#This Row],[In-kind Contribution (R&amp;D III)]]+Tabelle4[[#This Row],[In-kind Contribution (R&amp;D IV)]]</f>
        <v>0</v>
      </c>
      <c r="DB8" s="158">
        <f>Tabelle4[[#This Row],[Total Budget (FPC)]]+Tabelle4[[#This Row],[Total Volume (Other)]]</f>
        <v>0</v>
      </c>
      <c r="DC8" s="104">
        <f>Tabelle4[[#This Row],[Total Revenues (IPK)]]</f>
        <v>0</v>
      </c>
      <c r="DD8" s="159"/>
      <c r="DE8" s="44">
        <f>Tabelle4[[#This Row],[Total Revenues IPK]]*Tabelle4[[#This Row],[Probability of Success]]</f>
        <v>0</v>
      </c>
      <c r="DL8" s="44">
        <f>Tabelle4[[#This Row],[Real Budget IPK]]*Tabelle4[[#This Row],[Acquisition Factor OE810]]</f>
        <v>0</v>
      </c>
      <c r="DN8" s="46">
        <f>Tabelle4[[#This Row],[Acquisition Bonus OE810]]+Tabelle4[[#This Row],[Project Execution OE810]]</f>
        <v>0</v>
      </c>
      <c r="XBY8" s="42"/>
      <c r="XCH8" s="59"/>
      <c r="XCK8" s="144"/>
      <c r="XCM8" s="59"/>
      <c r="XCN8" s="59"/>
      <c r="XCP8" s="59"/>
      <c r="XCQ8" s="59"/>
      <c r="XCR8" s="59"/>
      <c r="XCS8" s="59"/>
      <c r="XCT8" s="59"/>
      <c r="XCU8" s="59"/>
      <c r="XCV8" s="59"/>
      <c r="XCW8" s="59"/>
      <c r="XCX8" s="42"/>
      <c r="XCZ8" s="104"/>
      <c r="XDA8" s="104"/>
      <c r="XDB8" s="104"/>
      <c r="XDC8" s="104"/>
      <c r="XDD8" s="104"/>
      <c r="XDE8" s="42"/>
      <c r="XDH8" s="104"/>
      <c r="XDI8" s="104"/>
      <c r="XDJ8" s="104"/>
      <c r="XDK8" s="104"/>
      <c r="XDL8" s="104"/>
      <c r="XDN8" s="144"/>
      <c r="XDP8" s="59"/>
      <c r="XDQ8" s="59"/>
      <c r="XDS8" s="59"/>
      <c r="XDT8" s="59"/>
      <c r="XDU8" s="59"/>
      <c r="XDV8" s="59"/>
      <c r="XDW8" s="59"/>
      <c r="XDX8" s="59"/>
      <c r="XDY8" s="59"/>
      <c r="XDZ8" s="59"/>
      <c r="XEC8" s="104"/>
      <c r="XED8" s="104"/>
      <c r="XEE8" s="104"/>
      <c r="XEF8" s="104"/>
      <c r="XEG8" s="104"/>
      <c r="XEK8" s="104"/>
      <c r="XEL8" s="104"/>
      <c r="XEM8" s="104"/>
      <c r="XEN8" s="104"/>
      <c r="XEO8" s="104"/>
      <c r="XEQ8" s="104"/>
      <c r="XER8" s="104"/>
      <c r="XES8" s="104"/>
      <c r="XET8" s="104"/>
      <c r="XEU8" s="104"/>
      <c r="XEY8" s="104"/>
      <c r="XEZ8" s="104"/>
      <c r="XFA8" s="104"/>
      <c r="XFB8" s="104"/>
      <c r="XFC8" s="104"/>
    </row>
    <row r="9" spans="1:118 16301:16383" ht="55.5" x14ac:dyDescent="0.45">
      <c r="A9" s="42" t="s">
        <v>831</v>
      </c>
      <c r="B9" s="33" t="s">
        <v>826</v>
      </c>
      <c r="C9" s="33" t="s">
        <v>827</v>
      </c>
      <c r="D9" s="33" t="s">
        <v>709</v>
      </c>
      <c r="E9" s="33">
        <v>5</v>
      </c>
      <c r="F9" s="33">
        <v>5</v>
      </c>
      <c r="G9" s="33" t="s">
        <v>1</v>
      </c>
      <c r="H9" s="33" t="s">
        <v>0</v>
      </c>
      <c r="I9" s="33" t="s">
        <v>828</v>
      </c>
      <c r="J9" s="59">
        <v>44545</v>
      </c>
      <c r="K9" s="33" t="s">
        <v>243</v>
      </c>
      <c r="N9" s="33" t="s">
        <v>648</v>
      </c>
      <c r="P9" s="59">
        <v>44835</v>
      </c>
      <c r="Q9" s="33">
        <v>18</v>
      </c>
      <c r="R9" s="59">
        <v>45412</v>
      </c>
      <c r="S9" s="59">
        <v>44545</v>
      </c>
      <c r="U9" s="59">
        <v>44576</v>
      </c>
      <c r="Z9" s="42" t="str">
        <f t="shared" si="0"/>
        <v>IPK</v>
      </c>
      <c r="AA9" s="33" t="s">
        <v>141</v>
      </c>
      <c r="AB9" s="104">
        <v>250000</v>
      </c>
      <c r="AC9" s="104"/>
      <c r="AD9" s="104"/>
      <c r="AE9" s="104"/>
      <c r="AF9" s="104"/>
      <c r="AG9" s="42" t="str">
        <f t="shared" si="1"/>
        <v>ITA</v>
      </c>
      <c r="AO9" s="42"/>
      <c r="AQ9" s="104"/>
      <c r="AR9" s="104"/>
      <c r="AS9" s="33"/>
      <c r="AT9" s="33"/>
      <c r="AU9" s="101"/>
      <c r="AV9" s="42"/>
      <c r="AX9" s="104"/>
      <c r="AY9" s="104"/>
      <c r="AZ9" s="104"/>
      <c r="BA9" s="104"/>
      <c r="BB9" s="104"/>
      <c r="BC9" s="42" t="s">
        <v>829</v>
      </c>
      <c r="BD9" s="33" t="s">
        <v>816</v>
      </c>
      <c r="BE9" s="104"/>
      <c r="BF9" s="101"/>
      <c r="BG9" s="42"/>
      <c r="BI9" s="104"/>
      <c r="BJ9" s="101"/>
      <c r="BK9" s="42"/>
      <c r="BM9" s="104"/>
      <c r="BN9" s="101"/>
      <c r="BO9" s="42"/>
      <c r="BQ9" s="104"/>
      <c r="BR9" s="101"/>
      <c r="BS9" s="33" t="s">
        <v>477</v>
      </c>
      <c r="BT9" s="33" t="s">
        <v>830</v>
      </c>
      <c r="BU9" s="101">
        <v>250000</v>
      </c>
      <c r="BX9" s="101"/>
      <c r="BY9" s="44">
        <f>Tabelle4[[#This Row],[Industry Funding from DE (IPK)]]+Tabelle4[[#This Row],[Industry Funding from BR (IPK)]]+Tabelle4[[#This Row],[Public Funding from DE (IPK)]]+Tabelle4[[#This Row],[Public Funding from BR (IPK)]]+Tabelle4[[#This Row],[In-kind Contribution (IPK)]]</f>
        <v>250000</v>
      </c>
      <c r="BZ9" s="44">
        <f>Tabelle4[[#This Row],[Industry Funding from DE (IPK)]]+Tabelle4[[#This Row],[Industry Funding from BR (IPK)]]+Tabelle4[[#This Row],[Public Funding from DE (IPK)]]+Tabelle4[[#This Row],[Public Funding from BR (IPK)]]</f>
        <v>250000</v>
      </c>
      <c r="CA9" s="44">
        <f>Tabelle4[[#This Row],[Industry Funding from DE (IPK)]]+Tabelle4[[#This Row],[Industry Funding from BR (IPK)]]</f>
        <v>250000</v>
      </c>
      <c r="CB9" s="44">
        <f>Tabelle4[[#This Row],[Public Funding from DE (IPK)]]+Tabelle4[[#This Row],[Public Funding from BR (IPK)]]</f>
        <v>0</v>
      </c>
      <c r="CC9" s="44">
        <f>Tabelle4[[#This Row],[In-kind Contribution (IPK)]]</f>
        <v>0</v>
      </c>
      <c r="CD9" s="47">
        <f>(Tabelle4[[#This Row],[Total Industry Funding (IPK)]] + Tabelle4[[#This Row],[Total Public Funding (IPK)]])/Tabelle4[[#This Row],[Total Project Volume (IPK)]]</f>
        <v>1</v>
      </c>
      <c r="CE9" s="47">
        <f>Tabelle4[[#This Row],[Total Industry Funding (IPK)]] / Tabelle4[[#This Row],[Total Project Volume (IPK)]]</f>
        <v>1</v>
      </c>
      <c r="CF9" s="44" t="str">
        <f>Tabelle4[[#This Row],[Project Funding Classification]]</f>
        <v>Industry</v>
      </c>
      <c r="CG9" s="44">
        <f>Tabelle4[[#This Row],[Industry Funding from DE (IPK)]]+Tabelle4[[#This Row],[Public Funding from DE (IPK)]]</f>
        <v>250000</v>
      </c>
      <c r="CH9" s="46">
        <f>Tabelle4[[#This Row],[Industry Funding from BR (IPK)]]+Tabelle4[[#This Row],[Public Funding from BR (IPK)]]</f>
        <v>0</v>
      </c>
      <c r="CI9" s="44">
        <f>Tabelle4[[#This Row],[Industry Funding from DE (ITA)]]+Tabelle4[[#This Row],[Industry Funding from BR (ITA)]]+Tabelle4[[#This Row],[Public Funding from DE (ITA)]]+Tabelle4[[#This Row],[Public Funding from BR (ITA)]]</f>
        <v>0</v>
      </c>
      <c r="CJ9" s="44">
        <f>Tabelle4[[#This Row],[Industry Funding from DE (ITA)]]+Tabelle4[[#This Row],[Industry Funding from BR (ITA)]]</f>
        <v>0</v>
      </c>
      <c r="CK9" s="44">
        <f>Tabelle4[[#This Row],[Public Funding from DE (ITA)]]+Tabelle4[[#This Row],[Public Funding from BR (ITA)]]</f>
        <v>0</v>
      </c>
      <c r="CL9" s="47" t="e">
        <f>Tabelle4[[#This Row],[Total Industry Funding (ITA)]]/Tabelle4[[#This Row],[Total Project Volume (ITA)]]</f>
        <v>#DIV/0!</v>
      </c>
      <c r="CM9" s="33" t="e">
        <f>IF(Tabelle4[[#This Row],[Funding Ratio (ITA)]]&lt;0.5,"Public Funding","Industry")</f>
        <v>#DIV/0!</v>
      </c>
      <c r="CN9" s="44">
        <f>Tabelle4[[#This Row],[Industry Funding from DE (ITA)]]+Tabelle4[[#This Row],[Public Funding from DE (ITA)]]</f>
        <v>0</v>
      </c>
      <c r="CO9" s="46">
        <f>Tabelle4[[#This Row],[Industry Funding from BR (ITA)]]+Tabelle4[[#This Row],[Public Funding from BR (ITA)]]</f>
        <v>0</v>
      </c>
      <c r="CP9" s="44">
        <f>Tabelle4[[#This Row],[Total Project Volume (IPK)]]+Tabelle4[[#This Row],[Total Project Volume (ITA)]]</f>
        <v>250000</v>
      </c>
      <c r="CQ9" s="44">
        <f>Tabelle4[[#This Row],[Total Industry Funding (IPK)]]+Tabelle4[[#This Row],[Total Industry Funding (ITA)]]</f>
        <v>250000</v>
      </c>
      <c r="CR9" s="44">
        <f>Tabelle4[[#This Row],[Industry Funding from DE (IPK)]]+Tabelle4[[#This Row],[Industry Funding from DE (ITA)]]</f>
        <v>250000</v>
      </c>
      <c r="CS9" s="44">
        <f>Tabelle4[[#This Row],[Industry Funding from BR (IPK)]]+Tabelle4[[#This Row],[Industry Funding from BR (ITA)]]</f>
        <v>0</v>
      </c>
      <c r="CT9" s="44">
        <f>Tabelle4[[#This Row],[Total Public Funding (IPK)]]+Tabelle4[[#This Row],[Total Public Funding (ITA)]]</f>
        <v>0</v>
      </c>
      <c r="CU9" s="44">
        <f>Tabelle4[[#This Row],[Public Funding from DE (IPK)]]+Tabelle4[[#This Row],[Public Funding from DE (ITA)]]</f>
        <v>0</v>
      </c>
      <c r="CV9" s="44">
        <f>Tabelle4[[#This Row],[Public Funding from BR (IPK)]]+Tabelle4[[#This Row],[Public Funding from BR (ITA)]]</f>
        <v>0</v>
      </c>
      <c r="CW9" s="44">
        <f>Tabelle4[[#This Row],[Industry Funding from DE (FPC)]]+Tabelle4[[#This Row],[Public Funding from DE (FPC)]]</f>
        <v>250000</v>
      </c>
      <c r="CX9" s="46">
        <f>Tabelle4[[#This Row],[Industry Funding from BR (FPC)]]+Tabelle4[[#This Row],[Public Funding from BR (FPC)]]</f>
        <v>0</v>
      </c>
      <c r="CY9" s="44">
        <f>Tabelle4[[#This Row],[Total Financial Budget (Other)]]+Tabelle4[[#This Row],[Total In-kind Contribution (Other)]]</f>
        <v>0</v>
      </c>
      <c r="CZ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9" s="44">
        <f>Tabelle4[[#This Row],[In-kind Contribution (R&amp;D III)]]+Tabelle4[[#This Row],[In-kind Contribution (R&amp;D IV)]]</f>
        <v>0</v>
      </c>
      <c r="DB9" s="158">
        <f>Tabelle4[[#This Row],[Total Budget (FPC)]]+Tabelle4[[#This Row],[Total Volume (Other)]]</f>
        <v>250000</v>
      </c>
      <c r="DC9" s="104">
        <f>Tabelle4[[#This Row],[Total Revenues (IPK)]]</f>
        <v>250000</v>
      </c>
      <c r="DD9" s="159">
        <v>0.66</v>
      </c>
      <c r="DE9" s="44">
        <f>Tabelle4[[#This Row],[Total Revenues IPK]]*Tabelle4[[#This Row],[Probability of Success]]</f>
        <v>165000</v>
      </c>
      <c r="DK9" s="47">
        <v>0.2</v>
      </c>
      <c r="DL9" s="44">
        <f>Tabelle4[[#This Row],[Real Budget IPK]]*Tabelle4[[#This Row],[Acquisition Factor OE810]]</f>
        <v>33000</v>
      </c>
      <c r="DN9" s="46">
        <f>Tabelle4[[#This Row],[Acquisition Bonus OE810]]+Tabelle4[[#This Row],[Project Execution OE810]]</f>
        <v>33000</v>
      </c>
      <c r="XBY9" s="42"/>
      <c r="XCH9" s="59"/>
      <c r="XCK9" s="144"/>
      <c r="XCM9" s="59"/>
      <c r="XCN9" s="59"/>
      <c r="XCP9" s="59"/>
      <c r="XCQ9" s="59"/>
      <c r="XCR9" s="59"/>
      <c r="XCS9" s="59"/>
      <c r="XCT9" s="59"/>
      <c r="XCU9" s="59"/>
      <c r="XCV9" s="59"/>
      <c r="XCW9" s="59"/>
      <c r="XCX9" s="42"/>
      <c r="XCZ9" s="104"/>
      <c r="XDA9" s="104"/>
      <c r="XDB9" s="104"/>
      <c r="XDC9" s="104"/>
      <c r="XDD9" s="104"/>
      <c r="XDE9" s="42"/>
      <c r="XDH9" s="104"/>
      <c r="XDI9" s="104"/>
      <c r="XDJ9" s="104"/>
      <c r="XDK9" s="104"/>
      <c r="XDL9" s="104"/>
      <c r="XDN9" s="144"/>
      <c r="XDP9" s="59"/>
      <c r="XDQ9" s="59"/>
      <c r="XDS9" s="59"/>
      <c r="XDT9" s="59"/>
      <c r="XDU9" s="59"/>
      <c r="XDV9" s="59"/>
      <c r="XDW9" s="59"/>
      <c r="XDX9" s="59"/>
      <c r="XDY9" s="59"/>
      <c r="XDZ9" s="59"/>
      <c r="XEC9" s="104"/>
      <c r="XED9" s="104"/>
      <c r="XEE9" s="104"/>
      <c r="XEF9" s="104"/>
      <c r="XEG9" s="104"/>
      <c r="XEK9" s="104"/>
      <c r="XEL9" s="104"/>
      <c r="XEM9" s="104"/>
      <c r="XEN9" s="104"/>
      <c r="XEO9" s="104"/>
      <c r="XEQ9" s="104"/>
      <c r="XER9" s="104"/>
      <c r="XES9" s="104"/>
      <c r="XET9" s="104"/>
      <c r="XEU9" s="104"/>
      <c r="XEY9" s="104"/>
      <c r="XEZ9" s="104"/>
      <c r="XFA9" s="104"/>
      <c r="XFB9" s="104"/>
      <c r="XFC9" s="104"/>
    </row>
    <row r="10" spans="1:118 16301:16383" ht="38.25" customHeight="1" x14ac:dyDescent="0.45">
      <c r="A10" s="42" t="s">
        <v>825</v>
      </c>
      <c r="B10" s="33" t="s">
        <v>841</v>
      </c>
      <c r="C10" s="33" t="s">
        <v>545</v>
      </c>
      <c r="D10" s="33" t="s">
        <v>706</v>
      </c>
      <c r="E10" s="33">
        <v>5</v>
      </c>
      <c r="F10" s="33">
        <v>0</v>
      </c>
      <c r="G10" s="33" t="s">
        <v>2</v>
      </c>
      <c r="H10" s="33" t="s">
        <v>96</v>
      </c>
      <c r="I10" s="33" t="s">
        <v>862</v>
      </c>
      <c r="J10" s="59">
        <v>44599</v>
      </c>
      <c r="K10" s="33" t="s">
        <v>243</v>
      </c>
      <c r="L10" s="33" t="s">
        <v>308</v>
      </c>
      <c r="M10" s="144">
        <v>5.77</v>
      </c>
      <c r="N10" s="33" t="s">
        <v>667</v>
      </c>
      <c r="S10" s="59">
        <v>44599</v>
      </c>
      <c r="U10" s="59">
        <v>44607</v>
      </c>
      <c r="V10" s="59">
        <v>44651</v>
      </c>
      <c r="Z10" s="42" t="str">
        <f t="shared" si="0"/>
        <v>IPK</v>
      </c>
      <c r="AB10" s="104"/>
      <c r="AC10" s="104"/>
      <c r="AD10" s="104"/>
      <c r="AE10" s="104"/>
      <c r="AF10" s="104"/>
      <c r="AG10" s="42" t="str">
        <f t="shared" si="1"/>
        <v>ITA</v>
      </c>
      <c r="AH10" s="33" t="s">
        <v>546</v>
      </c>
      <c r="AI10" s="33" t="s">
        <v>767</v>
      </c>
      <c r="AM10" s="104">
        <f>4990555.56/Tabelle4[[#This Row],[EUR exchange rate against BRL]]</f>
        <v>864914.30849220103</v>
      </c>
      <c r="AO10" s="42"/>
      <c r="AQ10" s="104"/>
      <c r="AR10" s="104"/>
      <c r="AS10" s="33"/>
      <c r="AT10" s="33"/>
      <c r="AU10" s="101"/>
      <c r="AV10" s="42"/>
      <c r="AX10" s="104"/>
      <c r="AY10" s="104"/>
      <c r="AZ10" s="104"/>
      <c r="BA10" s="104"/>
      <c r="BB10" s="104"/>
      <c r="BC10" s="42"/>
      <c r="BE10" s="104"/>
      <c r="BF10" s="101"/>
      <c r="BG10" s="42"/>
      <c r="BI10" s="104"/>
      <c r="BJ10" s="101"/>
      <c r="BK10" s="42"/>
      <c r="BM10" s="104"/>
      <c r="BN10" s="101"/>
      <c r="BO10" s="42"/>
      <c r="BQ10" s="104"/>
      <c r="BR10" s="101"/>
      <c r="BU10" s="101"/>
      <c r="BX10" s="101"/>
      <c r="BY10" s="44">
        <f>Tabelle4[[#This Row],[Industry Funding from DE (IPK)]]+Tabelle4[[#This Row],[Industry Funding from BR (IPK)]]+Tabelle4[[#This Row],[Public Funding from DE (IPK)]]+Tabelle4[[#This Row],[Public Funding from BR (IPK)]]+Tabelle4[[#This Row],[In-kind Contribution (IPK)]]</f>
        <v>0</v>
      </c>
      <c r="BZ10" s="44">
        <f>Tabelle4[[#This Row],[Industry Funding from DE (IPK)]]+Tabelle4[[#This Row],[Industry Funding from BR (IPK)]]+Tabelle4[[#This Row],[Public Funding from DE (IPK)]]+Tabelle4[[#This Row],[Public Funding from BR (IPK)]]</f>
        <v>0</v>
      </c>
      <c r="CA10" s="44">
        <f>Tabelle4[[#This Row],[Industry Funding from DE (IPK)]]+Tabelle4[[#This Row],[Industry Funding from BR (IPK)]]</f>
        <v>0</v>
      </c>
      <c r="CB10" s="44">
        <f>Tabelle4[[#This Row],[Public Funding from DE (IPK)]]+Tabelle4[[#This Row],[Public Funding from BR (IPK)]]</f>
        <v>0</v>
      </c>
      <c r="CC10" s="44">
        <f>Tabelle4[[#This Row],[In-kind Contribution (IPK)]]</f>
        <v>0</v>
      </c>
      <c r="CD10" s="47" t="e">
        <f>(Tabelle4[[#This Row],[Total Industry Funding (IPK)]] + Tabelle4[[#This Row],[Total Public Funding (IPK)]])/Tabelle4[[#This Row],[Total Project Volume (IPK)]]</f>
        <v>#DIV/0!</v>
      </c>
      <c r="CE10" s="47" t="e">
        <f>Tabelle4[[#This Row],[Total Industry Funding (IPK)]] / Tabelle4[[#This Row],[Total Project Volume (IPK)]]</f>
        <v>#DIV/0!</v>
      </c>
      <c r="CF10" s="44" t="str">
        <f>Tabelle4[[#This Row],[Project Funding Classification]]</f>
        <v>Public Funding</v>
      </c>
      <c r="CG10" s="44">
        <f>Tabelle4[[#This Row],[Industry Funding from DE (IPK)]]+Tabelle4[[#This Row],[Public Funding from DE (IPK)]]</f>
        <v>0</v>
      </c>
      <c r="CH10" s="46">
        <f>Tabelle4[[#This Row],[Industry Funding from BR (IPK)]]+Tabelle4[[#This Row],[Public Funding from BR (IPK)]]</f>
        <v>0</v>
      </c>
      <c r="CI10" s="44">
        <f>Tabelle4[[#This Row],[Industry Funding from DE (ITA)]]+Tabelle4[[#This Row],[Industry Funding from BR (ITA)]]+Tabelle4[[#This Row],[Public Funding from DE (ITA)]]+Tabelle4[[#This Row],[Public Funding from BR (ITA)]]</f>
        <v>864914.30849220103</v>
      </c>
      <c r="CJ10" s="44">
        <f>Tabelle4[[#This Row],[Industry Funding from DE (ITA)]]+Tabelle4[[#This Row],[Industry Funding from BR (ITA)]]</f>
        <v>0</v>
      </c>
      <c r="CK10" s="44">
        <f>Tabelle4[[#This Row],[Public Funding from DE (ITA)]]+Tabelle4[[#This Row],[Public Funding from BR (ITA)]]</f>
        <v>864914.30849220103</v>
      </c>
      <c r="CL10" s="47">
        <f>Tabelle4[[#This Row],[Total Industry Funding (ITA)]]/Tabelle4[[#This Row],[Total Project Volume (ITA)]]</f>
        <v>0</v>
      </c>
      <c r="CM10" s="33" t="str">
        <f>IF(Tabelle4[[#This Row],[Funding Ratio (ITA)]]&lt;0.5,"Public Funding","Industry")</f>
        <v>Public Funding</v>
      </c>
      <c r="CN10" s="44">
        <f>Tabelle4[[#This Row],[Industry Funding from DE (ITA)]]+Tabelle4[[#This Row],[Public Funding from DE (ITA)]]</f>
        <v>0</v>
      </c>
      <c r="CO10" s="46">
        <f>Tabelle4[[#This Row],[Industry Funding from BR (ITA)]]+Tabelle4[[#This Row],[Public Funding from BR (ITA)]]</f>
        <v>864914.30849220103</v>
      </c>
      <c r="CP10" s="44">
        <f>Tabelle4[[#This Row],[Total Project Volume (IPK)]]+Tabelle4[[#This Row],[Total Project Volume (ITA)]]</f>
        <v>864914.30849220103</v>
      </c>
      <c r="CQ10" s="44">
        <f>Tabelle4[[#This Row],[Total Industry Funding (IPK)]]+Tabelle4[[#This Row],[Total Industry Funding (ITA)]]</f>
        <v>0</v>
      </c>
      <c r="CR10" s="44">
        <f>Tabelle4[[#This Row],[Industry Funding from DE (IPK)]]+Tabelle4[[#This Row],[Industry Funding from DE (ITA)]]</f>
        <v>0</v>
      </c>
      <c r="CS10" s="44">
        <f>Tabelle4[[#This Row],[Industry Funding from BR (IPK)]]+Tabelle4[[#This Row],[Industry Funding from BR (ITA)]]</f>
        <v>0</v>
      </c>
      <c r="CT10" s="44">
        <f>Tabelle4[[#This Row],[Total Public Funding (IPK)]]+Tabelle4[[#This Row],[Total Public Funding (ITA)]]</f>
        <v>864914.30849220103</v>
      </c>
      <c r="CU10" s="44">
        <f>Tabelle4[[#This Row],[Public Funding from DE (IPK)]]+Tabelle4[[#This Row],[Public Funding from DE (ITA)]]</f>
        <v>0</v>
      </c>
      <c r="CV10" s="44">
        <f>Tabelle4[[#This Row],[Public Funding from BR (IPK)]]+Tabelle4[[#This Row],[Public Funding from BR (ITA)]]</f>
        <v>864914.30849220103</v>
      </c>
      <c r="CW10" s="44">
        <f>Tabelle4[[#This Row],[Industry Funding from DE (FPC)]]+Tabelle4[[#This Row],[Public Funding from DE (FPC)]]</f>
        <v>0</v>
      </c>
      <c r="CX10" s="46">
        <f>Tabelle4[[#This Row],[Industry Funding from BR (FPC)]]+Tabelle4[[#This Row],[Public Funding from BR (FPC)]]</f>
        <v>864914.30849220103</v>
      </c>
      <c r="CY10" s="44">
        <f>Tabelle4[[#This Row],[Total Financial Budget (Other)]]+Tabelle4[[#This Row],[Total In-kind Contribution (Other)]]</f>
        <v>0</v>
      </c>
      <c r="CZ1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0" s="44">
        <f>Tabelle4[[#This Row],[In-kind Contribution (R&amp;D III)]]+Tabelle4[[#This Row],[In-kind Contribution (R&amp;D IV)]]</f>
        <v>0</v>
      </c>
      <c r="DB10" s="158">
        <f>Tabelle4[[#This Row],[Total Budget (FPC)]]+Tabelle4[[#This Row],[Total Volume (Other)]]</f>
        <v>864914.30849220103</v>
      </c>
      <c r="DC10" s="104">
        <f>Tabelle4[[#This Row],[Total Revenues (IPK)]]</f>
        <v>0</v>
      </c>
      <c r="DD10" s="159"/>
      <c r="DE10" s="44">
        <f>Tabelle4[[#This Row],[Total Revenues IPK]]*Tabelle4[[#This Row],[Probability of Success]]</f>
        <v>0</v>
      </c>
      <c r="DL10" s="44">
        <f>Tabelle4[[#This Row],[Real Budget IPK]]*Tabelle4[[#This Row],[Acquisition Factor OE810]]</f>
        <v>0</v>
      </c>
      <c r="DN10" s="46">
        <f>Tabelle4[[#This Row],[Acquisition Bonus OE810]]+Tabelle4[[#This Row],[Project Execution OE810]]</f>
        <v>0</v>
      </c>
      <c r="XBY10" s="42"/>
      <c r="XCH10" s="59"/>
      <c r="XCK10" s="144"/>
      <c r="XCM10" s="59"/>
      <c r="XCN10" s="59"/>
      <c r="XCP10" s="59"/>
      <c r="XCQ10" s="59"/>
      <c r="XCR10" s="59"/>
      <c r="XCS10" s="59"/>
      <c r="XCT10" s="59"/>
      <c r="XCU10" s="59"/>
      <c r="XCV10" s="59"/>
      <c r="XCW10" s="59"/>
      <c r="XCX10" s="42"/>
      <c r="XCZ10" s="104"/>
      <c r="XDA10" s="104"/>
      <c r="XDB10" s="104"/>
      <c r="XDC10" s="104"/>
      <c r="XDD10" s="104"/>
      <c r="XDE10" s="42"/>
      <c r="XDH10" s="104"/>
      <c r="XDI10" s="104"/>
      <c r="XDJ10" s="104"/>
      <c r="XDK10" s="104"/>
      <c r="XDL10" s="104"/>
      <c r="XDN10" s="144"/>
      <c r="XDP10" s="59"/>
      <c r="XDQ10" s="59"/>
      <c r="XDS10" s="59"/>
      <c r="XDT10" s="59"/>
      <c r="XDU10" s="59"/>
      <c r="XDV10" s="59"/>
      <c r="XDW10" s="59"/>
      <c r="XDX10" s="59"/>
      <c r="XDY10" s="59"/>
      <c r="XDZ10" s="59"/>
      <c r="XEC10" s="104"/>
      <c r="XED10" s="104"/>
      <c r="XEE10" s="104"/>
      <c r="XEF10" s="104"/>
      <c r="XEG10" s="104"/>
      <c r="XEK10" s="104"/>
      <c r="XEL10" s="104"/>
      <c r="XEM10" s="104"/>
      <c r="XEN10" s="104"/>
      <c r="XEO10" s="104"/>
      <c r="XEQ10" s="104"/>
      <c r="XER10" s="104"/>
      <c r="XES10" s="104"/>
      <c r="XET10" s="104"/>
      <c r="XEU10" s="104"/>
      <c r="XEY10" s="104"/>
      <c r="XEZ10" s="104"/>
      <c r="XFA10" s="104"/>
      <c r="XFB10" s="104"/>
      <c r="XFC10" s="104"/>
    </row>
    <row r="11" spans="1:118 16301:16383" ht="38.25" customHeight="1" x14ac:dyDescent="0.45">
      <c r="A11" s="42" t="s">
        <v>822</v>
      </c>
      <c r="B11" s="33" t="s">
        <v>855</v>
      </c>
      <c r="C11" s="33" t="s">
        <v>823</v>
      </c>
      <c r="D11" s="33" t="s">
        <v>706</v>
      </c>
      <c r="E11" s="33">
        <v>2</v>
      </c>
      <c r="F11" s="33">
        <v>0</v>
      </c>
      <c r="G11" s="33" t="s">
        <v>2</v>
      </c>
      <c r="H11" s="33" t="s">
        <v>0</v>
      </c>
      <c r="J11" s="59">
        <v>44470</v>
      </c>
      <c r="K11" s="33" t="s">
        <v>241</v>
      </c>
      <c r="L11" s="33" t="s">
        <v>306</v>
      </c>
      <c r="S11" s="59">
        <v>44835</v>
      </c>
      <c r="Z11" s="42" t="str">
        <f t="shared" si="0"/>
        <v>IPK</v>
      </c>
      <c r="AB11" s="104"/>
      <c r="AC11" s="104"/>
      <c r="AD11" s="104"/>
      <c r="AE11" s="104"/>
      <c r="AF11" s="104"/>
      <c r="AG11" s="42" t="str">
        <f t="shared" si="1"/>
        <v>ITA</v>
      </c>
      <c r="AH11" s="33" t="s">
        <v>130</v>
      </c>
      <c r="AI11" s="33" t="s">
        <v>438</v>
      </c>
      <c r="AO11" s="42"/>
      <c r="AQ11" s="104"/>
      <c r="AR11" s="104"/>
      <c r="AS11" s="33"/>
      <c r="AT11" s="33"/>
      <c r="AU11" s="101"/>
      <c r="AV11" s="42"/>
      <c r="AX11" s="104"/>
      <c r="AY11" s="104"/>
      <c r="AZ11" s="104"/>
      <c r="BA11" s="104"/>
      <c r="BB11" s="104"/>
      <c r="BC11" s="42"/>
      <c r="BE11" s="104"/>
      <c r="BF11" s="101"/>
      <c r="BG11" s="42"/>
      <c r="BI11" s="104"/>
      <c r="BJ11" s="101"/>
      <c r="BK11" s="42"/>
      <c r="BM11" s="104"/>
      <c r="BN11" s="101"/>
      <c r="BO11" s="42"/>
      <c r="BQ11" s="104"/>
      <c r="BR11" s="101"/>
      <c r="BU11" s="101"/>
      <c r="BX11" s="101"/>
      <c r="BY11" s="44">
        <f>Tabelle4[[#This Row],[Industry Funding from DE (IPK)]]+Tabelle4[[#This Row],[Industry Funding from BR (IPK)]]+Tabelle4[[#This Row],[Public Funding from DE (IPK)]]+Tabelle4[[#This Row],[Public Funding from BR (IPK)]]+Tabelle4[[#This Row],[In-kind Contribution (IPK)]]</f>
        <v>0</v>
      </c>
      <c r="BZ11" s="44">
        <f>Tabelle4[[#This Row],[Industry Funding from DE (IPK)]]+Tabelle4[[#This Row],[Industry Funding from BR (IPK)]]+Tabelle4[[#This Row],[Public Funding from DE (IPK)]]+Tabelle4[[#This Row],[Public Funding from BR (IPK)]]</f>
        <v>0</v>
      </c>
      <c r="CA11" s="44">
        <f>Tabelle4[[#This Row],[Industry Funding from DE (IPK)]]+Tabelle4[[#This Row],[Industry Funding from BR (IPK)]]</f>
        <v>0</v>
      </c>
      <c r="CB11" s="44">
        <f>Tabelle4[[#This Row],[Public Funding from DE (IPK)]]+Tabelle4[[#This Row],[Public Funding from BR (IPK)]]</f>
        <v>0</v>
      </c>
      <c r="CC11" s="44">
        <f>Tabelle4[[#This Row],[In-kind Contribution (IPK)]]</f>
        <v>0</v>
      </c>
      <c r="CD11" s="47" t="e">
        <f>(Tabelle4[[#This Row],[Total Industry Funding (IPK)]] + Tabelle4[[#This Row],[Total Public Funding (IPK)]])/Tabelle4[[#This Row],[Total Project Volume (IPK)]]</f>
        <v>#DIV/0!</v>
      </c>
      <c r="CE11" s="47" t="e">
        <f>Tabelle4[[#This Row],[Total Industry Funding (IPK)]] / Tabelle4[[#This Row],[Total Project Volume (IPK)]]</f>
        <v>#DIV/0!</v>
      </c>
      <c r="CF11" s="44" t="str">
        <f>Tabelle4[[#This Row],[Project Funding Classification]]</f>
        <v>Industry</v>
      </c>
      <c r="CG11" s="44">
        <f>Tabelle4[[#This Row],[Industry Funding from DE (IPK)]]+Tabelle4[[#This Row],[Public Funding from DE (IPK)]]</f>
        <v>0</v>
      </c>
      <c r="CH11" s="46">
        <f>Tabelle4[[#This Row],[Industry Funding from BR (IPK)]]+Tabelle4[[#This Row],[Public Funding from BR (IPK)]]</f>
        <v>0</v>
      </c>
      <c r="CI11" s="44">
        <f>Tabelle4[[#This Row],[Industry Funding from DE (ITA)]]+Tabelle4[[#This Row],[Industry Funding from BR (ITA)]]+Tabelle4[[#This Row],[Public Funding from DE (ITA)]]+Tabelle4[[#This Row],[Public Funding from BR (ITA)]]</f>
        <v>0</v>
      </c>
      <c r="CJ11" s="44">
        <f>Tabelle4[[#This Row],[Industry Funding from DE (ITA)]]+Tabelle4[[#This Row],[Industry Funding from BR (ITA)]]</f>
        <v>0</v>
      </c>
      <c r="CK11" s="44">
        <f>Tabelle4[[#This Row],[Public Funding from DE (ITA)]]+Tabelle4[[#This Row],[Public Funding from BR (ITA)]]</f>
        <v>0</v>
      </c>
      <c r="CL11" s="47" t="e">
        <f>Tabelle4[[#This Row],[Total Industry Funding (ITA)]]/Tabelle4[[#This Row],[Total Project Volume (ITA)]]</f>
        <v>#DIV/0!</v>
      </c>
      <c r="CM11" s="33" t="e">
        <f>IF(Tabelle4[[#This Row],[Funding Ratio (ITA)]]&lt;0.5,"Public Funding","Industry")</f>
        <v>#DIV/0!</v>
      </c>
      <c r="CN11" s="44">
        <f>Tabelle4[[#This Row],[Industry Funding from DE (ITA)]]+Tabelle4[[#This Row],[Public Funding from DE (ITA)]]</f>
        <v>0</v>
      </c>
      <c r="CO11" s="46">
        <f>Tabelle4[[#This Row],[Industry Funding from BR (ITA)]]+Tabelle4[[#This Row],[Public Funding from BR (ITA)]]</f>
        <v>0</v>
      </c>
      <c r="CP11" s="44">
        <f>Tabelle4[[#This Row],[Total Project Volume (IPK)]]+Tabelle4[[#This Row],[Total Project Volume (ITA)]]</f>
        <v>0</v>
      </c>
      <c r="CQ11" s="44">
        <f>Tabelle4[[#This Row],[Total Industry Funding (IPK)]]+Tabelle4[[#This Row],[Total Industry Funding (ITA)]]</f>
        <v>0</v>
      </c>
      <c r="CR11" s="44">
        <f>Tabelle4[[#This Row],[Industry Funding from DE (IPK)]]+Tabelle4[[#This Row],[Industry Funding from DE (ITA)]]</f>
        <v>0</v>
      </c>
      <c r="CS11" s="44">
        <f>Tabelle4[[#This Row],[Industry Funding from BR (IPK)]]+Tabelle4[[#This Row],[Industry Funding from BR (ITA)]]</f>
        <v>0</v>
      </c>
      <c r="CT11" s="44">
        <f>Tabelle4[[#This Row],[Total Public Funding (IPK)]]+Tabelle4[[#This Row],[Total Public Funding (ITA)]]</f>
        <v>0</v>
      </c>
      <c r="CU11" s="44">
        <f>Tabelle4[[#This Row],[Public Funding from DE (IPK)]]+Tabelle4[[#This Row],[Public Funding from DE (ITA)]]</f>
        <v>0</v>
      </c>
      <c r="CV11" s="44">
        <f>Tabelle4[[#This Row],[Public Funding from BR (IPK)]]+Tabelle4[[#This Row],[Public Funding from BR (ITA)]]</f>
        <v>0</v>
      </c>
      <c r="CW11" s="44">
        <f>Tabelle4[[#This Row],[Industry Funding from DE (FPC)]]+Tabelle4[[#This Row],[Public Funding from DE (FPC)]]</f>
        <v>0</v>
      </c>
      <c r="CX11" s="46">
        <f>Tabelle4[[#This Row],[Industry Funding from BR (FPC)]]+Tabelle4[[#This Row],[Public Funding from BR (FPC)]]</f>
        <v>0</v>
      </c>
      <c r="CY11" s="44">
        <f>Tabelle4[[#This Row],[Total Financial Budget (Other)]]+Tabelle4[[#This Row],[Total In-kind Contribution (Other)]]</f>
        <v>0</v>
      </c>
      <c r="CZ1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1" s="44">
        <f>Tabelle4[[#This Row],[In-kind Contribution (R&amp;D III)]]+Tabelle4[[#This Row],[In-kind Contribution (R&amp;D IV)]]</f>
        <v>0</v>
      </c>
      <c r="DB11" s="158">
        <f>Tabelle4[[#This Row],[Total Budget (FPC)]]+Tabelle4[[#This Row],[Total Volume (Other)]]</f>
        <v>0</v>
      </c>
      <c r="DC11" s="104">
        <f>Tabelle4[[#This Row],[Total Revenues (IPK)]]</f>
        <v>0</v>
      </c>
      <c r="DD11" s="159"/>
      <c r="DE11" s="44">
        <f>Tabelle4[[#This Row],[Total Revenues IPK]]*Tabelle4[[#This Row],[Probability of Success]]</f>
        <v>0</v>
      </c>
      <c r="DL11" s="44">
        <f>Tabelle4[[#This Row],[Real Budget IPK]]*Tabelle4[[#This Row],[Acquisition Factor OE810]]</f>
        <v>0</v>
      </c>
      <c r="DN11" s="46">
        <f>Tabelle4[[#This Row],[Acquisition Bonus OE810]]+Tabelle4[[#This Row],[Project Execution OE810]]</f>
        <v>0</v>
      </c>
      <c r="XBY11" s="42"/>
      <c r="XCH11" s="59"/>
      <c r="XCK11" s="144"/>
      <c r="XCM11" s="59"/>
      <c r="XCN11" s="59"/>
      <c r="XCP11" s="59"/>
      <c r="XCQ11" s="59"/>
      <c r="XCR11" s="59"/>
      <c r="XCS11" s="59"/>
      <c r="XCT11" s="59"/>
      <c r="XCU11" s="59"/>
      <c r="XCV11" s="59"/>
      <c r="XCW11" s="59"/>
      <c r="XCX11" s="42"/>
      <c r="XCZ11" s="104"/>
      <c r="XDA11" s="104"/>
      <c r="XDB11" s="104"/>
      <c r="XDC11" s="104"/>
      <c r="XDD11" s="104"/>
      <c r="XDE11" s="42"/>
      <c r="XDH11" s="104"/>
      <c r="XDI11" s="104"/>
      <c r="XDJ11" s="104"/>
      <c r="XDK11" s="104"/>
      <c r="XDL11" s="104"/>
      <c r="XDN11" s="144"/>
      <c r="XDP11" s="59"/>
      <c r="XDQ11" s="59"/>
      <c r="XDS11" s="59"/>
      <c r="XDT11" s="59"/>
      <c r="XDU11" s="59"/>
      <c r="XDV11" s="59"/>
      <c r="XDW11" s="59"/>
      <c r="XDX11" s="59"/>
      <c r="XDY11" s="59"/>
      <c r="XDZ11" s="59"/>
      <c r="XEC11" s="104"/>
      <c r="XED11" s="104"/>
      <c r="XEE11" s="104"/>
      <c r="XEF11" s="104"/>
      <c r="XEG11" s="104"/>
      <c r="XEK11" s="104"/>
      <c r="XEL11" s="104"/>
      <c r="XEM11" s="104"/>
      <c r="XEN11" s="104"/>
      <c r="XEO11" s="104"/>
      <c r="XEQ11" s="104"/>
      <c r="XER11" s="104"/>
      <c r="XES11" s="104"/>
      <c r="XET11" s="104"/>
      <c r="XEU11" s="104"/>
      <c r="XEY11" s="104"/>
      <c r="XEZ11" s="104"/>
      <c r="XFA11" s="104"/>
      <c r="XFB11" s="104"/>
      <c r="XFC11" s="104"/>
    </row>
    <row r="12" spans="1:118 16301:16383" ht="38.25" customHeight="1" x14ac:dyDescent="0.45">
      <c r="A12" s="42" t="s">
        <v>821</v>
      </c>
      <c r="B12" s="33" t="s">
        <v>856</v>
      </c>
      <c r="C12" s="33" t="s">
        <v>359</v>
      </c>
      <c r="D12" s="33" t="s">
        <v>711</v>
      </c>
      <c r="E12" s="33">
        <v>1</v>
      </c>
      <c r="F12" s="33">
        <v>0</v>
      </c>
      <c r="G12" s="33" t="s">
        <v>2</v>
      </c>
      <c r="H12" s="33" t="s">
        <v>0</v>
      </c>
      <c r="J12" s="59">
        <v>44546</v>
      </c>
      <c r="K12" s="33" t="s">
        <v>241</v>
      </c>
      <c r="L12" s="33" t="s">
        <v>307</v>
      </c>
      <c r="U12" s="59">
        <v>44616</v>
      </c>
      <c r="Z12" s="42" t="str">
        <f t="shared" si="0"/>
        <v>IPK</v>
      </c>
      <c r="AB12" s="104"/>
      <c r="AC12" s="104"/>
      <c r="AD12" s="104"/>
      <c r="AE12" s="104"/>
      <c r="AF12" s="104"/>
      <c r="AG12" s="42" t="str">
        <f t="shared" si="1"/>
        <v>ITA</v>
      </c>
      <c r="AH12" s="33" t="s">
        <v>130</v>
      </c>
      <c r="AI12" s="33" t="s">
        <v>438</v>
      </c>
      <c r="AO12" s="42"/>
      <c r="AQ12" s="104"/>
      <c r="AR12" s="104"/>
      <c r="AS12" s="33"/>
      <c r="AT12" s="33"/>
      <c r="AU12" s="101"/>
      <c r="AV12" s="42"/>
      <c r="AX12" s="104"/>
      <c r="AY12" s="104"/>
      <c r="AZ12" s="104"/>
      <c r="BA12" s="104"/>
      <c r="BB12" s="104"/>
      <c r="BC12" s="42"/>
      <c r="BE12" s="104"/>
      <c r="BF12" s="101"/>
      <c r="BG12" s="42"/>
      <c r="BI12" s="104"/>
      <c r="BJ12" s="101"/>
      <c r="BK12" s="42"/>
      <c r="BM12" s="104"/>
      <c r="BN12" s="101"/>
      <c r="BO12" s="42"/>
      <c r="BQ12" s="104"/>
      <c r="BR12" s="101"/>
      <c r="BU12" s="101"/>
      <c r="BX12" s="101"/>
      <c r="BY12" s="44">
        <f>Tabelle4[[#This Row],[Industry Funding from DE (IPK)]]+Tabelle4[[#This Row],[Industry Funding from BR (IPK)]]+Tabelle4[[#This Row],[Public Funding from DE (IPK)]]+Tabelle4[[#This Row],[Public Funding from BR (IPK)]]+Tabelle4[[#This Row],[In-kind Contribution (IPK)]]</f>
        <v>0</v>
      </c>
      <c r="BZ12" s="44">
        <f>Tabelle4[[#This Row],[Industry Funding from DE (IPK)]]+Tabelle4[[#This Row],[Industry Funding from BR (IPK)]]+Tabelle4[[#This Row],[Public Funding from DE (IPK)]]+Tabelle4[[#This Row],[Public Funding from BR (IPK)]]</f>
        <v>0</v>
      </c>
      <c r="CA12" s="44">
        <f>Tabelle4[[#This Row],[Industry Funding from DE (IPK)]]+Tabelle4[[#This Row],[Industry Funding from BR (IPK)]]</f>
        <v>0</v>
      </c>
      <c r="CB12" s="44">
        <f>Tabelle4[[#This Row],[Public Funding from DE (IPK)]]+Tabelle4[[#This Row],[Public Funding from BR (IPK)]]</f>
        <v>0</v>
      </c>
      <c r="CC12" s="44">
        <f>Tabelle4[[#This Row],[In-kind Contribution (IPK)]]</f>
        <v>0</v>
      </c>
      <c r="CD12" s="47" t="e">
        <f>(Tabelle4[[#This Row],[Total Industry Funding (IPK)]] + Tabelle4[[#This Row],[Total Public Funding (IPK)]])/Tabelle4[[#This Row],[Total Project Volume (IPK)]]</f>
        <v>#DIV/0!</v>
      </c>
      <c r="CE12" s="47" t="e">
        <f>Tabelle4[[#This Row],[Total Industry Funding (IPK)]] / Tabelle4[[#This Row],[Total Project Volume (IPK)]]</f>
        <v>#DIV/0!</v>
      </c>
      <c r="CF12" s="44" t="str">
        <f>Tabelle4[[#This Row],[Project Funding Classification]]</f>
        <v>Industry</v>
      </c>
      <c r="CG12" s="44">
        <f>Tabelle4[[#This Row],[Industry Funding from DE (IPK)]]+Tabelle4[[#This Row],[Public Funding from DE (IPK)]]</f>
        <v>0</v>
      </c>
      <c r="CH12" s="46">
        <f>Tabelle4[[#This Row],[Industry Funding from BR (IPK)]]+Tabelle4[[#This Row],[Public Funding from BR (IPK)]]</f>
        <v>0</v>
      </c>
      <c r="CI12" s="44">
        <f>Tabelle4[[#This Row],[Industry Funding from DE (ITA)]]+Tabelle4[[#This Row],[Industry Funding from BR (ITA)]]+Tabelle4[[#This Row],[Public Funding from DE (ITA)]]+Tabelle4[[#This Row],[Public Funding from BR (ITA)]]</f>
        <v>0</v>
      </c>
      <c r="CJ12" s="44">
        <f>Tabelle4[[#This Row],[Industry Funding from DE (ITA)]]+Tabelle4[[#This Row],[Industry Funding from BR (ITA)]]</f>
        <v>0</v>
      </c>
      <c r="CK12" s="44">
        <f>Tabelle4[[#This Row],[Public Funding from DE (ITA)]]+Tabelle4[[#This Row],[Public Funding from BR (ITA)]]</f>
        <v>0</v>
      </c>
      <c r="CL12" s="47" t="e">
        <f>Tabelle4[[#This Row],[Total Industry Funding (ITA)]]/Tabelle4[[#This Row],[Total Project Volume (ITA)]]</f>
        <v>#DIV/0!</v>
      </c>
      <c r="CM12" s="33" t="e">
        <f>IF(Tabelle4[[#This Row],[Funding Ratio (ITA)]]&lt;0.5,"Public Funding","Industry")</f>
        <v>#DIV/0!</v>
      </c>
      <c r="CN12" s="44">
        <f>Tabelle4[[#This Row],[Industry Funding from DE (ITA)]]+Tabelle4[[#This Row],[Public Funding from DE (ITA)]]</f>
        <v>0</v>
      </c>
      <c r="CO12" s="46">
        <f>Tabelle4[[#This Row],[Industry Funding from BR (ITA)]]+Tabelle4[[#This Row],[Public Funding from BR (ITA)]]</f>
        <v>0</v>
      </c>
      <c r="CP12" s="44">
        <f>Tabelle4[[#This Row],[Total Project Volume (IPK)]]+Tabelle4[[#This Row],[Total Project Volume (ITA)]]</f>
        <v>0</v>
      </c>
      <c r="CQ12" s="44">
        <f>Tabelle4[[#This Row],[Total Industry Funding (IPK)]]+Tabelle4[[#This Row],[Total Industry Funding (ITA)]]</f>
        <v>0</v>
      </c>
      <c r="CR12" s="44">
        <f>Tabelle4[[#This Row],[Industry Funding from DE (IPK)]]+Tabelle4[[#This Row],[Industry Funding from DE (ITA)]]</f>
        <v>0</v>
      </c>
      <c r="CS12" s="44">
        <f>Tabelle4[[#This Row],[Industry Funding from BR (IPK)]]+Tabelle4[[#This Row],[Industry Funding from BR (ITA)]]</f>
        <v>0</v>
      </c>
      <c r="CT12" s="44">
        <f>Tabelle4[[#This Row],[Total Public Funding (IPK)]]+Tabelle4[[#This Row],[Total Public Funding (ITA)]]</f>
        <v>0</v>
      </c>
      <c r="CU12" s="44">
        <f>Tabelle4[[#This Row],[Public Funding from DE (IPK)]]+Tabelle4[[#This Row],[Public Funding from DE (ITA)]]</f>
        <v>0</v>
      </c>
      <c r="CV12" s="44">
        <f>Tabelle4[[#This Row],[Public Funding from BR (IPK)]]+Tabelle4[[#This Row],[Public Funding from BR (ITA)]]</f>
        <v>0</v>
      </c>
      <c r="CW12" s="44">
        <f>Tabelle4[[#This Row],[Industry Funding from DE (FPC)]]+Tabelle4[[#This Row],[Public Funding from DE (FPC)]]</f>
        <v>0</v>
      </c>
      <c r="CX12" s="46">
        <f>Tabelle4[[#This Row],[Industry Funding from BR (FPC)]]+Tabelle4[[#This Row],[Public Funding from BR (FPC)]]</f>
        <v>0</v>
      </c>
      <c r="CY12" s="44">
        <f>Tabelle4[[#This Row],[Total Financial Budget (Other)]]+Tabelle4[[#This Row],[Total In-kind Contribution (Other)]]</f>
        <v>0</v>
      </c>
      <c r="CZ1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2" s="44">
        <f>Tabelle4[[#This Row],[In-kind Contribution (R&amp;D III)]]+Tabelle4[[#This Row],[In-kind Contribution (R&amp;D IV)]]</f>
        <v>0</v>
      </c>
      <c r="DB12" s="158">
        <f>Tabelle4[[#This Row],[Total Budget (FPC)]]+Tabelle4[[#This Row],[Total Volume (Other)]]</f>
        <v>0</v>
      </c>
      <c r="DC12" s="104">
        <f>Tabelle4[[#This Row],[Total Revenues (IPK)]]</f>
        <v>0</v>
      </c>
      <c r="DD12" s="159"/>
      <c r="DE12" s="44">
        <f>Tabelle4[[#This Row],[Total Revenues IPK]]*Tabelle4[[#This Row],[Probability of Success]]</f>
        <v>0</v>
      </c>
      <c r="DL12" s="44">
        <f>Tabelle4[[#This Row],[Real Budget IPK]]*Tabelle4[[#This Row],[Acquisition Factor OE810]]</f>
        <v>0</v>
      </c>
      <c r="DN12" s="46">
        <f>Tabelle4[[#This Row],[Acquisition Bonus OE810]]+Tabelle4[[#This Row],[Project Execution OE810]]</f>
        <v>0</v>
      </c>
      <c r="XBY12" s="42"/>
      <c r="XCH12" s="59"/>
      <c r="XCK12" s="144"/>
      <c r="XCM12" s="59"/>
      <c r="XCN12" s="59"/>
      <c r="XCP12" s="59"/>
      <c r="XCQ12" s="59"/>
      <c r="XCR12" s="59"/>
      <c r="XCS12" s="59"/>
      <c r="XCT12" s="59"/>
      <c r="XCU12" s="59"/>
      <c r="XCV12" s="59"/>
      <c r="XCW12" s="59"/>
      <c r="XCX12" s="42"/>
      <c r="XCZ12" s="104"/>
      <c r="XDA12" s="104"/>
      <c r="XDB12" s="104"/>
      <c r="XDC12" s="104"/>
      <c r="XDD12" s="104"/>
      <c r="XDE12" s="42"/>
      <c r="XDH12" s="104"/>
      <c r="XDI12" s="104"/>
      <c r="XDJ12" s="104"/>
      <c r="XDK12" s="104"/>
      <c r="XDL12" s="104"/>
      <c r="XDN12" s="144"/>
      <c r="XDP12" s="59"/>
      <c r="XDQ12" s="59"/>
      <c r="XDS12" s="59"/>
      <c r="XDT12" s="59"/>
      <c r="XDU12" s="59"/>
      <c r="XDV12" s="59"/>
      <c r="XDW12" s="59"/>
      <c r="XDX12" s="59"/>
      <c r="XDY12" s="59"/>
      <c r="XDZ12" s="59"/>
      <c r="XEC12" s="104"/>
      <c r="XED12" s="104"/>
      <c r="XEE12" s="104"/>
      <c r="XEF12" s="104"/>
      <c r="XEG12" s="104"/>
      <c r="XEK12" s="104"/>
      <c r="XEL12" s="104"/>
      <c r="XEM12" s="104"/>
      <c r="XEN12" s="104"/>
      <c r="XEO12" s="104"/>
      <c r="XEQ12" s="104"/>
      <c r="XER12" s="104"/>
      <c r="XES12" s="104"/>
      <c r="XET12" s="104"/>
      <c r="XEU12" s="104"/>
      <c r="XEY12" s="104"/>
      <c r="XEZ12" s="104"/>
      <c r="XFA12" s="104"/>
      <c r="XFB12" s="104"/>
      <c r="XFC12" s="104"/>
    </row>
    <row r="13" spans="1:118 16301:16383" ht="38.25" customHeight="1" x14ac:dyDescent="0.45">
      <c r="A13" s="42" t="s">
        <v>819</v>
      </c>
      <c r="B13" s="33" t="s">
        <v>857</v>
      </c>
      <c r="C13" s="33" t="s">
        <v>820</v>
      </c>
      <c r="D13" s="33" t="s">
        <v>711</v>
      </c>
      <c r="E13" s="33">
        <v>1</v>
      </c>
      <c r="F13" s="33">
        <v>0</v>
      </c>
      <c r="G13" s="33" t="s">
        <v>2</v>
      </c>
      <c r="H13" s="33" t="s">
        <v>0</v>
      </c>
      <c r="J13" s="59">
        <v>44470</v>
      </c>
      <c r="K13" s="33" t="s">
        <v>241</v>
      </c>
      <c r="L13" s="33" t="s">
        <v>306</v>
      </c>
      <c r="Z13" s="42" t="str">
        <f t="shared" si="0"/>
        <v>IPK</v>
      </c>
      <c r="AB13" s="104"/>
      <c r="AC13" s="104"/>
      <c r="AD13" s="104"/>
      <c r="AE13" s="104"/>
      <c r="AF13" s="104"/>
      <c r="AG13" s="42" t="str">
        <f t="shared" si="1"/>
        <v>ITA</v>
      </c>
      <c r="AH13" s="33" t="s">
        <v>130</v>
      </c>
      <c r="AI13" s="33" t="s">
        <v>438</v>
      </c>
      <c r="AO13" s="42"/>
      <c r="AQ13" s="104"/>
      <c r="AR13" s="104"/>
      <c r="AS13" s="33"/>
      <c r="AT13" s="33"/>
      <c r="AU13" s="101"/>
      <c r="AV13" s="42"/>
      <c r="AX13" s="104"/>
      <c r="AY13" s="104"/>
      <c r="AZ13" s="104"/>
      <c r="BA13" s="104"/>
      <c r="BB13" s="104"/>
      <c r="BC13" s="42"/>
      <c r="BE13" s="104"/>
      <c r="BF13" s="101"/>
      <c r="BG13" s="42"/>
      <c r="BI13" s="104"/>
      <c r="BJ13" s="101"/>
      <c r="BK13" s="42"/>
      <c r="BM13" s="104"/>
      <c r="BN13" s="101"/>
      <c r="BO13" s="42"/>
      <c r="BQ13" s="104"/>
      <c r="BR13" s="101"/>
      <c r="BU13" s="101"/>
      <c r="BX13" s="101"/>
      <c r="BY13" s="44">
        <f>Tabelle4[[#This Row],[Industry Funding from DE (IPK)]]+Tabelle4[[#This Row],[Industry Funding from BR (IPK)]]+Tabelle4[[#This Row],[Public Funding from DE (IPK)]]+Tabelle4[[#This Row],[Public Funding from BR (IPK)]]+Tabelle4[[#This Row],[In-kind Contribution (IPK)]]</f>
        <v>0</v>
      </c>
      <c r="BZ13" s="44">
        <f>Tabelle4[[#This Row],[Industry Funding from DE (IPK)]]+Tabelle4[[#This Row],[Industry Funding from BR (IPK)]]+Tabelle4[[#This Row],[Public Funding from DE (IPK)]]+Tabelle4[[#This Row],[Public Funding from BR (IPK)]]</f>
        <v>0</v>
      </c>
      <c r="CA13" s="44">
        <f>Tabelle4[[#This Row],[Industry Funding from DE (IPK)]]+Tabelle4[[#This Row],[Industry Funding from BR (IPK)]]</f>
        <v>0</v>
      </c>
      <c r="CB13" s="44">
        <f>Tabelle4[[#This Row],[Public Funding from DE (IPK)]]+Tabelle4[[#This Row],[Public Funding from BR (IPK)]]</f>
        <v>0</v>
      </c>
      <c r="CC13" s="44">
        <f>Tabelle4[[#This Row],[In-kind Contribution (IPK)]]</f>
        <v>0</v>
      </c>
      <c r="CD13" s="47" t="e">
        <f>(Tabelle4[[#This Row],[Total Industry Funding (IPK)]] + Tabelle4[[#This Row],[Total Public Funding (IPK)]])/Tabelle4[[#This Row],[Total Project Volume (IPK)]]</f>
        <v>#DIV/0!</v>
      </c>
      <c r="CE13" s="47" t="e">
        <f>Tabelle4[[#This Row],[Total Industry Funding (IPK)]] / Tabelle4[[#This Row],[Total Project Volume (IPK)]]</f>
        <v>#DIV/0!</v>
      </c>
      <c r="CF13" s="44" t="str">
        <f>Tabelle4[[#This Row],[Project Funding Classification]]</f>
        <v>Industry</v>
      </c>
      <c r="CG13" s="44">
        <f>Tabelle4[[#This Row],[Industry Funding from DE (IPK)]]+Tabelle4[[#This Row],[Public Funding from DE (IPK)]]</f>
        <v>0</v>
      </c>
      <c r="CH13" s="46">
        <f>Tabelle4[[#This Row],[Industry Funding from BR (IPK)]]+Tabelle4[[#This Row],[Public Funding from BR (IPK)]]</f>
        <v>0</v>
      </c>
      <c r="CI13" s="44">
        <f>Tabelle4[[#This Row],[Industry Funding from DE (ITA)]]+Tabelle4[[#This Row],[Industry Funding from BR (ITA)]]+Tabelle4[[#This Row],[Public Funding from DE (ITA)]]+Tabelle4[[#This Row],[Public Funding from BR (ITA)]]</f>
        <v>0</v>
      </c>
      <c r="CJ13" s="44">
        <f>Tabelle4[[#This Row],[Industry Funding from DE (ITA)]]+Tabelle4[[#This Row],[Industry Funding from BR (ITA)]]</f>
        <v>0</v>
      </c>
      <c r="CK13" s="44">
        <f>Tabelle4[[#This Row],[Public Funding from DE (ITA)]]+Tabelle4[[#This Row],[Public Funding from BR (ITA)]]</f>
        <v>0</v>
      </c>
      <c r="CL13" s="47" t="e">
        <f>Tabelle4[[#This Row],[Total Industry Funding (ITA)]]/Tabelle4[[#This Row],[Total Project Volume (ITA)]]</f>
        <v>#DIV/0!</v>
      </c>
      <c r="CM13" s="33" t="e">
        <f>IF(Tabelle4[[#This Row],[Funding Ratio (ITA)]]&lt;0.5,"Public Funding","Industry")</f>
        <v>#DIV/0!</v>
      </c>
      <c r="CN13" s="44">
        <f>Tabelle4[[#This Row],[Industry Funding from DE (ITA)]]+Tabelle4[[#This Row],[Public Funding from DE (ITA)]]</f>
        <v>0</v>
      </c>
      <c r="CO13" s="46">
        <f>Tabelle4[[#This Row],[Industry Funding from BR (ITA)]]+Tabelle4[[#This Row],[Public Funding from BR (ITA)]]</f>
        <v>0</v>
      </c>
      <c r="CP13" s="44">
        <f>Tabelle4[[#This Row],[Total Project Volume (IPK)]]+Tabelle4[[#This Row],[Total Project Volume (ITA)]]</f>
        <v>0</v>
      </c>
      <c r="CQ13" s="44">
        <f>Tabelle4[[#This Row],[Total Industry Funding (IPK)]]+Tabelle4[[#This Row],[Total Industry Funding (ITA)]]</f>
        <v>0</v>
      </c>
      <c r="CR13" s="44">
        <f>Tabelle4[[#This Row],[Industry Funding from DE (IPK)]]+Tabelle4[[#This Row],[Industry Funding from DE (ITA)]]</f>
        <v>0</v>
      </c>
      <c r="CS13" s="44">
        <f>Tabelle4[[#This Row],[Industry Funding from BR (IPK)]]+Tabelle4[[#This Row],[Industry Funding from BR (ITA)]]</f>
        <v>0</v>
      </c>
      <c r="CT13" s="44">
        <f>Tabelle4[[#This Row],[Total Public Funding (IPK)]]+Tabelle4[[#This Row],[Total Public Funding (ITA)]]</f>
        <v>0</v>
      </c>
      <c r="CU13" s="44">
        <f>Tabelle4[[#This Row],[Public Funding from DE (IPK)]]+Tabelle4[[#This Row],[Public Funding from DE (ITA)]]</f>
        <v>0</v>
      </c>
      <c r="CV13" s="44">
        <f>Tabelle4[[#This Row],[Public Funding from BR (IPK)]]+Tabelle4[[#This Row],[Public Funding from BR (ITA)]]</f>
        <v>0</v>
      </c>
      <c r="CW13" s="44">
        <f>Tabelle4[[#This Row],[Industry Funding from DE (FPC)]]+Tabelle4[[#This Row],[Public Funding from DE (FPC)]]</f>
        <v>0</v>
      </c>
      <c r="CX13" s="46">
        <f>Tabelle4[[#This Row],[Industry Funding from BR (FPC)]]+Tabelle4[[#This Row],[Public Funding from BR (FPC)]]</f>
        <v>0</v>
      </c>
      <c r="CY13" s="44">
        <f>Tabelle4[[#This Row],[Total Financial Budget (Other)]]+Tabelle4[[#This Row],[Total In-kind Contribution (Other)]]</f>
        <v>0</v>
      </c>
      <c r="CZ1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3" s="44">
        <f>Tabelle4[[#This Row],[In-kind Contribution (R&amp;D III)]]+Tabelle4[[#This Row],[In-kind Contribution (R&amp;D IV)]]</f>
        <v>0</v>
      </c>
      <c r="DB13" s="158">
        <f>Tabelle4[[#This Row],[Total Budget (FPC)]]+Tabelle4[[#This Row],[Total Volume (Other)]]</f>
        <v>0</v>
      </c>
      <c r="DC13" s="104">
        <f>Tabelle4[[#This Row],[Total Revenues (IPK)]]</f>
        <v>0</v>
      </c>
      <c r="DD13" s="159"/>
      <c r="DE13" s="44">
        <f>Tabelle4[[#This Row],[Total Revenues IPK]]*Tabelle4[[#This Row],[Probability of Success]]</f>
        <v>0</v>
      </c>
      <c r="DL13" s="44">
        <f>Tabelle4[[#This Row],[Real Budget IPK]]*Tabelle4[[#This Row],[Acquisition Factor OE810]]</f>
        <v>0</v>
      </c>
      <c r="DN13" s="46">
        <f>Tabelle4[[#This Row],[Acquisition Bonus OE810]]+Tabelle4[[#This Row],[Project Execution OE810]]</f>
        <v>0</v>
      </c>
      <c r="XBY13" s="42"/>
      <c r="XCH13" s="59"/>
      <c r="XCK13" s="144"/>
      <c r="XCM13" s="59"/>
      <c r="XCN13" s="59"/>
      <c r="XCP13" s="59"/>
      <c r="XCQ13" s="59"/>
      <c r="XCR13" s="59"/>
      <c r="XCS13" s="59"/>
      <c r="XCT13" s="59"/>
      <c r="XCU13" s="59"/>
      <c r="XCV13" s="59"/>
      <c r="XCW13" s="59"/>
      <c r="XCX13" s="42"/>
      <c r="XCZ13" s="104"/>
      <c r="XDA13" s="104"/>
      <c r="XDB13" s="104"/>
      <c r="XDC13" s="104"/>
      <c r="XDD13" s="104"/>
      <c r="XDE13" s="42"/>
      <c r="XDH13" s="104"/>
      <c r="XDI13" s="104"/>
      <c r="XDJ13" s="104"/>
      <c r="XDK13" s="104"/>
      <c r="XDL13" s="104"/>
      <c r="XDN13" s="144"/>
      <c r="XDP13" s="59"/>
      <c r="XDQ13" s="59"/>
      <c r="XDS13" s="59"/>
      <c r="XDT13" s="59"/>
      <c r="XDU13" s="59"/>
      <c r="XDV13" s="59"/>
      <c r="XDW13" s="59"/>
      <c r="XDX13" s="59"/>
      <c r="XDY13" s="59"/>
      <c r="XDZ13" s="59"/>
      <c r="XEC13" s="104"/>
      <c r="XED13" s="104"/>
      <c r="XEE13" s="104"/>
      <c r="XEF13" s="104"/>
      <c r="XEG13" s="104"/>
      <c r="XEK13" s="104"/>
      <c r="XEL13" s="104"/>
      <c r="XEM13" s="104"/>
      <c r="XEN13" s="104"/>
      <c r="XEO13" s="104"/>
      <c r="XEQ13" s="104"/>
      <c r="XER13" s="104"/>
      <c r="XES13" s="104"/>
      <c r="XET13" s="104"/>
      <c r="XEU13" s="104"/>
      <c r="XEY13" s="104"/>
      <c r="XEZ13" s="104"/>
      <c r="XFA13" s="104"/>
      <c r="XFB13" s="104"/>
      <c r="XFC13" s="104"/>
    </row>
    <row r="14" spans="1:118 16301:16383" ht="27.75" x14ac:dyDescent="0.45">
      <c r="A14" s="42" t="s">
        <v>817</v>
      </c>
      <c r="C14" s="33" t="s">
        <v>157</v>
      </c>
      <c r="D14" s="33" t="s">
        <v>711</v>
      </c>
      <c r="G14" s="33" t="s">
        <v>97</v>
      </c>
      <c r="H14" s="33" t="s">
        <v>96</v>
      </c>
      <c r="J14" s="59">
        <v>44435</v>
      </c>
      <c r="K14" s="33" t="s">
        <v>244</v>
      </c>
      <c r="L14" s="33" t="s">
        <v>651</v>
      </c>
      <c r="M14" s="144">
        <v>6.29</v>
      </c>
      <c r="S14" s="59">
        <v>44435</v>
      </c>
      <c r="W14" s="59">
        <v>44531</v>
      </c>
      <c r="Z14" s="42" t="str">
        <f t="shared" ref="Z14:Z19" si="2">"IPK"</f>
        <v>IPK</v>
      </c>
      <c r="AA14" s="33" t="s">
        <v>818</v>
      </c>
      <c r="AB14" s="104"/>
      <c r="AC14" s="104"/>
      <c r="AD14" s="104"/>
      <c r="AE14" s="104">
        <v>10000</v>
      </c>
      <c r="AF14" s="104">
        <v>7160</v>
      </c>
      <c r="AG14" s="42" t="str">
        <f t="shared" ref="AG14:AG19" si="3">"ITA"</f>
        <v>ITA</v>
      </c>
      <c r="AH14" s="33" t="s">
        <v>130</v>
      </c>
      <c r="AO14" s="42"/>
      <c r="AQ14" s="104"/>
      <c r="AR14" s="104"/>
      <c r="AS14" s="33"/>
      <c r="AT14" s="33"/>
      <c r="AU14" s="101"/>
      <c r="AV14" s="42"/>
      <c r="AX14" s="104"/>
      <c r="AY14" s="104"/>
      <c r="AZ14" s="104"/>
      <c r="BA14" s="104"/>
      <c r="BB14" s="104"/>
      <c r="BC14" s="42"/>
      <c r="BE14" s="104"/>
      <c r="BF14" s="101"/>
      <c r="BG14" s="42"/>
      <c r="BI14" s="104"/>
      <c r="BJ14" s="101"/>
      <c r="BK14" s="42"/>
      <c r="BM14" s="104"/>
      <c r="BN14" s="101"/>
      <c r="BO14" s="42"/>
      <c r="BQ14" s="104"/>
      <c r="BR14" s="101"/>
      <c r="BS14" s="33" t="s">
        <v>157</v>
      </c>
      <c r="BT14" s="33" t="s">
        <v>296</v>
      </c>
      <c r="BU14" s="101">
        <v>10000</v>
      </c>
      <c r="BX14" s="101"/>
      <c r="BY14" s="44">
        <f>Tabelle4[[#This Row],[Industry Funding from DE (IPK)]]+Tabelle4[[#This Row],[Industry Funding from BR (IPK)]]+Tabelle4[[#This Row],[Public Funding from DE (IPK)]]+Tabelle4[[#This Row],[Public Funding from BR (IPK)]]+Tabelle4[[#This Row],[In-kind Contribution (IPK)]]</f>
        <v>17160</v>
      </c>
      <c r="BZ14" s="44">
        <f>Tabelle4[[#This Row],[Industry Funding from DE (IPK)]]+Tabelle4[[#This Row],[Industry Funding from BR (IPK)]]+Tabelle4[[#This Row],[Public Funding from DE (IPK)]]+Tabelle4[[#This Row],[Public Funding from BR (IPK)]]</f>
        <v>10000</v>
      </c>
      <c r="CA14" s="44">
        <f>Tabelle4[[#This Row],[Industry Funding from DE (IPK)]]+Tabelle4[[#This Row],[Industry Funding from BR (IPK)]]</f>
        <v>0</v>
      </c>
      <c r="CB14" s="44">
        <f>Tabelle4[[#This Row],[Public Funding from DE (IPK)]]+Tabelle4[[#This Row],[Public Funding from BR (IPK)]]</f>
        <v>10000</v>
      </c>
      <c r="CC14" s="44">
        <f>Tabelle4[[#This Row],[In-kind Contribution (IPK)]]</f>
        <v>7160</v>
      </c>
      <c r="CD14" s="47">
        <f>(Tabelle4[[#This Row],[Total Industry Funding (IPK)]] + Tabelle4[[#This Row],[Total Public Funding (IPK)]])/Tabelle4[[#This Row],[Total Project Volume (IPK)]]</f>
        <v>0.58275058275058278</v>
      </c>
      <c r="CE14" s="47">
        <f>Tabelle4[[#This Row],[Total Industry Funding (IPK)]] / Tabelle4[[#This Row],[Total Project Volume (IPK)]]</f>
        <v>0</v>
      </c>
      <c r="CF14" s="44" t="str">
        <f>Tabelle4[[#This Row],[Project Funding Classification]]</f>
        <v>Public Funding</v>
      </c>
      <c r="CG14" s="44">
        <f>Tabelle4[[#This Row],[Industry Funding from DE (IPK)]]+Tabelle4[[#This Row],[Public Funding from DE (IPK)]]</f>
        <v>0</v>
      </c>
      <c r="CH14" s="46">
        <f>Tabelle4[[#This Row],[Industry Funding from BR (IPK)]]+Tabelle4[[#This Row],[Public Funding from BR (IPK)]]</f>
        <v>10000</v>
      </c>
      <c r="CI14" s="44">
        <f>Tabelle4[[#This Row],[Industry Funding from DE (ITA)]]+Tabelle4[[#This Row],[Industry Funding from BR (ITA)]]+Tabelle4[[#This Row],[Public Funding from DE (ITA)]]+Tabelle4[[#This Row],[Public Funding from BR (ITA)]]</f>
        <v>0</v>
      </c>
      <c r="CJ14" s="44">
        <f>Tabelle4[[#This Row],[Industry Funding from DE (ITA)]]+Tabelle4[[#This Row],[Industry Funding from BR (ITA)]]</f>
        <v>0</v>
      </c>
      <c r="CK14" s="44">
        <f>Tabelle4[[#This Row],[Public Funding from DE (ITA)]]+Tabelle4[[#This Row],[Public Funding from BR (ITA)]]</f>
        <v>0</v>
      </c>
      <c r="CL14" s="47" t="e">
        <f>Tabelle4[[#This Row],[Total Industry Funding (ITA)]]/Tabelle4[[#This Row],[Total Project Volume (ITA)]]</f>
        <v>#DIV/0!</v>
      </c>
      <c r="CM14" s="33" t="e">
        <f>IF(Tabelle4[[#This Row],[Funding Ratio (ITA)]]&lt;0.5,"Public Funding","Industry")</f>
        <v>#DIV/0!</v>
      </c>
      <c r="CN14" s="44">
        <f>Tabelle4[[#This Row],[Industry Funding from DE (ITA)]]+Tabelle4[[#This Row],[Public Funding from DE (ITA)]]</f>
        <v>0</v>
      </c>
      <c r="CO14" s="46">
        <f>Tabelle4[[#This Row],[Industry Funding from BR (ITA)]]+Tabelle4[[#This Row],[Public Funding from BR (ITA)]]</f>
        <v>0</v>
      </c>
      <c r="CP14" s="44">
        <f>Tabelle4[[#This Row],[Total Project Volume (IPK)]]+Tabelle4[[#This Row],[Total Project Volume (ITA)]]</f>
        <v>17160</v>
      </c>
      <c r="CQ14" s="44">
        <f>Tabelle4[[#This Row],[Total Industry Funding (IPK)]]+Tabelle4[[#This Row],[Total Industry Funding (ITA)]]</f>
        <v>0</v>
      </c>
      <c r="CR14" s="44">
        <f>Tabelle4[[#This Row],[Industry Funding from DE (IPK)]]+Tabelle4[[#This Row],[Industry Funding from DE (ITA)]]</f>
        <v>0</v>
      </c>
      <c r="CS14" s="44">
        <f>Tabelle4[[#This Row],[Industry Funding from BR (IPK)]]+Tabelle4[[#This Row],[Industry Funding from BR (ITA)]]</f>
        <v>0</v>
      </c>
      <c r="CT14" s="44">
        <f>Tabelle4[[#This Row],[Total Public Funding (IPK)]]+Tabelle4[[#This Row],[Total Public Funding (ITA)]]</f>
        <v>10000</v>
      </c>
      <c r="CU14" s="44">
        <f>Tabelle4[[#This Row],[Public Funding from DE (IPK)]]+Tabelle4[[#This Row],[Public Funding from DE (ITA)]]</f>
        <v>0</v>
      </c>
      <c r="CV14" s="44">
        <f>Tabelle4[[#This Row],[Public Funding from BR (IPK)]]+Tabelle4[[#This Row],[Public Funding from BR (ITA)]]</f>
        <v>10000</v>
      </c>
      <c r="CW14" s="44">
        <f>Tabelle4[[#This Row],[Industry Funding from DE (FPC)]]+Tabelle4[[#This Row],[Public Funding from DE (FPC)]]</f>
        <v>0</v>
      </c>
      <c r="CX14" s="46">
        <f>Tabelle4[[#This Row],[Industry Funding from BR (FPC)]]+Tabelle4[[#This Row],[Public Funding from BR (FPC)]]</f>
        <v>10000</v>
      </c>
      <c r="CY14" s="44">
        <f>Tabelle4[[#This Row],[Total Financial Budget (Other)]]+Tabelle4[[#This Row],[Total In-kind Contribution (Other)]]</f>
        <v>0</v>
      </c>
      <c r="CZ1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4" s="44">
        <f>Tabelle4[[#This Row],[In-kind Contribution (R&amp;D III)]]+Tabelle4[[#This Row],[In-kind Contribution (R&amp;D IV)]]</f>
        <v>0</v>
      </c>
      <c r="DB14" s="158">
        <f>Tabelle4[[#This Row],[Total Budget (FPC)]]+Tabelle4[[#This Row],[Total Volume (Other)]]</f>
        <v>17160</v>
      </c>
      <c r="DC14" s="104">
        <f>Tabelle4[[#This Row],[Total Revenues (IPK)]]</f>
        <v>10000</v>
      </c>
      <c r="DD14" s="159">
        <v>1</v>
      </c>
      <c r="DE14" s="44">
        <f>Tabelle4[[#This Row],[Total Revenues IPK]]*Tabelle4[[#This Row],[Probability of Success]]</f>
        <v>10000</v>
      </c>
      <c r="DH14" s="44">
        <v>3500</v>
      </c>
      <c r="DL14" s="44">
        <f>Tabelle4[[#This Row],[Real Budget IPK]]*Tabelle4[[#This Row],[Acquisition Factor OE810]]</f>
        <v>0</v>
      </c>
      <c r="DM14" s="44">
        <v>6500</v>
      </c>
      <c r="DN14" s="46">
        <f>Tabelle4[[#This Row],[Acquisition Bonus OE810]]+Tabelle4[[#This Row],[Project Execution OE810]]</f>
        <v>6500</v>
      </c>
      <c r="XBY14" s="42"/>
      <c r="XCH14" s="59"/>
      <c r="XCK14" s="144"/>
      <c r="XCM14" s="59"/>
      <c r="XCN14" s="59"/>
      <c r="XCP14" s="59"/>
      <c r="XCQ14" s="59"/>
      <c r="XCR14" s="59"/>
      <c r="XCS14" s="59"/>
      <c r="XCT14" s="59"/>
      <c r="XCU14" s="59"/>
      <c r="XCV14" s="59"/>
      <c r="XCW14" s="59"/>
      <c r="XCX14" s="42"/>
      <c r="XCZ14" s="104"/>
      <c r="XDA14" s="104"/>
      <c r="XDB14" s="104"/>
      <c r="XDC14" s="104"/>
      <c r="XDD14" s="104"/>
      <c r="XDE14" s="42"/>
      <c r="XDH14" s="104"/>
      <c r="XDI14" s="104"/>
      <c r="XDJ14" s="104"/>
      <c r="XDK14" s="104"/>
      <c r="XDL14" s="104"/>
      <c r="XDN14" s="144"/>
      <c r="XDP14" s="59"/>
      <c r="XDQ14" s="59"/>
      <c r="XDS14" s="59"/>
      <c r="XDT14" s="59"/>
      <c r="XDU14" s="59"/>
      <c r="XDV14" s="59"/>
      <c r="XDW14" s="59"/>
      <c r="XDX14" s="59"/>
      <c r="XDY14" s="59"/>
      <c r="XDZ14" s="59"/>
      <c r="XEC14" s="104"/>
      <c r="XED14" s="104"/>
      <c r="XEE14" s="104"/>
      <c r="XEF14" s="104"/>
      <c r="XEG14" s="104"/>
      <c r="XEK14" s="104"/>
      <c r="XEL14" s="104"/>
      <c r="XEM14" s="104"/>
      <c r="XEN14" s="104"/>
      <c r="XEO14" s="104"/>
      <c r="XEQ14" s="104"/>
      <c r="XER14" s="104"/>
      <c r="XES14" s="104"/>
      <c r="XET14" s="104"/>
      <c r="XEU14" s="104"/>
      <c r="XEY14" s="104"/>
      <c r="XEZ14" s="104"/>
      <c r="XFA14" s="104"/>
      <c r="XFB14" s="104"/>
      <c r="XFC14" s="104"/>
    </row>
    <row r="15" spans="1:118 16301:16383" ht="41.65" x14ac:dyDescent="0.45">
      <c r="A15" s="42" t="s">
        <v>810</v>
      </c>
      <c r="B15" s="33" t="s">
        <v>811</v>
      </c>
      <c r="C15" s="33" t="s">
        <v>812</v>
      </c>
      <c r="D15" s="33" t="s">
        <v>706</v>
      </c>
      <c r="E15" s="33">
        <v>2</v>
      </c>
      <c r="F15" s="33">
        <v>1</v>
      </c>
      <c r="G15" s="33" t="s">
        <v>1</v>
      </c>
      <c r="H15" s="33" t="s">
        <v>0</v>
      </c>
      <c r="I15" s="33" t="s">
        <v>813</v>
      </c>
      <c r="J15" s="59">
        <v>44442</v>
      </c>
      <c r="K15" s="33" t="s">
        <v>242</v>
      </c>
      <c r="M15" s="144">
        <v>6.29</v>
      </c>
      <c r="Q15" s="33">
        <v>2</v>
      </c>
      <c r="S15" s="59">
        <v>44442</v>
      </c>
      <c r="U15" s="59">
        <v>44452</v>
      </c>
      <c r="Z15" s="42" t="str">
        <f t="shared" si="2"/>
        <v>IPK</v>
      </c>
      <c r="AA15" s="33" t="s">
        <v>459</v>
      </c>
      <c r="AB15" s="104"/>
      <c r="AC15" s="104">
        <v>8000</v>
      </c>
      <c r="AD15" s="104"/>
      <c r="AE15" s="104"/>
      <c r="AF15" s="104"/>
      <c r="AG15" s="42" t="str">
        <f t="shared" si="3"/>
        <v>ITA</v>
      </c>
      <c r="AO15" s="42" t="s">
        <v>815</v>
      </c>
      <c r="AP15" s="33" t="s">
        <v>816</v>
      </c>
      <c r="AQ15" s="104"/>
      <c r="AR15" s="104"/>
      <c r="AS15" s="33"/>
      <c r="AT15" s="33"/>
      <c r="AU15" s="101"/>
      <c r="AV15" s="42"/>
      <c r="AX15" s="104"/>
      <c r="AY15" s="104"/>
      <c r="AZ15" s="104"/>
      <c r="BA15" s="104"/>
      <c r="BB15" s="104"/>
      <c r="BC15" s="42" t="s">
        <v>812</v>
      </c>
      <c r="BD15" s="33" t="s">
        <v>814</v>
      </c>
      <c r="BE15" s="104"/>
      <c r="BF15" s="101"/>
      <c r="BG15" s="42"/>
      <c r="BI15" s="104"/>
      <c r="BJ15" s="101"/>
      <c r="BK15" s="42"/>
      <c r="BM15" s="104"/>
      <c r="BN15" s="101"/>
      <c r="BO15" s="42"/>
      <c r="BQ15" s="104"/>
      <c r="BR15" s="101"/>
      <c r="BU15" s="101"/>
      <c r="BX15" s="101"/>
      <c r="BY15" s="44">
        <f>Tabelle4[[#This Row],[Industry Funding from DE (IPK)]]+Tabelle4[[#This Row],[Industry Funding from BR (IPK)]]+Tabelle4[[#This Row],[Public Funding from DE (IPK)]]+Tabelle4[[#This Row],[Public Funding from BR (IPK)]]+Tabelle4[[#This Row],[In-kind Contribution (IPK)]]</f>
        <v>8000</v>
      </c>
      <c r="BZ15" s="44">
        <f>Tabelle4[[#This Row],[Industry Funding from DE (IPK)]]+Tabelle4[[#This Row],[Industry Funding from BR (IPK)]]+Tabelle4[[#This Row],[Public Funding from DE (IPK)]]+Tabelle4[[#This Row],[Public Funding from BR (IPK)]]</f>
        <v>8000</v>
      </c>
      <c r="CA15" s="44">
        <f>Tabelle4[[#This Row],[Industry Funding from DE (IPK)]]+Tabelle4[[#This Row],[Industry Funding from BR (IPK)]]</f>
        <v>8000</v>
      </c>
      <c r="CB15" s="44">
        <f>Tabelle4[[#This Row],[Public Funding from DE (IPK)]]+Tabelle4[[#This Row],[Public Funding from BR (IPK)]]</f>
        <v>0</v>
      </c>
      <c r="CC15" s="44">
        <f>Tabelle4[[#This Row],[In-kind Contribution (IPK)]]</f>
        <v>0</v>
      </c>
      <c r="CD15" s="47">
        <f>(Tabelle4[[#This Row],[Total Industry Funding (IPK)]] + Tabelle4[[#This Row],[Total Public Funding (IPK)]])/Tabelle4[[#This Row],[Total Project Volume (IPK)]]</f>
        <v>1</v>
      </c>
      <c r="CE15" s="47">
        <f>Tabelle4[[#This Row],[Total Industry Funding (IPK)]] / Tabelle4[[#This Row],[Total Project Volume (IPK)]]</f>
        <v>1</v>
      </c>
      <c r="CF15" s="44" t="str">
        <f>Tabelle4[[#This Row],[Project Funding Classification]]</f>
        <v>Industry</v>
      </c>
      <c r="CG15" s="44">
        <f>Tabelle4[[#This Row],[Industry Funding from DE (IPK)]]+Tabelle4[[#This Row],[Public Funding from DE (IPK)]]</f>
        <v>0</v>
      </c>
      <c r="CH15" s="46">
        <f>Tabelle4[[#This Row],[Industry Funding from BR (IPK)]]+Tabelle4[[#This Row],[Public Funding from BR (IPK)]]</f>
        <v>8000</v>
      </c>
      <c r="CI15" s="44">
        <f>Tabelle4[[#This Row],[Industry Funding from DE (ITA)]]+Tabelle4[[#This Row],[Industry Funding from BR (ITA)]]+Tabelle4[[#This Row],[Public Funding from DE (ITA)]]+Tabelle4[[#This Row],[Public Funding from BR (ITA)]]</f>
        <v>0</v>
      </c>
      <c r="CJ15" s="44">
        <f>Tabelle4[[#This Row],[Industry Funding from DE (ITA)]]+Tabelle4[[#This Row],[Industry Funding from BR (ITA)]]</f>
        <v>0</v>
      </c>
      <c r="CK15" s="44">
        <f>Tabelle4[[#This Row],[Public Funding from DE (ITA)]]+Tabelle4[[#This Row],[Public Funding from BR (ITA)]]</f>
        <v>0</v>
      </c>
      <c r="CL15" s="47" t="e">
        <f>Tabelle4[[#This Row],[Total Industry Funding (ITA)]]/Tabelle4[[#This Row],[Total Project Volume (ITA)]]</f>
        <v>#DIV/0!</v>
      </c>
      <c r="CM15" s="33" t="e">
        <f>IF(Tabelle4[[#This Row],[Funding Ratio (ITA)]]&lt;0.5,"Public Funding","Industry")</f>
        <v>#DIV/0!</v>
      </c>
      <c r="CN15" s="44">
        <f>Tabelle4[[#This Row],[Industry Funding from DE (ITA)]]+Tabelle4[[#This Row],[Public Funding from DE (ITA)]]</f>
        <v>0</v>
      </c>
      <c r="CO15" s="46">
        <f>Tabelle4[[#This Row],[Industry Funding from BR (ITA)]]+Tabelle4[[#This Row],[Public Funding from BR (ITA)]]</f>
        <v>0</v>
      </c>
      <c r="CP15" s="44">
        <f>Tabelle4[[#This Row],[Total Project Volume (IPK)]]+Tabelle4[[#This Row],[Total Project Volume (ITA)]]</f>
        <v>8000</v>
      </c>
      <c r="CQ15" s="44">
        <f>Tabelle4[[#This Row],[Total Industry Funding (IPK)]]+Tabelle4[[#This Row],[Total Industry Funding (ITA)]]</f>
        <v>8000</v>
      </c>
      <c r="CR15" s="44">
        <f>Tabelle4[[#This Row],[Industry Funding from DE (IPK)]]+Tabelle4[[#This Row],[Industry Funding from DE (ITA)]]</f>
        <v>0</v>
      </c>
      <c r="CS15" s="44">
        <f>Tabelle4[[#This Row],[Industry Funding from BR (IPK)]]+Tabelle4[[#This Row],[Industry Funding from BR (ITA)]]</f>
        <v>8000</v>
      </c>
      <c r="CT15" s="44">
        <f>Tabelle4[[#This Row],[Total Public Funding (IPK)]]+Tabelle4[[#This Row],[Total Public Funding (ITA)]]</f>
        <v>0</v>
      </c>
      <c r="CU15" s="44">
        <f>Tabelle4[[#This Row],[Public Funding from DE (IPK)]]+Tabelle4[[#This Row],[Public Funding from DE (ITA)]]</f>
        <v>0</v>
      </c>
      <c r="CV15" s="44">
        <f>Tabelle4[[#This Row],[Public Funding from BR (IPK)]]+Tabelle4[[#This Row],[Public Funding from BR (ITA)]]</f>
        <v>0</v>
      </c>
      <c r="CW15" s="44">
        <f>Tabelle4[[#This Row],[Industry Funding from DE (FPC)]]+Tabelle4[[#This Row],[Public Funding from DE (FPC)]]</f>
        <v>0</v>
      </c>
      <c r="CX15" s="46">
        <f>Tabelle4[[#This Row],[Industry Funding from BR (FPC)]]+Tabelle4[[#This Row],[Public Funding from BR (FPC)]]</f>
        <v>8000</v>
      </c>
      <c r="CY15" s="44">
        <f>Tabelle4[[#This Row],[Total Financial Budget (Other)]]+Tabelle4[[#This Row],[Total In-kind Contribution (Other)]]</f>
        <v>0</v>
      </c>
      <c r="CZ1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5" s="44">
        <f>Tabelle4[[#This Row],[In-kind Contribution (R&amp;D III)]]+Tabelle4[[#This Row],[In-kind Contribution (R&amp;D IV)]]</f>
        <v>0</v>
      </c>
      <c r="DB15" s="158">
        <f>Tabelle4[[#This Row],[Total Budget (FPC)]]+Tabelle4[[#This Row],[Total Volume (Other)]]</f>
        <v>8000</v>
      </c>
      <c r="DC15" s="104">
        <f>Tabelle4[[#This Row],[Total Revenues (IPK)]]</f>
        <v>8000</v>
      </c>
      <c r="DD15" s="159">
        <v>0.1</v>
      </c>
      <c r="DE15" s="44">
        <f>Tabelle4[[#This Row],[Total Revenues IPK]]*Tabelle4[[#This Row],[Probability of Success]]</f>
        <v>800</v>
      </c>
      <c r="DK15" s="47">
        <v>0.2</v>
      </c>
      <c r="DL15" s="44">
        <f>Tabelle4[[#This Row],[Real Budget IPK]]*Tabelle4[[#This Row],[Acquisition Factor OE810]]</f>
        <v>160</v>
      </c>
      <c r="DN15" s="46">
        <f>Tabelle4[[#This Row],[Acquisition Bonus OE810]]+Tabelle4[[#This Row],[Project Execution OE810]]</f>
        <v>160</v>
      </c>
      <c r="XBY15" s="42"/>
      <c r="XCH15" s="59"/>
      <c r="XCK15" s="144"/>
      <c r="XCM15" s="59"/>
      <c r="XCN15" s="59"/>
      <c r="XCP15" s="59"/>
      <c r="XCQ15" s="59"/>
      <c r="XCR15" s="59"/>
      <c r="XCS15" s="59"/>
      <c r="XCT15" s="59"/>
      <c r="XCU15" s="59"/>
      <c r="XCV15" s="59"/>
      <c r="XCW15" s="59"/>
      <c r="XCX15" s="42"/>
      <c r="XCZ15" s="104"/>
      <c r="XDA15" s="104"/>
      <c r="XDB15" s="104"/>
      <c r="XDC15" s="104"/>
      <c r="XDD15" s="104"/>
      <c r="XDE15" s="42"/>
      <c r="XDH15" s="104"/>
      <c r="XDI15" s="104"/>
      <c r="XDJ15" s="104"/>
      <c r="XDK15" s="104"/>
      <c r="XDL15" s="104"/>
      <c r="XDN15" s="144"/>
      <c r="XDP15" s="59"/>
      <c r="XDQ15" s="59"/>
      <c r="XDS15" s="59"/>
      <c r="XDT15" s="59"/>
      <c r="XDU15" s="59"/>
      <c r="XDV15" s="59"/>
      <c r="XDW15" s="59"/>
      <c r="XDX15" s="59"/>
      <c r="XDY15" s="59"/>
      <c r="XDZ15" s="59"/>
      <c r="XEC15" s="104"/>
      <c r="XED15" s="104"/>
      <c r="XEE15" s="104"/>
      <c r="XEF15" s="104"/>
      <c r="XEG15" s="104"/>
      <c r="XEK15" s="104"/>
      <c r="XEL15" s="104"/>
      <c r="XEM15" s="104"/>
      <c r="XEN15" s="104"/>
      <c r="XEO15" s="104"/>
      <c r="XEQ15" s="104"/>
      <c r="XER15" s="104"/>
      <c r="XES15" s="104"/>
      <c r="XET15" s="104"/>
      <c r="XEU15" s="104"/>
      <c r="XEY15" s="104"/>
      <c r="XEZ15" s="104"/>
      <c r="XFA15" s="104"/>
      <c r="XFB15" s="104"/>
      <c r="XFC15" s="104"/>
    </row>
    <row r="16" spans="1:118 16301:16383" ht="41.65" x14ac:dyDescent="0.45">
      <c r="A16" s="42" t="s">
        <v>804</v>
      </c>
      <c r="B16" s="33" t="s">
        <v>805</v>
      </c>
      <c r="C16" s="33" t="s">
        <v>163</v>
      </c>
      <c r="D16" s="33" t="s">
        <v>709</v>
      </c>
      <c r="E16" s="33">
        <v>8</v>
      </c>
      <c r="F16" s="33">
        <v>8</v>
      </c>
      <c r="G16" s="33" t="s">
        <v>1</v>
      </c>
      <c r="H16" s="33" t="s">
        <v>0</v>
      </c>
      <c r="I16" s="33" t="s">
        <v>806</v>
      </c>
      <c r="J16" s="59">
        <v>44307</v>
      </c>
      <c r="K16" s="33" t="s">
        <v>243</v>
      </c>
      <c r="M16" s="144">
        <v>6.29</v>
      </c>
      <c r="N16" s="33" t="s">
        <v>648</v>
      </c>
      <c r="Q16" s="33">
        <v>24</v>
      </c>
      <c r="S16" s="59">
        <v>44307</v>
      </c>
      <c r="U16" s="59">
        <v>44440</v>
      </c>
      <c r="Z16" s="42" t="str">
        <f t="shared" si="2"/>
        <v>IPK</v>
      </c>
      <c r="AA16" s="33" t="s">
        <v>459</v>
      </c>
      <c r="AB16" s="104">
        <v>250000</v>
      </c>
      <c r="AC16" s="104"/>
      <c r="AD16" s="104"/>
      <c r="AE16" s="104"/>
      <c r="AF16" s="104"/>
      <c r="AG16" s="42" t="str">
        <f t="shared" si="3"/>
        <v>ITA</v>
      </c>
      <c r="AO16" s="42" t="s">
        <v>163</v>
      </c>
      <c r="AP16" s="33" t="s">
        <v>807</v>
      </c>
      <c r="AQ16" s="104"/>
      <c r="AR16" s="104"/>
      <c r="AS16" s="33"/>
      <c r="AT16" s="33"/>
      <c r="AU16" s="101"/>
      <c r="AV16" s="42"/>
      <c r="AX16" s="104"/>
      <c r="AY16" s="104"/>
      <c r="AZ16" s="104"/>
      <c r="BA16" s="104"/>
      <c r="BB16" s="104"/>
      <c r="BC16" s="42" t="s">
        <v>808</v>
      </c>
      <c r="BD16" s="33" t="s">
        <v>809</v>
      </c>
      <c r="BE16" s="104">
        <f>150000/Tabelle4[[#This Row],[EUR exchange rate against BRL]]</f>
        <v>23847.376788553258</v>
      </c>
      <c r="BF16" s="101"/>
      <c r="BG16" s="42" t="s">
        <v>594</v>
      </c>
      <c r="BH16" s="33" t="s">
        <v>595</v>
      </c>
      <c r="BI16" s="104">
        <f>150000/Tabelle4[[#This Row],[EUR exchange rate against BRL]]</f>
        <v>23847.376788553258</v>
      </c>
      <c r="BJ16" s="101"/>
      <c r="BK16" s="42"/>
      <c r="BM16" s="104"/>
      <c r="BN16" s="101"/>
      <c r="BO16" s="42"/>
      <c r="BQ16" s="104"/>
      <c r="BR16" s="101"/>
      <c r="BS16" s="33" t="s">
        <v>477</v>
      </c>
      <c r="BT16" s="33" t="s">
        <v>268</v>
      </c>
      <c r="BU16" s="101">
        <v>250000</v>
      </c>
      <c r="BX16" s="101"/>
      <c r="BY16" s="44">
        <f>Tabelle4[[#This Row],[Industry Funding from DE (IPK)]]+Tabelle4[[#This Row],[Industry Funding from BR (IPK)]]+Tabelle4[[#This Row],[Public Funding from DE (IPK)]]+Tabelle4[[#This Row],[Public Funding from BR (IPK)]]+Tabelle4[[#This Row],[In-kind Contribution (IPK)]]</f>
        <v>250000</v>
      </c>
      <c r="BZ16" s="44">
        <f>Tabelle4[[#This Row],[Industry Funding from DE (IPK)]]+Tabelle4[[#This Row],[Industry Funding from BR (IPK)]]+Tabelle4[[#This Row],[Public Funding from DE (IPK)]]+Tabelle4[[#This Row],[Public Funding from BR (IPK)]]</f>
        <v>250000</v>
      </c>
      <c r="CA16" s="44">
        <f>Tabelle4[[#This Row],[Industry Funding from DE (IPK)]]+Tabelle4[[#This Row],[Industry Funding from BR (IPK)]]</f>
        <v>250000</v>
      </c>
      <c r="CB16" s="44">
        <f>Tabelle4[[#This Row],[Public Funding from DE (IPK)]]+Tabelle4[[#This Row],[Public Funding from BR (IPK)]]</f>
        <v>0</v>
      </c>
      <c r="CC16" s="44">
        <f>Tabelle4[[#This Row],[In-kind Contribution (IPK)]]</f>
        <v>0</v>
      </c>
      <c r="CD16" s="47">
        <f>(Tabelle4[[#This Row],[Total Industry Funding (IPK)]] + Tabelle4[[#This Row],[Total Public Funding (IPK)]])/Tabelle4[[#This Row],[Total Project Volume (IPK)]]</f>
        <v>1</v>
      </c>
      <c r="CE16" s="47">
        <f>Tabelle4[[#This Row],[Total Industry Funding (IPK)]] / Tabelle4[[#This Row],[Total Project Volume (IPK)]]</f>
        <v>1</v>
      </c>
      <c r="CF16" s="44" t="str">
        <f>Tabelle4[[#This Row],[Project Funding Classification]]</f>
        <v>Industry</v>
      </c>
      <c r="CG16" s="44">
        <f>Tabelle4[[#This Row],[Industry Funding from DE (IPK)]]+Tabelle4[[#This Row],[Public Funding from DE (IPK)]]</f>
        <v>250000</v>
      </c>
      <c r="CH16" s="46">
        <f>Tabelle4[[#This Row],[Industry Funding from BR (IPK)]]+Tabelle4[[#This Row],[Public Funding from BR (IPK)]]</f>
        <v>0</v>
      </c>
      <c r="CI16" s="44">
        <f>Tabelle4[[#This Row],[Industry Funding from DE (ITA)]]+Tabelle4[[#This Row],[Industry Funding from BR (ITA)]]+Tabelle4[[#This Row],[Public Funding from DE (ITA)]]+Tabelle4[[#This Row],[Public Funding from BR (ITA)]]</f>
        <v>0</v>
      </c>
      <c r="CJ16" s="44">
        <f>Tabelle4[[#This Row],[Industry Funding from DE (ITA)]]+Tabelle4[[#This Row],[Industry Funding from BR (ITA)]]</f>
        <v>0</v>
      </c>
      <c r="CK16" s="44">
        <f>Tabelle4[[#This Row],[Public Funding from DE (ITA)]]+Tabelle4[[#This Row],[Public Funding from BR (ITA)]]</f>
        <v>0</v>
      </c>
      <c r="CL16" s="47" t="e">
        <f>Tabelle4[[#This Row],[Total Industry Funding (ITA)]]/Tabelle4[[#This Row],[Total Project Volume (ITA)]]</f>
        <v>#DIV/0!</v>
      </c>
      <c r="CM16" s="33" t="e">
        <f>IF(Tabelle4[[#This Row],[Funding Ratio (ITA)]]&lt;0.5,"Public Funding","Industry")</f>
        <v>#DIV/0!</v>
      </c>
      <c r="CN16" s="44">
        <f>Tabelle4[[#This Row],[Industry Funding from DE (ITA)]]+Tabelle4[[#This Row],[Public Funding from DE (ITA)]]</f>
        <v>0</v>
      </c>
      <c r="CO16" s="46">
        <f>Tabelle4[[#This Row],[Industry Funding from BR (ITA)]]+Tabelle4[[#This Row],[Public Funding from BR (ITA)]]</f>
        <v>0</v>
      </c>
      <c r="CP16" s="44">
        <f>Tabelle4[[#This Row],[Total Project Volume (IPK)]]+Tabelle4[[#This Row],[Total Project Volume (ITA)]]</f>
        <v>250000</v>
      </c>
      <c r="CQ16" s="44">
        <f>Tabelle4[[#This Row],[Total Industry Funding (IPK)]]+Tabelle4[[#This Row],[Total Industry Funding (ITA)]]</f>
        <v>250000</v>
      </c>
      <c r="CR16" s="44">
        <f>Tabelle4[[#This Row],[Industry Funding from DE (IPK)]]+Tabelle4[[#This Row],[Industry Funding from DE (ITA)]]</f>
        <v>250000</v>
      </c>
      <c r="CS16" s="44">
        <f>Tabelle4[[#This Row],[Industry Funding from BR (IPK)]]+Tabelle4[[#This Row],[Industry Funding from BR (ITA)]]</f>
        <v>0</v>
      </c>
      <c r="CT16" s="44">
        <f>Tabelle4[[#This Row],[Total Public Funding (IPK)]]+Tabelle4[[#This Row],[Total Public Funding (ITA)]]</f>
        <v>0</v>
      </c>
      <c r="CU16" s="44">
        <f>Tabelle4[[#This Row],[Public Funding from DE (IPK)]]+Tabelle4[[#This Row],[Public Funding from DE (ITA)]]</f>
        <v>0</v>
      </c>
      <c r="CV16" s="44">
        <f>Tabelle4[[#This Row],[Public Funding from BR (IPK)]]+Tabelle4[[#This Row],[Public Funding from BR (ITA)]]</f>
        <v>0</v>
      </c>
      <c r="CW16" s="44">
        <f>Tabelle4[[#This Row],[Industry Funding from DE (FPC)]]+Tabelle4[[#This Row],[Public Funding from DE (FPC)]]</f>
        <v>250000</v>
      </c>
      <c r="CX16" s="46">
        <f>Tabelle4[[#This Row],[Industry Funding from BR (FPC)]]+Tabelle4[[#This Row],[Public Funding from BR (FPC)]]</f>
        <v>0</v>
      </c>
      <c r="CY16" s="44">
        <f>Tabelle4[[#This Row],[Total Financial Budget (Other)]]+Tabelle4[[#This Row],[Total In-kind Contribution (Other)]]</f>
        <v>0</v>
      </c>
      <c r="CZ1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6" s="44">
        <f>Tabelle4[[#This Row],[In-kind Contribution (R&amp;D III)]]+Tabelle4[[#This Row],[In-kind Contribution (R&amp;D IV)]]</f>
        <v>0</v>
      </c>
      <c r="DB16" s="158">
        <f>Tabelle4[[#This Row],[Total Budget (FPC)]]+Tabelle4[[#This Row],[Total Volume (Other)]]</f>
        <v>250000</v>
      </c>
      <c r="DC16" s="104">
        <f>Tabelle4[[#This Row],[Total Revenues (IPK)]]</f>
        <v>250000</v>
      </c>
      <c r="DD16" s="159">
        <v>0.66</v>
      </c>
      <c r="DE16" s="44">
        <f>Tabelle4[[#This Row],[Total Revenues IPK]]*Tabelle4[[#This Row],[Probability of Success]]</f>
        <v>165000</v>
      </c>
      <c r="DK16" s="47">
        <v>0.2</v>
      </c>
      <c r="DL16" s="44">
        <f>Tabelle4[[#This Row],[Real Budget IPK]]*Tabelle4[[#This Row],[Acquisition Factor OE810]]</f>
        <v>33000</v>
      </c>
      <c r="DN16" s="46">
        <f>Tabelle4[[#This Row],[Acquisition Bonus OE810]]+Tabelle4[[#This Row],[Project Execution OE810]]</f>
        <v>33000</v>
      </c>
      <c r="XCM16" s="42"/>
      <c r="XCV16" s="59"/>
      <c r="XCY16" s="144"/>
      <c r="XDA16" s="59"/>
      <c r="XDB16" s="59"/>
      <c r="XDD16" s="59"/>
      <c r="XDE16" s="59"/>
      <c r="XDF16" s="59"/>
      <c r="XDG16" s="59"/>
      <c r="XDH16" s="59"/>
      <c r="XDI16" s="59"/>
      <c r="XDJ16" s="59"/>
      <c r="XDK16" s="59"/>
      <c r="XDL16" s="42"/>
      <c r="XDN16" s="104"/>
      <c r="XDO16" s="104"/>
      <c r="XDP16" s="104"/>
      <c r="XDQ16" s="104"/>
      <c r="XDR16" s="104"/>
      <c r="XDS16" s="42"/>
      <c r="XDV16" s="104"/>
      <c r="XDW16" s="104"/>
      <c r="XDX16" s="104"/>
      <c r="XDY16" s="104"/>
      <c r="XDZ16" s="104"/>
      <c r="XEB16" s="144"/>
      <c r="XED16" s="59"/>
      <c r="XEE16" s="59"/>
      <c r="XEG16" s="59"/>
      <c r="XEH16" s="59"/>
      <c r="XEI16" s="59"/>
      <c r="XEJ16" s="59"/>
      <c r="XEK16" s="59"/>
      <c r="XEL16" s="59"/>
      <c r="XEM16" s="59"/>
      <c r="XEN16" s="59"/>
      <c r="XEQ16" s="104"/>
      <c r="XER16" s="104"/>
      <c r="XES16" s="104"/>
      <c r="XET16" s="104"/>
      <c r="XEU16" s="104"/>
      <c r="XEY16" s="104"/>
      <c r="XEZ16" s="104"/>
      <c r="XFA16" s="104"/>
      <c r="XFB16" s="104"/>
      <c r="XFC16" s="104"/>
    </row>
    <row r="17" spans="1:118 16344:16383" ht="55.5" x14ac:dyDescent="0.45">
      <c r="A17" s="42" t="s">
        <v>799</v>
      </c>
      <c r="B17" s="33" t="s">
        <v>800</v>
      </c>
      <c r="C17" s="33" t="s">
        <v>801</v>
      </c>
      <c r="D17" s="33" t="s">
        <v>711</v>
      </c>
      <c r="E17" s="33">
        <v>6</v>
      </c>
      <c r="F17" s="33">
        <v>6</v>
      </c>
      <c r="G17" s="33" t="s">
        <v>1</v>
      </c>
      <c r="H17" s="33" t="s">
        <v>0</v>
      </c>
      <c r="I17" s="33" t="s">
        <v>802</v>
      </c>
      <c r="J17" s="59">
        <v>44409</v>
      </c>
      <c r="K17" s="33" t="s">
        <v>243</v>
      </c>
      <c r="M17" s="144">
        <v>6.32</v>
      </c>
      <c r="N17" s="33" t="s">
        <v>648</v>
      </c>
      <c r="Q17" s="33">
        <v>24</v>
      </c>
      <c r="S17" s="59">
        <v>44453</v>
      </c>
      <c r="U17" s="59">
        <v>44501</v>
      </c>
      <c r="Z17" s="42" t="str">
        <f t="shared" si="2"/>
        <v>IPK</v>
      </c>
      <c r="AA17" s="33" t="s">
        <v>141</v>
      </c>
      <c r="AB17" s="104">
        <v>250000</v>
      </c>
      <c r="AC17" s="104"/>
      <c r="AD17" s="104"/>
      <c r="AE17" s="104"/>
      <c r="AF17" s="104"/>
      <c r="AG17" s="42" t="str">
        <f t="shared" si="3"/>
        <v>ITA</v>
      </c>
      <c r="AO17" s="42"/>
      <c r="AQ17" s="104"/>
      <c r="AR17" s="104"/>
      <c r="AS17" s="104"/>
      <c r="AT17" s="104"/>
      <c r="AU17" s="104"/>
      <c r="AV17" s="42"/>
      <c r="AX17" s="104"/>
      <c r="AY17" s="104"/>
      <c r="AZ17" s="104"/>
      <c r="BA17" s="104"/>
      <c r="BB17" s="104"/>
      <c r="BC17" s="42" t="s">
        <v>803</v>
      </c>
      <c r="BE17" s="104"/>
      <c r="BF17" s="101"/>
      <c r="BI17" s="104"/>
      <c r="BJ17" s="101"/>
      <c r="BM17" s="104"/>
      <c r="BN17" s="101"/>
      <c r="BQ17" s="104"/>
      <c r="BR17" s="101"/>
      <c r="BS17" s="33" t="s">
        <v>477</v>
      </c>
      <c r="BT17" s="33" t="s">
        <v>268</v>
      </c>
      <c r="BU17" s="101">
        <v>250000</v>
      </c>
      <c r="BX17" s="101"/>
      <c r="BY17" s="44">
        <f>Tabelle4[[#This Row],[Industry Funding from DE (IPK)]]+Tabelle4[[#This Row],[Industry Funding from BR (IPK)]]+Tabelle4[[#This Row],[Public Funding from DE (IPK)]]+Tabelle4[[#This Row],[Public Funding from BR (IPK)]]+Tabelle4[[#This Row],[In-kind Contribution (IPK)]]</f>
        <v>250000</v>
      </c>
      <c r="BZ17" s="44">
        <f>Tabelle4[[#This Row],[Industry Funding from DE (IPK)]]+Tabelle4[[#This Row],[Industry Funding from BR (IPK)]]+Tabelle4[[#This Row],[Public Funding from DE (IPK)]]+Tabelle4[[#This Row],[Public Funding from BR (IPK)]]</f>
        <v>250000</v>
      </c>
      <c r="CA17" s="44">
        <f>Tabelle4[[#This Row],[Industry Funding from DE (IPK)]]+Tabelle4[[#This Row],[Industry Funding from BR (IPK)]]</f>
        <v>250000</v>
      </c>
      <c r="CB17" s="44">
        <f>Tabelle4[[#This Row],[Public Funding from DE (IPK)]]+Tabelle4[[#This Row],[Public Funding from BR (IPK)]]</f>
        <v>0</v>
      </c>
      <c r="CC17" s="44">
        <f>Tabelle4[[#This Row],[In-kind Contribution (IPK)]]</f>
        <v>0</v>
      </c>
      <c r="CD17" s="47">
        <f>(Tabelle4[[#This Row],[Total Industry Funding (IPK)]] + Tabelle4[[#This Row],[Total Public Funding (IPK)]])/Tabelle4[[#This Row],[Total Project Volume (IPK)]]</f>
        <v>1</v>
      </c>
      <c r="CE17" s="47">
        <f>Tabelle4[[#This Row],[Total Industry Funding (IPK)]] / Tabelle4[[#This Row],[Total Project Volume (IPK)]]</f>
        <v>1</v>
      </c>
      <c r="CF17" s="33" t="str">
        <f>Tabelle4[[#This Row],[Project Funding Classification]]</f>
        <v>Industry</v>
      </c>
      <c r="CG17" s="44">
        <f>Tabelle4[[#This Row],[Industry Funding from DE (IPK)]]+Tabelle4[[#This Row],[Public Funding from DE (IPK)]]</f>
        <v>250000</v>
      </c>
      <c r="CH17" s="46">
        <f>Tabelle4[[#This Row],[Industry Funding from BR (IPK)]]+Tabelle4[[#This Row],[Public Funding from BR (IPK)]]</f>
        <v>0</v>
      </c>
      <c r="CI17" s="44">
        <f>Tabelle4[[#This Row],[Industry Funding from DE (ITA)]]+Tabelle4[[#This Row],[Industry Funding from BR (ITA)]]+Tabelle4[[#This Row],[Public Funding from DE (ITA)]]+Tabelle4[[#This Row],[Public Funding from BR (ITA)]]</f>
        <v>0</v>
      </c>
      <c r="CJ17" s="44">
        <f>Tabelle4[[#This Row],[Industry Funding from DE (ITA)]]+Tabelle4[[#This Row],[Industry Funding from BR (ITA)]]</f>
        <v>0</v>
      </c>
      <c r="CK17" s="44">
        <f>Tabelle4[[#This Row],[Public Funding from DE (ITA)]]+Tabelle4[[#This Row],[Public Funding from BR (ITA)]]</f>
        <v>0</v>
      </c>
      <c r="CL17" s="47" t="e">
        <f>Tabelle4[[#This Row],[Total Industry Funding (ITA)]]/Tabelle4[[#This Row],[Total Project Volume (ITA)]]</f>
        <v>#DIV/0!</v>
      </c>
      <c r="CM17" s="33" t="e">
        <f>IF(Tabelle4[[#This Row],[Funding Ratio (ITA)]]&lt;0.5,"Public Funding","Industry")</f>
        <v>#DIV/0!</v>
      </c>
      <c r="CN17" s="44">
        <f>Tabelle4[[#This Row],[Industry Funding from DE (ITA)]]+Tabelle4[[#This Row],[Public Funding from DE (ITA)]]</f>
        <v>0</v>
      </c>
      <c r="CO17" s="46">
        <f>Tabelle4[[#This Row],[Industry Funding from BR (ITA)]]+Tabelle4[[#This Row],[Public Funding from BR (ITA)]]</f>
        <v>0</v>
      </c>
      <c r="CP17" s="44">
        <f>Tabelle4[[#This Row],[Total Project Volume (IPK)]]+Tabelle4[[#This Row],[Total Project Volume (ITA)]]</f>
        <v>250000</v>
      </c>
      <c r="CQ17" s="44">
        <f>Tabelle4[[#This Row],[Total Industry Funding (IPK)]]+Tabelle4[[#This Row],[Total Industry Funding (ITA)]]</f>
        <v>250000</v>
      </c>
      <c r="CR17" s="44">
        <f>Tabelle4[[#This Row],[Industry Funding from DE (IPK)]]+Tabelle4[[#This Row],[Industry Funding from DE (ITA)]]</f>
        <v>250000</v>
      </c>
      <c r="CS17" s="44">
        <f>Tabelle4[[#This Row],[Industry Funding from BR (IPK)]]+Tabelle4[[#This Row],[Industry Funding from BR (ITA)]]</f>
        <v>0</v>
      </c>
      <c r="CT17" s="44">
        <f>Tabelle4[[#This Row],[Total Public Funding (IPK)]]+Tabelle4[[#This Row],[Total Public Funding (ITA)]]</f>
        <v>0</v>
      </c>
      <c r="CU17" s="44">
        <f>Tabelle4[[#This Row],[Public Funding from DE (IPK)]]+Tabelle4[[#This Row],[Public Funding from DE (ITA)]]</f>
        <v>0</v>
      </c>
      <c r="CV17" s="44">
        <f>Tabelle4[[#This Row],[Public Funding from BR (IPK)]]+Tabelle4[[#This Row],[Public Funding from BR (ITA)]]</f>
        <v>0</v>
      </c>
      <c r="CW17" s="44">
        <f>Tabelle4[[#This Row],[Industry Funding from DE (FPC)]]+Tabelle4[[#This Row],[Public Funding from DE (FPC)]]</f>
        <v>250000</v>
      </c>
      <c r="CX17" s="46">
        <f>Tabelle4[[#This Row],[Industry Funding from BR (FPC)]]+Tabelle4[[#This Row],[Public Funding from BR (FPC)]]</f>
        <v>0</v>
      </c>
      <c r="CY17" s="44">
        <f>Tabelle4[[#This Row],[Total Financial Budget (Other)]]+Tabelle4[[#This Row],[Total In-kind Contribution (Other)]]</f>
        <v>0</v>
      </c>
      <c r="CZ1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7" s="44">
        <f>Tabelle4[[#This Row],[In-kind Contribution (R&amp;D III)]]+Tabelle4[[#This Row],[In-kind Contribution (R&amp;D IV)]]</f>
        <v>0</v>
      </c>
      <c r="DB17" s="158">
        <f>Tabelle4[[#This Row],[Total Budget (FPC)]]+Tabelle4[[#This Row],[Total Volume (Other)]]</f>
        <v>250000</v>
      </c>
      <c r="DC17" s="104">
        <f>Tabelle4[[#This Row],[Total Revenues (IPK)]]</f>
        <v>250000</v>
      </c>
      <c r="DD17" s="47">
        <v>0.66</v>
      </c>
      <c r="DE17" s="44">
        <f>Tabelle4[[#This Row],[Total Revenues IPK]]*Tabelle4[[#This Row],[Probability of Success]]</f>
        <v>165000</v>
      </c>
      <c r="DH17" s="44">
        <f>Tabelle4[[#This Row],[Real Budget IPK]]-Tabelle4[[#This Row],[Acquisition Bonus OE810]]</f>
        <v>132000</v>
      </c>
      <c r="DK17" s="47">
        <v>0.2</v>
      </c>
      <c r="DL17" s="44">
        <f>Tabelle4[[#This Row],[Real Budget IPK]]*Tabelle4[[#This Row],[Acquisition Factor OE810]]</f>
        <v>33000</v>
      </c>
      <c r="DN17" s="46">
        <f>Tabelle4[[#This Row],[Acquisition Bonus OE810]]+Tabelle4[[#This Row],[Project Execution OE810]]</f>
        <v>33000</v>
      </c>
      <c r="XDP17" s="42"/>
      <c r="XDY17" s="59"/>
      <c r="XEB17" s="144"/>
      <c r="XED17" s="59"/>
      <c r="XEE17" s="59"/>
      <c r="XEG17" s="59"/>
      <c r="XEH17" s="59"/>
      <c r="XEI17" s="59"/>
      <c r="XEJ17" s="59"/>
      <c r="XEK17" s="59"/>
      <c r="XEL17" s="59"/>
      <c r="XEM17" s="59"/>
      <c r="XEN17" s="59"/>
      <c r="XEO17" s="42"/>
      <c r="XEQ17" s="104"/>
      <c r="XER17" s="104"/>
      <c r="XES17" s="104"/>
      <c r="XET17" s="104"/>
      <c r="XEU17" s="104"/>
      <c r="XEV17" s="42"/>
      <c r="XEY17" s="104"/>
      <c r="XEZ17" s="104"/>
      <c r="XFA17" s="104"/>
      <c r="XFB17" s="104"/>
      <c r="XFC17" s="104"/>
    </row>
    <row r="18" spans="1:118 16344:16383" ht="55.5" x14ac:dyDescent="0.45">
      <c r="A18" s="42" t="s">
        <v>796</v>
      </c>
      <c r="B18" s="33" t="s">
        <v>795</v>
      </c>
      <c r="C18" s="33" t="s">
        <v>797</v>
      </c>
      <c r="D18" s="33" t="s">
        <v>708</v>
      </c>
      <c r="E18" s="33">
        <v>1</v>
      </c>
      <c r="F18" s="33">
        <v>1</v>
      </c>
      <c r="G18" s="33" t="s">
        <v>1</v>
      </c>
      <c r="H18" s="33" t="s">
        <v>0</v>
      </c>
      <c r="J18" s="59">
        <v>44197</v>
      </c>
      <c r="K18" s="33" t="s">
        <v>243</v>
      </c>
      <c r="Q18" s="33">
        <v>10</v>
      </c>
      <c r="S18" s="59">
        <v>44197</v>
      </c>
      <c r="U18" s="59">
        <v>44256</v>
      </c>
      <c r="V18" s="59">
        <v>44498</v>
      </c>
      <c r="Z18" s="42" t="str">
        <f t="shared" si="2"/>
        <v>IPK</v>
      </c>
      <c r="AA18" s="33" t="s">
        <v>141</v>
      </c>
      <c r="AB18" s="104"/>
      <c r="AC18" s="104">
        <v>290000</v>
      </c>
      <c r="AD18" s="104"/>
      <c r="AE18" s="104"/>
      <c r="AF18" s="104"/>
      <c r="AG18" s="42" t="str">
        <f t="shared" si="3"/>
        <v>ITA</v>
      </c>
      <c r="AO18" s="42"/>
      <c r="AQ18" s="104"/>
      <c r="AR18" s="104"/>
      <c r="AS18" s="104"/>
      <c r="AT18" s="104"/>
      <c r="AU18" s="104"/>
      <c r="AV18" s="42"/>
      <c r="AX18" s="104"/>
      <c r="AY18" s="104"/>
      <c r="AZ18" s="104"/>
      <c r="BA18" s="104"/>
      <c r="BB18" s="104"/>
      <c r="BC18" s="42" t="s">
        <v>797</v>
      </c>
      <c r="BD18" s="33" t="s">
        <v>798</v>
      </c>
      <c r="BE18" s="104">
        <v>290000</v>
      </c>
      <c r="BF18" s="101"/>
      <c r="BI18" s="104"/>
      <c r="BJ18" s="101"/>
      <c r="BM18" s="104"/>
      <c r="BN18" s="101"/>
      <c r="BQ18" s="104"/>
      <c r="BR18" s="101"/>
      <c r="BU18" s="101"/>
      <c r="BX18" s="101"/>
      <c r="BY18" s="44">
        <f>Tabelle4[[#This Row],[Industry Funding from DE (IPK)]]+Tabelle4[[#This Row],[Industry Funding from BR (IPK)]]+Tabelle4[[#This Row],[Public Funding from DE (IPK)]]+Tabelle4[[#This Row],[Public Funding from BR (IPK)]]+Tabelle4[[#This Row],[In-kind Contribution (IPK)]]</f>
        <v>290000</v>
      </c>
      <c r="BZ18" s="44">
        <f>Tabelle4[[#This Row],[Industry Funding from DE (IPK)]]+Tabelle4[[#This Row],[Industry Funding from BR (IPK)]]+Tabelle4[[#This Row],[Public Funding from DE (IPK)]]+Tabelle4[[#This Row],[Public Funding from BR (IPK)]]</f>
        <v>290000</v>
      </c>
      <c r="CA18" s="44">
        <f>Tabelle4[[#This Row],[Industry Funding from DE (IPK)]]+Tabelle4[[#This Row],[Industry Funding from BR (IPK)]]</f>
        <v>290000</v>
      </c>
      <c r="CB18" s="44">
        <f>Tabelle4[[#This Row],[Public Funding from DE (IPK)]]+Tabelle4[[#This Row],[Public Funding from BR (IPK)]]</f>
        <v>0</v>
      </c>
      <c r="CC18" s="44">
        <f>Tabelle4[[#This Row],[In-kind Contribution (IPK)]]</f>
        <v>0</v>
      </c>
      <c r="CD18" s="47">
        <f>(Tabelle4[[#This Row],[Total Industry Funding (IPK)]] + Tabelle4[[#This Row],[Total Public Funding (IPK)]])/Tabelle4[[#This Row],[Total Project Volume (IPK)]]</f>
        <v>1</v>
      </c>
      <c r="CE18" s="47">
        <f>Tabelle4[[#This Row],[Total Industry Funding (IPK)]] / Tabelle4[[#This Row],[Total Project Volume (IPK)]]</f>
        <v>1</v>
      </c>
      <c r="CF18" s="33" t="str">
        <f>Tabelle4[[#This Row],[Project Funding Classification]]</f>
        <v>Industry</v>
      </c>
      <c r="CG18" s="44">
        <f>Tabelle4[[#This Row],[Industry Funding from DE (IPK)]]+Tabelle4[[#This Row],[Public Funding from DE (IPK)]]</f>
        <v>0</v>
      </c>
      <c r="CH18" s="46">
        <f>Tabelle4[[#This Row],[Industry Funding from BR (IPK)]]+Tabelle4[[#This Row],[Public Funding from BR (IPK)]]</f>
        <v>290000</v>
      </c>
      <c r="CI18" s="44">
        <f>Tabelle4[[#This Row],[Industry Funding from DE (ITA)]]+Tabelle4[[#This Row],[Industry Funding from BR (ITA)]]+Tabelle4[[#This Row],[Public Funding from DE (ITA)]]+Tabelle4[[#This Row],[Public Funding from BR (ITA)]]</f>
        <v>0</v>
      </c>
      <c r="CJ18" s="44">
        <f>Tabelle4[[#This Row],[Industry Funding from DE (ITA)]]+Tabelle4[[#This Row],[Industry Funding from BR (ITA)]]</f>
        <v>0</v>
      </c>
      <c r="CK18" s="44">
        <f>Tabelle4[[#This Row],[Public Funding from DE (ITA)]]+Tabelle4[[#This Row],[Public Funding from BR (ITA)]]</f>
        <v>0</v>
      </c>
      <c r="CL18" s="47" t="e">
        <f>Tabelle4[[#This Row],[Total Industry Funding (ITA)]]/Tabelle4[[#This Row],[Total Project Volume (ITA)]]</f>
        <v>#DIV/0!</v>
      </c>
      <c r="CM18" s="33" t="e">
        <f>IF(Tabelle4[[#This Row],[Funding Ratio (ITA)]]&lt;0.5,"Public Funding","Industry")</f>
        <v>#DIV/0!</v>
      </c>
      <c r="CN18" s="44">
        <f>Tabelle4[[#This Row],[Industry Funding from DE (ITA)]]+Tabelle4[[#This Row],[Public Funding from DE (ITA)]]</f>
        <v>0</v>
      </c>
      <c r="CO18" s="46">
        <f>Tabelle4[[#This Row],[Industry Funding from BR (ITA)]]+Tabelle4[[#This Row],[Public Funding from BR (ITA)]]</f>
        <v>0</v>
      </c>
      <c r="CP18" s="44">
        <f>Tabelle4[[#This Row],[Total Project Volume (IPK)]]+Tabelle4[[#This Row],[Total Project Volume (ITA)]]</f>
        <v>290000</v>
      </c>
      <c r="CQ18" s="44">
        <f>Tabelle4[[#This Row],[Total Industry Funding (IPK)]]+Tabelle4[[#This Row],[Total Industry Funding (ITA)]]</f>
        <v>290000</v>
      </c>
      <c r="CR18" s="44">
        <f>Tabelle4[[#This Row],[Industry Funding from DE (IPK)]]+Tabelle4[[#This Row],[Industry Funding from DE (ITA)]]</f>
        <v>0</v>
      </c>
      <c r="CS18" s="44">
        <f>Tabelle4[[#This Row],[Industry Funding from BR (IPK)]]+Tabelle4[[#This Row],[Industry Funding from BR (ITA)]]</f>
        <v>290000</v>
      </c>
      <c r="CT18" s="44">
        <f>Tabelle4[[#This Row],[Total Public Funding (IPK)]]+Tabelle4[[#This Row],[Total Public Funding (ITA)]]</f>
        <v>0</v>
      </c>
      <c r="CU18" s="44">
        <f>Tabelle4[[#This Row],[Public Funding from DE (IPK)]]+Tabelle4[[#This Row],[Public Funding from DE (ITA)]]</f>
        <v>0</v>
      </c>
      <c r="CV18" s="44">
        <f>Tabelle4[[#This Row],[Public Funding from BR (IPK)]]+Tabelle4[[#This Row],[Public Funding from BR (ITA)]]</f>
        <v>0</v>
      </c>
      <c r="CW18" s="44">
        <f>Tabelle4[[#This Row],[Industry Funding from DE (FPC)]]+Tabelle4[[#This Row],[Public Funding from DE (FPC)]]</f>
        <v>0</v>
      </c>
      <c r="CX18" s="46">
        <f>Tabelle4[[#This Row],[Industry Funding from BR (FPC)]]+Tabelle4[[#This Row],[Public Funding from BR (FPC)]]</f>
        <v>290000</v>
      </c>
      <c r="CY18" s="44">
        <f>Tabelle4[[#This Row],[Total Financial Budget (Other)]]+Tabelle4[[#This Row],[Total In-kind Contribution (Other)]]</f>
        <v>0</v>
      </c>
      <c r="CZ1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8" s="44">
        <f>Tabelle4[[#This Row],[In-kind Contribution (R&amp;D III)]]+Tabelle4[[#This Row],[In-kind Contribution (R&amp;D IV)]]</f>
        <v>0</v>
      </c>
      <c r="DB18" s="158">
        <f>Tabelle4[[#This Row],[Total Budget (FPC)]]+Tabelle4[[#This Row],[Total Volume (Other)]]</f>
        <v>290000</v>
      </c>
      <c r="DC18" s="104">
        <f>Tabelle4[[#This Row],[Total Revenues (IPK)]]</f>
        <v>290000</v>
      </c>
      <c r="DD18" s="47">
        <v>0.5</v>
      </c>
      <c r="DE18" s="44">
        <f>Tabelle4[[#This Row],[Total Revenues IPK]]*Tabelle4[[#This Row],[Probability of Success]]</f>
        <v>145000</v>
      </c>
      <c r="DG18" s="44">
        <f>Tabelle4[[#This Row],[Real Budget IPK]]-Tabelle4[[#This Row],[Acquisition Bonus OE810]]</f>
        <v>116000</v>
      </c>
      <c r="DK18" s="47">
        <v>0.2</v>
      </c>
      <c r="DL18" s="44">
        <f>Tabelle4[[#This Row],[Real Budget IPK]]*Tabelle4[[#This Row],[Acquisition Factor OE810]]</f>
        <v>29000</v>
      </c>
      <c r="DN18" s="46">
        <f>Tabelle4[[#This Row],[Acquisition Bonus OE810]]+Tabelle4[[#This Row],[Project Execution OE810]]</f>
        <v>29000</v>
      </c>
      <c r="XDP18" s="42"/>
      <c r="XDY18" s="59"/>
      <c r="XEB18" s="144"/>
      <c r="XED18" s="59"/>
      <c r="XEE18" s="59"/>
      <c r="XEG18" s="59"/>
      <c r="XEH18" s="59"/>
      <c r="XEI18" s="59"/>
      <c r="XEJ18" s="59"/>
      <c r="XEK18" s="59"/>
      <c r="XEL18" s="59"/>
      <c r="XEM18" s="59"/>
      <c r="XEN18" s="59"/>
      <c r="XEO18" s="42"/>
      <c r="XEQ18" s="104"/>
      <c r="XER18" s="104"/>
      <c r="XES18" s="104"/>
      <c r="XET18" s="104"/>
      <c r="XEU18" s="104"/>
      <c r="XEV18" s="42"/>
      <c r="XEY18" s="104"/>
      <c r="XEZ18" s="104"/>
      <c r="XFA18" s="104"/>
      <c r="XFB18" s="104"/>
      <c r="XFC18" s="104"/>
    </row>
    <row r="19" spans="1:118 16344:16383" ht="27.75" x14ac:dyDescent="0.45">
      <c r="A19" s="42" t="s">
        <v>791</v>
      </c>
      <c r="B19" s="33" t="s">
        <v>792</v>
      </c>
      <c r="C19" s="33" t="s">
        <v>793</v>
      </c>
      <c r="D19" s="33" t="s">
        <v>704</v>
      </c>
      <c r="E19" s="33">
        <v>1</v>
      </c>
      <c r="F19" s="33">
        <v>1</v>
      </c>
      <c r="G19" s="33" t="s">
        <v>1</v>
      </c>
      <c r="H19" s="33" t="s">
        <v>0</v>
      </c>
      <c r="J19" s="59">
        <v>44470</v>
      </c>
      <c r="K19" s="33" t="s">
        <v>242</v>
      </c>
      <c r="Q19" s="33">
        <v>6</v>
      </c>
      <c r="U19" s="59">
        <v>44470</v>
      </c>
      <c r="Z19" s="42" t="str">
        <f t="shared" si="2"/>
        <v>IPK</v>
      </c>
      <c r="AA19" s="33" t="s">
        <v>141</v>
      </c>
      <c r="AB19" s="104"/>
      <c r="AC19" s="104">
        <v>153360</v>
      </c>
      <c r="AD19" s="104"/>
      <c r="AE19" s="104"/>
      <c r="AF19" s="104"/>
      <c r="AG19" s="42" t="str">
        <f t="shared" si="3"/>
        <v>ITA</v>
      </c>
      <c r="AO19" s="42" t="s">
        <v>832</v>
      </c>
      <c r="AP19" s="33" t="s">
        <v>833</v>
      </c>
      <c r="AQ19" s="104"/>
      <c r="AR19" s="104"/>
      <c r="AS19" s="104"/>
      <c r="AT19" s="104"/>
      <c r="AU19" s="104"/>
      <c r="AV19" s="42"/>
      <c r="AX19" s="104"/>
      <c r="AY19" s="104"/>
      <c r="AZ19" s="104"/>
      <c r="BA19" s="104"/>
      <c r="BB19" s="104"/>
      <c r="BC19" s="42" t="s">
        <v>793</v>
      </c>
      <c r="BD19" s="33" t="s">
        <v>794</v>
      </c>
      <c r="BE19" s="104">
        <v>153360</v>
      </c>
      <c r="BF19" s="101"/>
      <c r="BI19" s="104"/>
      <c r="BJ19" s="101"/>
      <c r="BM19" s="104"/>
      <c r="BN19" s="101"/>
      <c r="BQ19" s="104"/>
      <c r="BR19" s="101"/>
      <c r="BU19" s="101"/>
      <c r="BX19" s="101"/>
      <c r="BY19" s="44">
        <f>Tabelle4[[#This Row],[Industry Funding from DE (IPK)]]+Tabelle4[[#This Row],[Industry Funding from BR (IPK)]]+Tabelle4[[#This Row],[Public Funding from DE (IPK)]]+Tabelle4[[#This Row],[Public Funding from BR (IPK)]]+Tabelle4[[#This Row],[In-kind Contribution (IPK)]]</f>
        <v>153360</v>
      </c>
      <c r="BZ19" s="44">
        <f>Tabelle4[[#This Row],[Industry Funding from DE (IPK)]]+Tabelle4[[#This Row],[Industry Funding from BR (IPK)]]+Tabelle4[[#This Row],[Public Funding from DE (IPK)]]+Tabelle4[[#This Row],[Public Funding from BR (IPK)]]</f>
        <v>153360</v>
      </c>
      <c r="CA19" s="44">
        <f>Tabelle4[[#This Row],[Industry Funding from DE (IPK)]]+Tabelle4[[#This Row],[Industry Funding from BR (IPK)]]</f>
        <v>153360</v>
      </c>
      <c r="CB19" s="44">
        <f>Tabelle4[[#This Row],[Public Funding from DE (IPK)]]+Tabelle4[[#This Row],[Public Funding from BR (IPK)]]</f>
        <v>0</v>
      </c>
      <c r="CC19" s="44">
        <f>Tabelle4[[#This Row],[In-kind Contribution (IPK)]]</f>
        <v>0</v>
      </c>
      <c r="CD19" s="47">
        <f>(Tabelle4[[#This Row],[Total Industry Funding (IPK)]] + Tabelle4[[#This Row],[Total Public Funding (IPK)]])/Tabelle4[[#This Row],[Total Project Volume (IPK)]]</f>
        <v>1</v>
      </c>
      <c r="CE19" s="47">
        <f>Tabelle4[[#This Row],[Total Industry Funding (IPK)]] / Tabelle4[[#This Row],[Total Project Volume (IPK)]]</f>
        <v>1</v>
      </c>
      <c r="CF19" s="33" t="str">
        <f>Tabelle4[[#This Row],[Project Funding Classification]]</f>
        <v>Industry</v>
      </c>
      <c r="CG19" s="44">
        <f>Tabelle4[[#This Row],[Industry Funding from DE (IPK)]]+Tabelle4[[#This Row],[Public Funding from DE (IPK)]]</f>
        <v>0</v>
      </c>
      <c r="CH19" s="46">
        <f>Tabelle4[[#This Row],[Industry Funding from BR (IPK)]]+Tabelle4[[#This Row],[Public Funding from BR (IPK)]]</f>
        <v>153360</v>
      </c>
      <c r="CI19" s="44">
        <f>Tabelle4[[#This Row],[Industry Funding from DE (ITA)]]+Tabelle4[[#This Row],[Industry Funding from BR (ITA)]]+Tabelle4[[#This Row],[Public Funding from DE (ITA)]]+Tabelle4[[#This Row],[Public Funding from BR (ITA)]]</f>
        <v>0</v>
      </c>
      <c r="CJ19" s="44">
        <f>Tabelle4[[#This Row],[Industry Funding from DE (ITA)]]+Tabelle4[[#This Row],[Industry Funding from BR (ITA)]]</f>
        <v>0</v>
      </c>
      <c r="CK19" s="44">
        <f>Tabelle4[[#This Row],[Public Funding from DE (ITA)]]+Tabelle4[[#This Row],[Public Funding from BR (ITA)]]</f>
        <v>0</v>
      </c>
      <c r="CL19" s="47" t="e">
        <f>Tabelle4[[#This Row],[Total Industry Funding (ITA)]]/Tabelle4[[#This Row],[Total Project Volume (ITA)]]</f>
        <v>#DIV/0!</v>
      </c>
      <c r="CM19" s="33" t="e">
        <f>IF(Tabelle4[[#This Row],[Funding Ratio (ITA)]]&lt;0.5,"Public Funding","Industry")</f>
        <v>#DIV/0!</v>
      </c>
      <c r="CN19" s="44">
        <f>Tabelle4[[#This Row],[Industry Funding from DE (ITA)]]+Tabelle4[[#This Row],[Public Funding from DE (ITA)]]</f>
        <v>0</v>
      </c>
      <c r="CO19" s="46">
        <f>Tabelle4[[#This Row],[Industry Funding from BR (ITA)]]+Tabelle4[[#This Row],[Public Funding from BR (ITA)]]</f>
        <v>0</v>
      </c>
      <c r="CP19" s="44">
        <f>Tabelle4[[#This Row],[Total Project Volume (IPK)]]+Tabelle4[[#This Row],[Total Project Volume (ITA)]]</f>
        <v>153360</v>
      </c>
      <c r="CQ19" s="44">
        <f>Tabelle4[[#This Row],[Total Industry Funding (IPK)]]+Tabelle4[[#This Row],[Total Industry Funding (ITA)]]</f>
        <v>153360</v>
      </c>
      <c r="CR19" s="44">
        <f>Tabelle4[[#This Row],[Industry Funding from DE (IPK)]]+Tabelle4[[#This Row],[Industry Funding from DE (ITA)]]</f>
        <v>0</v>
      </c>
      <c r="CS19" s="44">
        <f>Tabelle4[[#This Row],[Industry Funding from BR (IPK)]]+Tabelle4[[#This Row],[Industry Funding from BR (ITA)]]</f>
        <v>153360</v>
      </c>
      <c r="CT19" s="44">
        <f>Tabelle4[[#This Row],[Total Public Funding (IPK)]]+Tabelle4[[#This Row],[Total Public Funding (ITA)]]</f>
        <v>0</v>
      </c>
      <c r="CU19" s="44">
        <f>Tabelle4[[#This Row],[Public Funding from DE (IPK)]]+Tabelle4[[#This Row],[Public Funding from DE (ITA)]]</f>
        <v>0</v>
      </c>
      <c r="CV19" s="44">
        <f>Tabelle4[[#This Row],[Public Funding from BR (IPK)]]+Tabelle4[[#This Row],[Public Funding from BR (ITA)]]</f>
        <v>0</v>
      </c>
      <c r="CW19" s="44">
        <f>Tabelle4[[#This Row],[Industry Funding from DE (FPC)]]+Tabelle4[[#This Row],[Public Funding from DE (FPC)]]</f>
        <v>0</v>
      </c>
      <c r="CX19" s="46">
        <f>Tabelle4[[#This Row],[Industry Funding from BR (FPC)]]+Tabelle4[[#This Row],[Public Funding from BR (FPC)]]</f>
        <v>153360</v>
      </c>
      <c r="CY19" s="44">
        <f>Tabelle4[[#This Row],[Total Financial Budget (Other)]]+Tabelle4[[#This Row],[Total In-kind Contribution (Other)]]</f>
        <v>0</v>
      </c>
      <c r="CZ1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9" s="44">
        <f>Tabelle4[[#This Row],[In-kind Contribution (R&amp;D III)]]+Tabelle4[[#This Row],[In-kind Contribution (R&amp;D IV)]]</f>
        <v>0</v>
      </c>
      <c r="DB19" s="158">
        <f>Tabelle4[[#This Row],[Total Budget (FPC)]]+Tabelle4[[#This Row],[Total Volume (Other)]]</f>
        <v>153360</v>
      </c>
      <c r="DC19" s="104">
        <f>Tabelle4[[#This Row],[Total Revenues (IPK)]]</f>
        <v>153360</v>
      </c>
      <c r="DD19" s="47">
        <v>0.3</v>
      </c>
      <c r="DE19" s="44">
        <f>Tabelle4[[#This Row],[Total Revenues IPK]]*Tabelle4[[#This Row],[Probability of Success]]</f>
        <v>46008</v>
      </c>
      <c r="DK19" s="47">
        <v>0.2</v>
      </c>
      <c r="DL19" s="44">
        <f>Tabelle4[[#This Row],[Real Budget IPK]]*Tabelle4[[#This Row],[Acquisition Factor OE810]]</f>
        <v>9201.6</v>
      </c>
      <c r="DN19" s="46">
        <f>Tabelle4[[#This Row],[Acquisition Bonus OE810]]+Tabelle4[[#This Row],[Project Execution OE810]]</f>
        <v>9201.6</v>
      </c>
      <c r="XDP19" s="42"/>
      <c r="XDY19" s="59"/>
      <c r="XEB19" s="144"/>
      <c r="XED19" s="59"/>
      <c r="XEE19" s="59"/>
      <c r="XEG19" s="59"/>
      <c r="XEH19" s="59"/>
      <c r="XEI19" s="59"/>
      <c r="XEJ19" s="59"/>
      <c r="XEK19" s="59"/>
      <c r="XEL19" s="59"/>
      <c r="XEM19" s="59"/>
      <c r="XEN19" s="59"/>
      <c r="XEO19" s="42"/>
      <c r="XEQ19" s="104"/>
      <c r="XER19" s="104"/>
      <c r="XES19" s="104"/>
      <c r="XET19" s="104"/>
      <c r="XEU19" s="104"/>
      <c r="XEV19" s="42"/>
      <c r="XEY19" s="104"/>
      <c r="XEZ19" s="104"/>
      <c r="XFA19" s="104"/>
      <c r="XFB19" s="104"/>
      <c r="XFC19" s="104"/>
    </row>
    <row r="20" spans="1:118 16344:16383" ht="27.75" x14ac:dyDescent="0.45">
      <c r="A20" s="42" t="s">
        <v>849</v>
      </c>
      <c r="B20" s="33" t="s">
        <v>850</v>
      </c>
      <c r="C20" s="33" t="s">
        <v>399</v>
      </c>
      <c r="D20" s="33" t="s">
        <v>705</v>
      </c>
      <c r="E20" s="33">
        <v>1</v>
      </c>
      <c r="F20" s="33">
        <v>0</v>
      </c>
      <c r="G20" s="33" t="s">
        <v>2</v>
      </c>
      <c r="H20" s="33" t="s">
        <v>96</v>
      </c>
      <c r="I20" s="33" t="s">
        <v>862</v>
      </c>
      <c r="J20" s="59">
        <v>44532</v>
      </c>
      <c r="K20" s="33" t="s">
        <v>241</v>
      </c>
      <c r="L20" s="33" t="s">
        <v>305</v>
      </c>
      <c r="Z20" s="42" t="str">
        <f t="shared" ref="Z20:Z25" si="4">"IPK"</f>
        <v>IPK</v>
      </c>
      <c r="AB20" s="104"/>
      <c r="AC20" s="104"/>
      <c r="AD20" s="104"/>
      <c r="AE20" s="104"/>
      <c r="AF20" s="104"/>
      <c r="AG20" s="42" t="str">
        <f t="shared" ref="AG20:AG25" si="5">"ITA"</f>
        <v>ITA</v>
      </c>
      <c r="AH20" s="33" t="s">
        <v>787</v>
      </c>
      <c r="AI20" s="33" t="s">
        <v>717</v>
      </c>
      <c r="AO20" s="42"/>
      <c r="AQ20" s="104"/>
      <c r="AR20" s="104"/>
      <c r="AS20" s="104"/>
      <c r="AT20" s="104"/>
      <c r="AU20" s="104"/>
      <c r="AV20" s="42"/>
      <c r="AX20" s="104"/>
      <c r="AY20" s="104"/>
      <c r="AZ20" s="104"/>
      <c r="BA20" s="104"/>
      <c r="BB20" s="104"/>
      <c r="BC20" s="42"/>
      <c r="BE20" s="104"/>
      <c r="BF20" s="101"/>
      <c r="BI20" s="104"/>
      <c r="BJ20" s="101"/>
      <c r="BM20" s="104"/>
      <c r="BN20" s="101"/>
      <c r="BQ20" s="104"/>
      <c r="BR20" s="101"/>
      <c r="BU20" s="101"/>
      <c r="BX20" s="101"/>
      <c r="BY20" s="44">
        <f>Tabelle4[[#This Row],[Industry Funding from DE (IPK)]]+Tabelle4[[#This Row],[Industry Funding from BR (IPK)]]+Tabelle4[[#This Row],[Public Funding from DE (IPK)]]+Tabelle4[[#This Row],[Public Funding from BR (IPK)]]+Tabelle4[[#This Row],[In-kind Contribution (IPK)]]</f>
        <v>0</v>
      </c>
      <c r="BZ20" s="44">
        <f>Tabelle4[[#This Row],[Industry Funding from DE (IPK)]]+Tabelle4[[#This Row],[Industry Funding from BR (IPK)]]+Tabelle4[[#This Row],[Public Funding from DE (IPK)]]+Tabelle4[[#This Row],[Public Funding from BR (IPK)]]</f>
        <v>0</v>
      </c>
      <c r="CA20" s="44">
        <f>Tabelle4[[#This Row],[Industry Funding from DE (IPK)]]+Tabelle4[[#This Row],[Industry Funding from BR (IPK)]]</f>
        <v>0</v>
      </c>
      <c r="CB20" s="44">
        <f>Tabelle4[[#This Row],[Public Funding from DE (IPK)]]+Tabelle4[[#This Row],[Public Funding from BR (IPK)]]</f>
        <v>0</v>
      </c>
      <c r="CC20" s="44">
        <f>Tabelle4[[#This Row],[In-kind Contribution (IPK)]]</f>
        <v>0</v>
      </c>
      <c r="CD20" s="47" t="e">
        <f>(Tabelle4[[#This Row],[Total Industry Funding (IPK)]] + Tabelle4[[#This Row],[Total Public Funding (IPK)]])/Tabelle4[[#This Row],[Total Project Volume (IPK)]]</f>
        <v>#DIV/0!</v>
      </c>
      <c r="CE20" s="47" t="e">
        <f>Tabelle4[[#This Row],[Total Industry Funding (IPK)]] / Tabelle4[[#This Row],[Total Project Volume (IPK)]]</f>
        <v>#DIV/0!</v>
      </c>
      <c r="CF20" s="33" t="str">
        <f>Tabelle4[[#This Row],[Project Funding Classification]]</f>
        <v>Public Funding</v>
      </c>
      <c r="CG20" s="44">
        <f>Tabelle4[[#This Row],[Industry Funding from DE (IPK)]]+Tabelle4[[#This Row],[Public Funding from DE (IPK)]]</f>
        <v>0</v>
      </c>
      <c r="CH20" s="46">
        <f>Tabelle4[[#This Row],[Industry Funding from BR (IPK)]]+Tabelle4[[#This Row],[Public Funding from BR (IPK)]]</f>
        <v>0</v>
      </c>
      <c r="CI20" s="44">
        <f>Tabelle4[[#This Row],[Industry Funding from DE (ITA)]]+Tabelle4[[#This Row],[Industry Funding from BR (ITA)]]+Tabelle4[[#This Row],[Public Funding from DE (ITA)]]+Tabelle4[[#This Row],[Public Funding from BR (ITA)]]</f>
        <v>0</v>
      </c>
      <c r="CJ20" s="44">
        <f>Tabelle4[[#This Row],[Industry Funding from DE (ITA)]]+Tabelle4[[#This Row],[Industry Funding from BR (ITA)]]</f>
        <v>0</v>
      </c>
      <c r="CK20" s="44">
        <f>Tabelle4[[#This Row],[Public Funding from DE (ITA)]]+Tabelle4[[#This Row],[Public Funding from BR (ITA)]]</f>
        <v>0</v>
      </c>
      <c r="CL20" s="47" t="e">
        <f>Tabelle4[[#This Row],[Total Industry Funding (ITA)]]/Tabelle4[[#This Row],[Total Project Volume (ITA)]]</f>
        <v>#DIV/0!</v>
      </c>
      <c r="CM20" s="33" t="e">
        <f>IF(Tabelle4[[#This Row],[Funding Ratio (ITA)]]&lt;0.5,"Public Funding","Industry")</f>
        <v>#DIV/0!</v>
      </c>
      <c r="CN20" s="44">
        <f>Tabelle4[[#This Row],[Industry Funding from DE (ITA)]]+Tabelle4[[#This Row],[Public Funding from DE (ITA)]]</f>
        <v>0</v>
      </c>
      <c r="CO20" s="46">
        <f>Tabelle4[[#This Row],[Industry Funding from BR (ITA)]]+Tabelle4[[#This Row],[Public Funding from BR (ITA)]]</f>
        <v>0</v>
      </c>
      <c r="CP20" s="44">
        <f>Tabelle4[[#This Row],[Total Project Volume (IPK)]]+Tabelle4[[#This Row],[Total Project Volume (ITA)]]</f>
        <v>0</v>
      </c>
      <c r="CQ20" s="44">
        <f>Tabelle4[[#This Row],[Total Industry Funding (IPK)]]+Tabelle4[[#This Row],[Total Industry Funding (ITA)]]</f>
        <v>0</v>
      </c>
      <c r="CR20" s="44">
        <f>Tabelle4[[#This Row],[Industry Funding from DE (IPK)]]+Tabelle4[[#This Row],[Industry Funding from DE (ITA)]]</f>
        <v>0</v>
      </c>
      <c r="CS20" s="44">
        <f>Tabelle4[[#This Row],[Industry Funding from BR (IPK)]]+Tabelle4[[#This Row],[Industry Funding from BR (ITA)]]</f>
        <v>0</v>
      </c>
      <c r="CT20" s="44">
        <f>Tabelle4[[#This Row],[Total Public Funding (IPK)]]+Tabelle4[[#This Row],[Total Public Funding (ITA)]]</f>
        <v>0</v>
      </c>
      <c r="CU20" s="44">
        <f>Tabelle4[[#This Row],[Public Funding from DE (IPK)]]+Tabelle4[[#This Row],[Public Funding from DE (ITA)]]</f>
        <v>0</v>
      </c>
      <c r="CV20" s="44">
        <f>Tabelle4[[#This Row],[Public Funding from BR (IPK)]]+Tabelle4[[#This Row],[Public Funding from BR (ITA)]]</f>
        <v>0</v>
      </c>
      <c r="CW20" s="44">
        <f>Tabelle4[[#This Row],[Industry Funding from DE (FPC)]]+Tabelle4[[#This Row],[Public Funding from DE (FPC)]]</f>
        <v>0</v>
      </c>
      <c r="CX20" s="46">
        <f>Tabelle4[[#This Row],[Industry Funding from BR (FPC)]]+Tabelle4[[#This Row],[Public Funding from BR (FPC)]]</f>
        <v>0</v>
      </c>
      <c r="CY20" s="44">
        <f>Tabelle4[[#This Row],[Total Financial Budget (Other)]]+Tabelle4[[#This Row],[Total In-kind Contribution (Other)]]</f>
        <v>0</v>
      </c>
      <c r="CZ2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20" s="44">
        <f>Tabelle4[[#This Row],[In-kind Contribution (R&amp;D III)]]+Tabelle4[[#This Row],[In-kind Contribution (R&amp;D IV)]]</f>
        <v>0</v>
      </c>
      <c r="DB20" s="158">
        <f>Tabelle4[[#This Row],[Total Budget (FPC)]]+Tabelle4[[#This Row],[Total Volume (Other)]]</f>
        <v>0</v>
      </c>
      <c r="DC20" s="104">
        <f>Tabelle4[[#This Row],[Total Revenues (IPK)]]</f>
        <v>0</v>
      </c>
      <c r="DE20" s="44">
        <f>Tabelle4[[#This Row],[Total Revenues IPK]]*Tabelle4[[#This Row],[Probability of Success]]</f>
        <v>0</v>
      </c>
      <c r="DL20" s="44">
        <f>Tabelle4[[#This Row],[Real Budget IPK]]*Tabelle4[[#This Row],[Acquisition Factor OE810]]</f>
        <v>0</v>
      </c>
      <c r="DN20" s="46">
        <f>Tabelle4[[#This Row],[Acquisition Bonus OE810]]+Tabelle4[[#This Row],[Project Execution OE810]]</f>
        <v>0</v>
      </c>
      <c r="XDP20" s="42"/>
      <c r="XDY20" s="59"/>
      <c r="XEB20" s="144"/>
      <c r="XED20" s="59"/>
      <c r="XEE20" s="59"/>
      <c r="XEG20" s="59"/>
      <c r="XEH20" s="59"/>
      <c r="XEI20" s="59"/>
      <c r="XEJ20" s="59"/>
      <c r="XEK20" s="59"/>
      <c r="XEL20" s="59"/>
      <c r="XEM20" s="59"/>
      <c r="XEN20" s="59"/>
      <c r="XEO20" s="42"/>
      <c r="XEQ20" s="104"/>
      <c r="XER20" s="104"/>
      <c r="XES20" s="104"/>
      <c r="XET20" s="104"/>
      <c r="XEU20" s="104"/>
      <c r="XEV20" s="42"/>
      <c r="XEY20" s="104"/>
      <c r="XEZ20" s="104"/>
      <c r="XFA20" s="104"/>
      <c r="XFB20" s="104"/>
      <c r="XFC20" s="104"/>
    </row>
    <row r="21" spans="1:118 16344:16383" ht="27.75" x14ac:dyDescent="0.45">
      <c r="A21" s="42" t="s">
        <v>786</v>
      </c>
      <c r="B21" s="33" t="s">
        <v>848</v>
      </c>
      <c r="C21" s="33" t="s">
        <v>785</v>
      </c>
      <c r="D21" s="33" t="s">
        <v>706</v>
      </c>
      <c r="E21" s="33">
        <v>1</v>
      </c>
      <c r="F21" s="33">
        <v>0</v>
      </c>
      <c r="G21" s="33" t="s">
        <v>2</v>
      </c>
      <c r="H21" s="33" t="s">
        <v>0</v>
      </c>
      <c r="J21" s="59">
        <v>44509</v>
      </c>
      <c r="K21" s="33" t="s">
        <v>241</v>
      </c>
      <c r="L21" s="33" t="s">
        <v>306</v>
      </c>
      <c r="Z21" s="42" t="str">
        <f t="shared" si="4"/>
        <v>IPK</v>
      </c>
      <c r="AB21" s="104"/>
      <c r="AC21" s="104"/>
      <c r="AD21" s="104"/>
      <c r="AE21" s="104"/>
      <c r="AF21" s="104"/>
      <c r="AG21" s="42" t="str">
        <f t="shared" si="5"/>
        <v>ITA</v>
      </c>
      <c r="AH21" s="33" t="s">
        <v>386</v>
      </c>
      <c r="AI21" s="33" t="s">
        <v>717</v>
      </c>
      <c r="AO21" s="42"/>
      <c r="AQ21" s="104"/>
      <c r="AR21" s="104"/>
      <c r="AS21" s="104"/>
      <c r="AT21" s="104"/>
      <c r="AU21" s="104"/>
      <c r="AV21" s="42"/>
      <c r="AX21" s="104"/>
      <c r="AY21" s="104"/>
      <c r="AZ21" s="104"/>
      <c r="BA21" s="104"/>
      <c r="BB21" s="104"/>
      <c r="BC21" s="42"/>
      <c r="BE21" s="104"/>
      <c r="BF21" s="101"/>
      <c r="BI21" s="104"/>
      <c r="BJ21" s="101"/>
      <c r="BM21" s="104"/>
      <c r="BN21" s="101"/>
      <c r="BQ21" s="104"/>
      <c r="BR21" s="101"/>
      <c r="BU21" s="101"/>
      <c r="BX21" s="101"/>
      <c r="BY21" s="44">
        <f>Tabelle4[[#This Row],[Industry Funding from DE (IPK)]]+Tabelle4[[#This Row],[Industry Funding from BR (IPK)]]+Tabelle4[[#This Row],[Public Funding from DE (IPK)]]+Tabelle4[[#This Row],[Public Funding from BR (IPK)]]+Tabelle4[[#This Row],[In-kind Contribution (IPK)]]</f>
        <v>0</v>
      </c>
      <c r="BZ21" s="44">
        <f>Tabelle4[[#This Row],[Industry Funding from DE (IPK)]]+Tabelle4[[#This Row],[Industry Funding from BR (IPK)]]+Tabelle4[[#This Row],[Public Funding from DE (IPK)]]+Tabelle4[[#This Row],[Public Funding from BR (IPK)]]</f>
        <v>0</v>
      </c>
      <c r="CA21" s="44">
        <f>Tabelle4[[#This Row],[Industry Funding from DE (IPK)]]+Tabelle4[[#This Row],[Industry Funding from BR (IPK)]]</f>
        <v>0</v>
      </c>
      <c r="CB21" s="44">
        <f>Tabelle4[[#This Row],[Public Funding from DE (IPK)]]+Tabelle4[[#This Row],[Public Funding from BR (IPK)]]</f>
        <v>0</v>
      </c>
      <c r="CC21" s="44">
        <f>Tabelle4[[#This Row],[In-kind Contribution (IPK)]]</f>
        <v>0</v>
      </c>
      <c r="CD21" s="47" t="e">
        <f>(Tabelle4[[#This Row],[Total Industry Funding (IPK)]] + Tabelle4[[#This Row],[Total Public Funding (IPK)]])/Tabelle4[[#This Row],[Total Project Volume (IPK)]]</f>
        <v>#DIV/0!</v>
      </c>
      <c r="CE21" s="47" t="e">
        <f>Tabelle4[[#This Row],[Total Industry Funding (IPK)]] / Tabelle4[[#This Row],[Total Project Volume (IPK)]]</f>
        <v>#DIV/0!</v>
      </c>
      <c r="CF21" s="33" t="str">
        <f>Tabelle4[[#This Row],[Project Funding Classification]]</f>
        <v>Industry</v>
      </c>
      <c r="CG21" s="44">
        <f>Tabelle4[[#This Row],[Industry Funding from DE (IPK)]]+Tabelle4[[#This Row],[Public Funding from DE (IPK)]]</f>
        <v>0</v>
      </c>
      <c r="CH21" s="46">
        <f>Tabelle4[[#This Row],[Industry Funding from BR (IPK)]]+Tabelle4[[#This Row],[Public Funding from BR (IPK)]]</f>
        <v>0</v>
      </c>
      <c r="CI21" s="44">
        <f>Tabelle4[[#This Row],[Industry Funding from DE (ITA)]]+Tabelle4[[#This Row],[Industry Funding from BR (ITA)]]+Tabelle4[[#This Row],[Public Funding from DE (ITA)]]+Tabelle4[[#This Row],[Public Funding from BR (ITA)]]</f>
        <v>0</v>
      </c>
      <c r="CJ21" s="44">
        <f>Tabelle4[[#This Row],[Industry Funding from DE (ITA)]]+Tabelle4[[#This Row],[Industry Funding from BR (ITA)]]</f>
        <v>0</v>
      </c>
      <c r="CK21" s="44">
        <f>Tabelle4[[#This Row],[Public Funding from DE (ITA)]]+Tabelle4[[#This Row],[Public Funding from BR (ITA)]]</f>
        <v>0</v>
      </c>
      <c r="CL21" s="47" t="e">
        <f>Tabelle4[[#This Row],[Total Industry Funding (ITA)]]/Tabelle4[[#This Row],[Total Project Volume (ITA)]]</f>
        <v>#DIV/0!</v>
      </c>
      <c r="CM21" s="33" t="e">
        <f>IF(Tabelle4[[#This Row],[Funding Ratio (ITA)]]&lt;0.5,"Public Funding","Industry")</f>
        <v>#DIV/0!</v>
      </c>
      <c r="CN21" s="44">
        <f>Tabelle4[[#This Row],[Industry Funding from DE (ITA)]]+Tabelle4[[#This Row],[Public Funding from DE (ITA)]]</f>
        <v>0</v>
      </c>
      <c r="CO21" s="46">
        <f>Tabelle4[[#This Row],[Industry Funding from BR (ITA)]]+Tabelle4[[#This Row],[Public Funding from BR (ITA)]]</f>
        <v>0</v>
      </c>
      <c r="CP21" s="44">
        <f>Tabelle4[[#This Row],[Total Project Volume (IPK)]]+Tabelle4[[#This Row],[Total Project Volume (ITA)]]</f>
        <v>0</v>
      </c>
      <c r="CQ21" s="44">
        <f>Tabelle4[[#This Row],[Total Industry Funding (IPK)]]+Tabelle4[[#This Row],[Total Industry Funding (ITA)]]</f>
        <v>0</v>
      </c>
      <c r="CR21" s="44">
        <f>Tabelle4[[#This Row],[Industry Funding from DE (IPK)]]+Tabelle4[[#This Row],[Industry Funding from DE (ITA)]]</f>
        <v>0</v>
      </c>
      <c r="CS21" s="44">
        <f>Tabelle4[[#This Row],[Industry Funding from BR (IPK)]]+Tabelle4[[#This Row],[Industry Funding from BR (ITA)]]</f>
        <v>0</v>
      </c>
      <c r="CT21" s="44">
        <f>Tabelle4[[#This Row],[Total Public Funding (IPK)]]+Tabelle4[[#This Row],[Total Public Funding (ITA)]]</f>
        <v>0</v>
      </c>
      <c r="CU21" s="44">
        <f>Tabelle4[[#This Row],[Public Funding from DE (IPK)]]+Tabelle4[[#This Row],[Public Funding from DE (ITA)]]</f>
        <v>0</v>
      </c>
      <c r="CV21" s="44">
        <f>Tabelle4[[#This Row],[Public Funding from BR (IPK)]]+Tabelle4[[#This Row],[Public Funding from BR (ITA)]]</f>
        <v>0</v>
      </c>
      <c r="CW21" s="44">
        <f>Tabelle4[[#This Row],[Industry Funding from DE (FPC)]]+Tabelle4[[#This Row],[Public Funding from DE (FPC)]]</f>
        <v>0</v>
      </c>
      <c r="CX21" s="46">
        <f>Tabelle4[[#This Row],[Industry Funding from BR (FPC)]]+Tabelle4[[#This Row],[Public Funding from BR (FPC)]]</f>
        <v>0</v>
      </c>
      <c r="CY21" s="44">
        <f>Tabelle4[[#This Row],[Total Financial Budget (Other)]]+Tabelle4[[#This Row],[Total In-kind Contribution (Other)]]</f>
        <v>0</v>
      </c>
      <c r="CZ2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21" s="44">
        <f>Tabelle4[[#This Row],[In-kind Contribution (R&amp;D III)]]+Tabelle4[[#This Row],[In-kind Contribution (R&amp;D IV)]]</f>
        <v>0</v>
      </c>
      <c r="DB21" s="158">
        <f>Tabelle4[[#This Row],[Total Budget (FPC)]]+Tabelle4[[#This Row],[Total Volume (Other)]]</f>
        <v>0</v>
      </c>
      <c r="DC21" s="104">
        <f>Tabelle4[[#This Row],[Total Revenues (IPK)]]</f>
        <v>0</v>
      </c>
      <c r="DE21" s="44">
        <f>Tabelle4[[#This Row],[Total Revenues IPK]]*Tabelle4[[#This Row],[Probability of Success]]</f>
        <v>0</v>
      </c>
      <c r="DL21" s="44">
        <f>Tabelle4[[#This Row],[Real Budget IPK]]*Tabelle4[[#This Row],[Acquisition Factor OE810]]</f>
        <v>0</v>
      </c>
      <c r="DN21" s="46">
        <f>Tabelle4[[#This Row],[Acquisition Bonus OE810]]+Tabelle4[[#This Row],[Project Execution OE810]]</f>
        <v>0</v>
      </c>
    </row>
    <row r="22" spans="1:118 16344:16383" ht="27.75" x14ac:dyDescent="0.45">
      <c r="A22" s="42" t="s">
        <v>783</v>
      </c>
      <c r="B22" s="33" t="s">
        <v>845</v>
      </c>
      <c r="C22" s="33" t="s">
        <v>782</v>
      </c>
      <c r="D22" s="33" t="s">
        <v>708</v>
      </c>
      <c r="E22" s="33">
        <v>1</v>
      </c>
      <c r="F22" s="33">
        <v>0</v>
      </c>
      <c r="G22" s="33" t="s">
        <v>2</v>
      </c>
      <c r="H22" s="33" t="s">
        <v>0</v>
      </c>
      <c r="I22" s="33" t="s">
        <v>834</v>
      </c>
      <c r="J22" s="59">
        <v>44509</v>
      </c>
      <c r="K22" s="33" t="s">
        <v>630</v>
      </c>
      <c r="L22" s="33" t="s">
        <v>305</v>
      </c>
      <c r="Z22" s="42" t="str">
        <f t="shared" si="4"/>
        <v>IPK</v>
      </c>
      <c r="AB22" s="104"/>
      <c r="AC22" s="104"/>
      <c r="AD22" s="104"/>
      <c r="AE22" s="104"/>
      <c r="AF22" s="104"/>
      <c r="AG22" s="42" t="str">
        <f t="shared" si="5"/>
        <v>ITA</v>
      </c>
      <c r="AH22" s="33" t="s">
        <v>784</v>
      </c>
      <c r="AI22" s="33" t="s">
        <v>438</v>
      </c>
      <c r="AO22" s="42"/>
      <c r="AQ22" s="104"/>
      <c r="AR22" s="104"/>
      <c r="AS22" s="104"/>
      <c r="AT22" s="104"/>
      <c r="AU22" s="104"/>
      <c r="AV22" s="42"/>
      <c r="AX22" s="104"/>
      <c r="AY22" s="104"/>
      <c r="AZ22" s="104"/>
      <c r="BA22" s="104"/>
      <c r="BB22" s="104"/>
      <c r="BC22" s="42"/>
      <c r="BE22" s="104"/>
      <c r="BF22" s="101"/>
      <c r="BI22" s="104"/>
      <c r="BJ22" s="101"/>
      <c r="BM22" s="104"/>
      <c r="BN22" s="101"/>
      <c r="BQ22" s="104"/>
      <c r="BR22" s="101"/>
      <c r="BU22" s="101"/>
      <c r="BX22" s="101"/>
      <c r="BY22" s="44">
        <f>Tabelle4[[#This Row],[Industry Funding from DE (IPK)]]+Tabelle4[[#This Row],[Industry Funding from BR (IPK)]]+Tabelle4[[#This Row],[Public Funding from DE (IPK)]]+Tabelle4[[#This Row],[Public Funding from BR (IPK)]]+Tabelle4[[#This Row],[In-kind Contribution (IPK)]]</f>
        <v>0</v>
      </c>
      <c r="BZ22" s="44">
        <f>Tabelle4[[#This Row],[Industry Funding from DE (IPK)]]+Tabelle4[[#This Row],[Industry Funding from BR (IPK)]]+Tabelle4[[#This Row],[Public Funding from DE (IPK)]]+Tabelle4[[#This Row],[Public Funding from BR (IPK)]]</f>
        <v>0</v>
      </c>
      <c r="CA22" s="44">
        <f>Tabelle4[[#This Row],[Industry Funding from DE (IPK)]]+Tabelle4[[#This Row],[Industry Funding from BR (IPK)]]</f>
        <v>0</v>
      </c>
      <c r="CB22" s="44">
        <f>Tabelle4[[#This Row],[Public Funding from DE (IPK)]]+Tabelle4[[#This Row],[Public Funding from BR (IPK)]]</f>
        <v>0</v>
      </c>
      <c r="CC22" s="44">
        <f>Tabelle4[[#This Row],[In-kind Contribution (IPK)]]</f>
        <v>0</v>
      </c>
      <c r="CD22" s="47" t="e">
        <f>(Tabelle4[[#This Row],[Total Industry Funding (IPK)]] + Tabelle4[[#This Row],[Total Public Funding (IPK)]])/Tabelle4[[#This Row],[Total Project Volume (IPK)]]</f>
        <v>#DIV/0!</v>
      </c>
      <c r="CE22" s="47" t="e">
        <f>Tabelle4[[#This Row],[Total Industry Funding (IPK)]] / Tabelle4[[#This Row],[Total Project Volume (IPK)]]</f>
        <v>#DIV/0!</v>
      </c>
      <c r="CF22" s="33" t="str">
        <f>Tabelle4[[#This Row],[Project Funding Classification]]</f>
        <v>Industry</v>
      </c>
      <c r="CG22" s="44">
        <f>Tabelle4[[#This Row],[Industry Funding from DE (IPK)]]+Tabelle4[[#This Row],[Public Funding from DE (IPK)]]</f>
        <v>0</v>
      </c>
      <c r="CH22" s="46">
        <f>Tabelle4[[#This Row],[Industry Funding from BR (IPK)]]+Tabelle4[[#This Row],[Public Funding from BR (IPK)]]</f>
        <v>0</v>
      </c>
      <c r="CI22" s="44">
        <f>Tabelle4[[#This Row],[Industry Funding from DE (ITA)]]+Tabelle4[[#This Row],[Industry Funding from BR (ITA)]]+Tabelle4[[#This Row],[Public Funding from DE (ITA)]]+Tabelle4[[#This Row],[Public Funding from BR (ITA)]]</f>
        <v>0</v>
      </c>
      <c r="CJ22" s="44">
        <f>Tabelle4[[#This Row],[Industry Funding from DE (ITA)]]+Tabelle4[[#This Row],[Industry Funding from BR (ITA)]]</f>
        <v>0</v>
      </c>
      <c r="CK22" s="44">
        <f>Tabelle4[[#This Row],[Public Funding from DE (ITA)]]+Tabelle4[[#This Row],[Public Funding from BR (ITA)]]</f>
        <v>0</v>
      </c>
      <c r="CL22" s="47" t="e">
        <f>Tabelle4[[#This Row],[Total Industry Funding (ITA)]]/Tabelle4[[#This Row],[Total Project Volume (ITA)]]</f>
        <v>#DIV/0!</v>
      </c>
      <c r="CM22" s="33" t="e">
        <f>IF(Tabelle4[[#This Row],[Funding Ratio (ITA)]]&lt;0.5,"Public Funding","Industry")</f>
        <v>#DIV/0!</v>
      </c>
      <c r="CN22" s="44">
        <f>Tabelle4[[#This Row],[Industry Funding from DE (ITA)]]+Tabelle4[[#This Row],[Public Funding from DE (ITA)]]</f>
        <v>0</v>
      </c>
      <c r="CO22" s="46">
        <f>Tabelle4[[#This Row],[Industry Funding from BR (ITA)]]+Tabelle4[[#This Row],[Public Funding from BR (ITA)]]</f>
        <v>0</v>
      </c>
      <c r="CP22" s="44">
        <f>Tabelle4[[#This Row],[Total Project Volume (IPK)]]+Tabelle4[[#This Row],[Total Project Volume (ITA)]]</f>
        <v>0</v>
      </c>
      <c r="CQ22" s="44">
        <f>Tabelle4[[#This Row],[Total Industry Funding (IPK)]]+Tabelle4[[#This Row],[Total Industry Funding (ITA)]]</f>
        <v>0</v>
      </c>
      <c r="CR22" s="44">
        <f>Tabelle4[[#This Row],[Industry Funding from DE (IPK)]]+Tabelle4[[#This Row],[Industry Funding from DE (ITA)]]</f>
        <v>0</v>
      </c>
      <c r="CS22" s="44">
        <f>Tabelle4[[#This Row],[Industry Funding from BR (IPK)]]+Tabelle4[[#This Row],[Industry Funding from BR (ITA)]]</f>
        <v>0</v>
      </c>
      <c r="CT22" s="44">
        <f>Tabelle4[[#This Row],[Total Public Funding (IPK)]]+Tabelle4[[#This Row],[Total Public Funding (ITA)]]</f>
        <v>0</v>
      </c>
      <c r="CU22" s="44">
        <f>Tabelle4[[#This Row],[Public Funding from DE (IPK)]]+Tabelle4[[#This Row],[Public Funding from DE (ITA)]]</f>
        <v>0</v>
      </c>
      <c r="CV22" s="44">
        <f>Tabelle4[[#This Row],[Public Funding from BR (IPK)]]+Tabelle4[[#This Row],[Public Funding from BR (ITA)]]</f>
        <v>0</v>
      </c>
      <c r="CW22" s="44">
        <f>Tabelle4[[#This Row],[Industry Funding from DE (FPC)]]+Tabelle4[[#This Row],[Public Funding from DE (FPC)]]</f>
        <v>0</v>
      </c>
      <c r="CX22" s="46">
        <f>Tabelle4[[#This Row],[Industry Funding from BR (FPC)]]+Tabelle4[[#This Row],[Public Funding from BR (FPC)]]</f>
        <v>0</v>
      </c>
      <c r="CY22" s="44">
        <f>Tabelle4[[#This Row],[Total Financial Budget (Other)]]+Tabelle4[[#This Row],[Total In-kind Contribution (Other)]]</f>
        <v>0</v>
      </c>
      <c r="CZ2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22" s="44">
        <f>Tabelle4[[#This Row],[In-kind Contribution (R&amp;D III)]]+Tabelle4[[#This Row],[In-kind Contribution (R&amp;D IV)]]</f>
        <v>0</v>
      </c>
      <c r="DB22" s="158">
        <f>Tabelle4[[#This Row],[Total Budget (FPC)]]+Tabelle4[[#This Row],[Total Volume (Other)]]</f>
        <v>0</v>
      </c>
      <c r="DC22" s="104">
        <f>Tabelle4[[#This Row],[Total Revenues (IPK)]]</f>
        <v>0</v>
      </c>
      <c r="DE22" s="44">
        <f>Tabelle4[[#This Row],[Total Revenues IPK]]*Tabelle4[[#This Row],[Probability of Success]]</f>
        <v>0</v>
      </c>
      <c r="DL22" s="44">
        <f>Tabelle4[[#This Row],[Real Budget IPK]]*Tabelle4[[#This Row],[Acquisition Factor OE810]]</f>
        <v>0</v>
      </c>
      <c r="DN22" s="46">
        <f>Tabelle4[[#This Row],[Acquisition Bonus OE810]]+Tabelle4[[#This Row],[Project Execution OE810]]</f>
        <v>0</v>
      </c>
    </row>
    <row r="23" spans="1:118 16344:16383" ht="27.75" x14ac:dyDescent="0.45">
      <c r="A23" s="42" t="s">
        <v>780</v>
      </c>
      <c r="B23" s="33" t="s">
        <v>844</v>
      </c>
      <c r="C23" s="33" t="s">
        <v>781</v>
      </c>
      <c r="D23" s="33" t="s">
        <v>708</v>
      </c>
      <c r="E23" s="33">
        <v>1</v>
      </c>
      <c r="F23" s="33">
        <v>0</v>
      </c>
      <c r="G23" s="33" t="s">
        <v>2</v>
      </c>
      <c r="H23" s="33" t="s">
        <v>0</v>
      </c>
      <c r="J23" s="59">
        <v>44510</v>
      </c>
      <c r="K23" s="33" t="s">
        <v>630</v>
      </c>
      <c r="L23" s="33" t="s">
        <v>305</v>
      </c>
      <c r="Z23" s="42" t="str">
        <f t="shared" si="4"/>
        <v>IPK</v>
      </c>
      <c r="AB23" s="104"/>
      <c r="AC23" s="104"/>
      <c r="AD23" s="104"/>
      <c r="AE23" s="104"/>
      <c r="AF23" s="104"/>
      <c r="AG23" s="42" t="str">
        <f t="shared" si="5"/>
        <v>ITA</v>
      </c>
      <c r="AH23" s="33" t="s">
        <v>130</v>
      </c>
      <c r="AI23" s="33" t="s">
        <v>438</v>
      </c>
      <c r="AO23" s="42"/>
      <c r="AQ23" s="104"/>
      <c r="AR23" s="104"/>
      <c r="AS23" s="104"/>
      <c r="AT23" s="104"/>
      <c r="AU23" s="104"/>
      <c r="AV23" s="42"/>
      <c r="AX23" s="104"/>
      <c r="AY23" s="104"/>
      <c r="AZ23" s="104"/>
      <c r="BA23" s="104"/>
      <c r="BB23" s="104"/>
      <c r="BC23" s="42"/>
      <c r="BE23" s="104"/>
      <c r="BF23" s="101"/>
      <c r="BI23" s="104"/>
      <c r="BJ23" s="101"/>
      <c r="BM23" s="104"/>
      <c r="BN23" s="101"/>
      <c r="BQ23" s="104"/>
      <c r="BR23" s="101"/>
      <c r="BU23" s="101"/>
      <c r="BX23" s="101"/>
      <c r="BY23" s="44">
        <f>Tabelle4[[#This Row],[Industry Funding from DE (IPK)]]+Tabelle4[[#This Row],[Industry Funding from BR (IPK)]]+Tabelle4[[#This Row],[Public Funding from DE (IPK)]]+Tabelle4[[#This Row],[Public Funding from BR (IPK)]]+Tabelle4[[#This Row],[In-kind Contribution (IPK)]]</f>
        <v>0</v>
      </c>
      <c r="BZ23" s="44">
        <f>Tabelle4[[#This Row],[Industry Funding from DE (IPK)]]+Tabelle4[[#This Row],[Industry Funding from BR (IPK)]]+Tabelle4[[#This Row],[Public Funding from DE (IPK)]]+Tabelle4[[#This Row],[Public Funding from BR (IPK)]]</f>
        <v>0</v>
      </c>
      <c r="CA23" s="44">
        <f>Tabelle4[[#This Row],[Industry Funding from DE (IPK)]]+Tabelle4[[#This Row],[Industry Funding from BR (IPK)]]</f>
        <v>0</v>
      </c>
      <c r="CB23" s="44">
        <f>Tabelle4[[#This Row],[Public Funding from DE (IPK)]]+Tabelle4[[#This Row],[Public Funding from BR (IPK)]]</f>
        <v>0</v>
      </c>
      <c r="CC23" s="44">
        <f>Tabelle4[[#This Row],[In-kind Contribution (IPK)]]</f>
        <v>0</v>
      </c>
      <c r="CD23" s="47" t="e">
        <f>(Tabelle4[[#This Row],[Total Industry Funding (IPK)]] + Tabelle4[[#This Row],[Total Public Funding (IPK)]])/Tabelle4[[#This Row],[Total Project Volume (IPK)]]</f>
        <v>#DIV/0!</v>
      </c>
      <c r="CE23" s="47" t="e">
        <f>Tabelle4[[#This Row],[Total Industry Funding (IPK)]] / Tabelle4[[#This Row],[Total Project Volume (IPK)]]</f>
        <v>#DIV/0!</v>
      </c>
      <c r="CF23" s="33" t="str">
        <f>Tabelle4[[#This Row],[Project Funding Classification]]</f>
        <v>Industry</v>
      </c>
      <c r="CG23" s="44">
        <f>Tabelle4[[#This Row],[Industry Funding from DE (IPK)]]+Tabelle4[[#This Row],[Public Funding from DE (IPK)]]</f>
        <v>0</v>
      </c>
      <c r="CH23" s="46">
        <f>Tabelle4[[#This Row],[Industry Funding from BR (IPK)]]+Tabelle4[[#This Row],[Public Funding from BR (IPK)]]</f>
        <v>0</v>
      </c>
      <c r="CI23" s="44">
        <f>Tabelle4[[#This Row],[Industry Funding from DE (ITA)]]+Tabelle4[[#This Row],[Industry Funding from BR (ITA)]]+Tabelle4[[#This Row],[Public Funding from DE (ITA)]]+Tabelle4[[#This Row],[Public Funding from BR (ITA)]]</f>
        <v>0</v>
      </c>
      <c r="CJ23" s="44">
        <f>Tabelle4[[#This Row],[Industry Funding from DE (ITA)]]+Tabelle4[[#This Row],[Industry Funding from BR (ITA)]]</f>
        <v>0</v>
      </c>
      <c r="CK23" s="44">
        <f>Tabelle4[[#This Row],[Public Funding from DE (ITA)]]+Tabelle4[[#This Row],[Public Funding from BR (ITA)]]</f>
        <v>0</v>
      </c>
      <c r="CL23" s="47" t="e">
        <f>Tabelle4[[#This Row],[Total Industry Funding (ITA)]]/Tabelle4[[#This Row],[Total Project Volume (ITA)]]</f>
        <v>#DIV/0!</v>
      </c>
      <c r="CM23" s="33" t="e">
        <f>IF(Tabelle4[[#This Row],[Funding Ratio (ITA)]]&lt;0.5,"Public Funding","Industry")</f>
        <v>#DIV/0!</v>
      </c>
      <c r="CN23" s="44">
        <f>Tabelle4[[#This Row],[Industry Funding from DE (ITA)]]+Tabelle4[[#This Row],[Public Funding from DE (ITA)]]</f>
        <v>0</v>
      </c>
      <c r="CO23" s="46">
        <f>Tabelle4[[#This Row],[Industry Funding from BR (ITA)]]+Tabelle4[[#This Row],[Public Funding from BR (ITA)]]</f>
        <v>0</v>
      </c>
      <c r="CP23" s="44">
        <f>Tabelle4[[#This Row],[Total Project Volume (IPK)]]+Tabelle4[[#This Row],[Total Project Volume (ITA)]]</f>
        <v>0</v>
      </c>
      <c r="CQ23" s="44">
        <f>Tabelle4[[#This Row],[Total Industry Funding (IPK)]]+Tabelle4[[#This Row],[Total Industry Funding (ITA)]]</f>
        <v>0</v>
      </c>
      <c r="CR23" s="44">
        <f>Tabelle4[[#This Row],[Industry Funding from DE (IPK)]]+Tabelle4[[#This Row],[Industry Funding from DE (ITA)]]</f>
        <v>0</v>
      </c>
      <c r="CS23" s="44">
        <f>Tabelle4[[#This Row],[Industry Funding from BR (IPK)]]+Tabelle4[[#This Row],[Industry Funding from BR (ITA)]]</f>
        <v>0</v>
      </c>
      <c r="CT23" s="44">
        <f>Tabelle4[[#This Row],[Total Public Funding (IPK)]]+Tabelle4[[#This Row],[Total Public Funding (ITA)]]</f>
        <v>0</v>
      </c>
      <c r="CU23" s="44">
        <f>Tabelle4[[#This Row],[Public Funding from DE (IPK)]]+Tabelle4[[#This Row],[Public Funding from DE (ITA)]]</f>
        <v>0</v>
      </c>
      <c r="CV23" s="44">
        <f>Tabelle4[[#This Row],[Public Funding from BR (IPK)]]+Tabelle4[[#This Row],[Public Funding from BR (ITA)]]</f>
        <v>0</v>
      </c>
      <c r="CW23" s="44">
        <f>Tabelle4[[#This Row],[Industry Funding from DE (FPC)]]+Tabelle4[[#This Row],[Public Funding from DE (FPC)]]</f>
        <v>0</v>
      </c>
      <c r="CX23" s="46">
        <f>Tabelle4[[#This Row],[Industry Funding from BR (FPC)]]+Tabelle4[[#This Row],[Public Funding from BR (FPC)]]</f>
        <v>0</v>
      </c>
      <c r="CY23" s="44">
        <f>Tabelle4[[#This Row],[Total Financial Budget (Other)]]+Tabelle4[[#This Row],[Total In-kind Contribution (Other)]]</f>
        <v>0</v>
      </c>
      <c r="CZ2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23" s="44">
        <f>Tabelle4[[#This Row],[In-kind Contribution (R&amp;D III)]]+Tabelle4[[#This Row],[In-kind Contribution (R&amp;D IV)]]</f>
        <v>0</v>
      </c>
      <c r="DB23" s="158">
        <f>Tabelle4[[#This Row],[Total Budget (FPC)]]+Tabelle4[[#This Row],[Total Volume (Other)]]</f>
        <v>0</v>
      </c>
      <c r="DC23" s="104">
        <f>Tabelle4[[#This Row],[Total Revenues (IPK)]]</f>
        <v>0</v>
      </c>
      <c r="DE23" s="44">
        <f>Tabelle4[[#This Row],[Total Revenues IPK]]*Tabelle4[[#This Row],[Probability of Success]]</f>
        <v>0</v>
      </c>
      <c r="DL23" s="44">
        <f>Tabelle4[[#This Row],[Real Budget IPK]]*Tabelle4[[#This Row],[Acquisition Factor OE810]]</f>
        <v>0</v>
      </c>
      <c r="DN23" s="46">
        <f>Tabelle4[[#This Row],[Acquisition Bonus OE810]]+Tabelle4[[#This Row],[Project Execution OE810]]</f>
        <v>0</v>
      </c>
    </row>
    <row r="24" spans="1:118 16344:16383" x14ac:dyDescent="0.45">
      <c r="A24" s="42" t="s">
        <v>779</v>
      </c>
      <c r="B24" s="33" t="s">
        <v>778</v>
      </c>
      <c r="C24" s="33" t="s">
        <v>427</v>
      </c>
      <c r="D24" s="33" t="s">
        <v>706</v>
      </c>
      <c r="E24" s="33">
        <v>1</v>
      </c>
      <c r="F24" s="33">
        <v>0</v>
      </c>
      <c r="G24" s="33" t="s">
        <v>2</v>
      </c>
      <c r="H24" s="33" t="s">
        <v>0</v>
      </c>
      <c r="J24" s="59">
        <v>44414</v>
      </c>
      <c r="K24" s="33" t="s">
        <v>246</v>
      </c>
      <c r="L24" s="33" t="s">
        <v>309</v>
      </c>
      <c r="Y24" s="59">
        <v>44616</v>
      </c>
      <c r="Z24" s="42" t="str">
        <f t="shared" si="4"/>
        <v>IPK</v>
      </c>
      <c r="AB24" s="104"/>
      <c r="AC24" s="104"/>
      <c r="AD24" s="104"/>
      <c r="AE24" s="104"/>
      <c r="AF24" s="104"/>
      <c r="AG24" s="42" t="str">
        <f t="shared" si="5"/>
        <v>ITA</v>
      </c>
      <c r="AH24" s="33" t="s">
        <v>439</v>
      </c>
      <c r="AI24" s="33" t="s">
        <v>438</v>
      </c>
      <c r="AO24" s="42"/>
      <c r="AQ24" s="104"/>
      <c r="AR24" s="104"/>
      <c r="AS24" s="104"/>
      <c r="AT24" s="104"/>
      <c r="AU24" s="104"/>
      <c r="AV24" s="42"/>
      <c r="AX24" s="104"/>
      <c r="AY24" s="104"/>
      <c r="AZ24" s="104"/>
      <c r="BA24" s="104"/>
      <c r="BB24" s="104"/>
      <c r="BC24" s="42"/>
      <c r="BE24" s="104"/>
      <c r="BF24" s="101"/>
      <c r="BI24" s="104"/>
      <c r="BJ24" s="101"/>
      <c r="BM24" s="104"/>
      <c r="BN24" s="101"/>
      <c r="BQ24" s="104"/>
      <c r="BR24" s="101"/>
      <c r="BU24" s="101"/>
      <c r="BX24" s="101"/>
      <c r="BY24" s="44">
        <f>Tabelle4[[#This Row],[Industry Funding from DE (IPK)]]+Tabelle4[[#This Row],[Industry Funding from BR (IPK)]]+Tabelle4[[#This Row],[Public Funding from DE (IPK)]]+Tabelle4[[#This Row],[Public Funding from BR (IPK)]]+Tabelle4[[#This Row],[In-kind Contribution (IPK)]]</f>
        <v>0</v>
      </c>
      <c r="BZ24" s="44">
        <f>Tabelle4[[#This Row],[Industry Funding from DE (IPK)]]+Tabelle4[[#This Row],[Industry Funding from BR (IPK)]]+Tabelle4[[#This Row],[Public Funding from DE (IPK)]]+Tabelle4[[#This Row],[Public Funding from BR (IPK)]]</f>
        <v>0</v>
      </c>
      <c r="CA24" s="44">
        <f>Tabelle4[[#This Row],[Industry Funding from DE (IPK)]]+Tabelle4[[#This Row],[Industry Funding from BR (IPK)]]</f>
        <v>0</v>
      </c>
      <c r="CB24" s="44">
        <f>Tabelle4[[#This Row],[Public Funding from DE (IPK)]]+Tabelle4[[#This Row],[Public Funding from BR (IPK)]]</f>
        <v>0</v>
      </c>
      <c r="CC24" s="44">
        <f>Tabelle4[[#This Row],[In-kind Contribution (IPK)]]</f>
        <v>0</v>
      </c>
      <c r="CD24" s="47" t="e">
        <f>(Tabelle4[[#This Row],[Total Industry Funding (IPK)]] + Tabelle4[[#This Row],[Total Public Funding (IPK)]])/Tabelle4[[#This Row],[Total Project Volume (IPK)]]</f>
        <v>#DIV/0!</v>
      </c>
      <c r="CE24" s="47" t="e">
        <f>Tabelle4[[#This Row],[Total Industry Funding (IPK)]] / Tabelle4[[#This Row],[Total Project Volume (IPK)]]</f>
        <v>#DIV/0!</v>
      </c>
      <c r="CF24" s="33" t="str">
        <f>Tabelle4[[#This Row],[Project Funding Classification]]</f>
        <v>Industry</v>
      </c>
      <c r="CG24" s="44">
        <f>Tabelle4[[#This Row],[Industry Funding from DE (IPK)]]+Tabelle4[[#This Row],[Public Funding from DE (IPK)]]</f>
        <v>0</v>
      </c>
      <c r="CH24" s="46">
        <f>Tabelle4[[#This Row],[Industry Funding from BR (IPK)]]+Tabelle4[[#This Row],[Public Funding from BR (IPK)]]</f>
        <v>0</v>
      </c>
      <c r="CI24" s="44">
        <f>Tabelle4[[#This Row],[Industry Funding from DE (ITA)]]+Tabelle4[[#This Row],[Industry Funding from BR (ITA)]]+Tabelle4[[#This Row],[Public Funding from DE (ITA)]]+Tabelle4[[#This Row],[Public Funding from BR (ITA)]]</f>
        <v>0</v>
      </c>
      <c r="CJ24" s="44">
        <f>Tabelle4[[#This Row],[Industry Funding from DE (ITA)]]+Tabelle4[[#This Row],[Industry Funding from BR (ITA)]]</f>
        <v>0</v>
      </c>
      <c r="CK24" s="44">
        <f>Tabelle4[[#This Row],[Public Funding from DE (ITA)]]+Tabelle4[[#This Row],[Public Funding from BR (ITA)]]</f>
        <v>0</v>
      </c>
      <c r="CL24" s="47" t="e">
        <f>Tabelle4[[#This Row],[Total Industry Funding (ITA)]]/Tabelle4[[#This Row],[Total Project Volume (ITA)]]</f>
        <v>#DIV/0!</v>
      </c>
      <c r="CM24" s="33" t="e">
        <f>IF(Tabelle4[[#This Row],[Funding Ratio (ITA)]]&lt;0.5,"Public Funding","Industry")</f>
        <v>#DIV/0!</v>
      </c>
      <c r="CN24" s="44">
        <f>Tabelle4[[#This Row],[Industry Funding from DE (ITA)]]+Tabelle4[[#This Row],[Public Funding from DE (ITA)]]</f>
        <v>0</v>
      </c>
      <c r="CO24" s="46">
        <f>Tabelle4[[#This Row],[Industry Funding from BR (ITA)]]+Tabelle4[[#This Row],[Public Funding from BR (ITA)]]</f>
        <v>0</v>
      </c>
      <c r="CP24" s="44">
        <f>Tabelle4[[#This Row],[Total Project Volume (IPK)]]+Tabelle4[[#This Row],[Total Project Volume (ITA)]]</f>
        <v>0</v>
      </c>
      <c r="CQ24" s="44">
        <f>Tabelle4[[#This Row],[Total Industry Funding (IPK)]]+Tabelle4[[#This Row],[Total Industry Funding (ITA)]]</f>
        <v>0</v>
      </c>
      <c r="CR24" s="44">
        <f>Tabelle4[[#This Row],[Industry Funding from DE (IPK)]]+Tabelle4[[#This Row],[Industry Funding from DE (ITA)]]</f>
        <v>0</v>
      </c>
      <c r="CS24" s="44">
        <f>Tabelle4[[#This Row],[Industry Funding from BR (IPK)]]+Tabelle4[[#This Row],[Industry Funding from BR (ITA)]]</f>
        <v>0</v>
      </c>
      <c r="CT24" s="44">
        <f>Tabelle4[[#This Row],[Total Public Funding (IPK)]]+Tabelle4[[#This Row],[Total Public Funding (ITA)]]</f>
        <v>0</v>
      </c>
      <c r="CU24" s="44">
        <f>Tabelle4[[#This Row],[Public Funding from DE (IPK)]]+Tabelle4[[#This Row],[Public Funding from DE (ITA)]]</f>
        <v>0</v>
      </c>
      <c r="CV24" s="44">
        <f>Tabelle4[[#This Row],[Public Funding from BR (IPK)]]+Tabelle4[[#This Row],[Public Funding from BR (ITA)]]</f>
        <v>0</v>
      </c>
      <c r="CW24" s="44">
        <f>Tabelle4[[#This Row],[Industry Funding from DE (FPC)]]+Tabelle4[[#This Row],[Public Funding from DE (FPC)]]</f>
        <v>0</v>
      </c>
      <c r="CX24" s="46">
        <f>Tabelle4[[#This Row],[Industry Funding from BR (FPC)]]+Tabelle4[[#This Row],[Public Funding from BR (FPC)]]</f>
        <v>0</v>
      </c>
      <c r="CY24" s="44">
        <f>Tabelle4[[#This Row],[Total Financial Budget (Other)]]+Tabelle4[[#This Row],[Total In-kind Contribution (Other)]]</f>
        <v>0</v>
      </c>
      <c r="CZ2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24" s="44">
        <f>Tabelle4[[#This Row],[In-kind Contribution (R&amp;D III)]]+Tabelle4[[#This Row],[In-kind Contribution (R&amp;D IV)]]</f>
        <v>0</v>
      </c>
      <c r="DB24" s="158">
        <f>Tabelle4[[#This Row],[Total Budget (FPC)]]+Tabelle4[[#This Row],[Total Volume (Other)]]</f>
        <v>0</v>
      </c>
      <c r="DC24" s="104">
        <f>Tabelle4[[#This Row],[Total Revenues (IPK)]]</f>
        <v>0</v>
      </c>
      <c r="DE24" s="44">
        <f>Tabelle4[[#This Row],[Total Revenues IPK]]*Tabelle4[[#This Row],[Probability of Success]]</f>
        <v>0</v>
      </c>
      <c r="DL24" s="44">
        <f>Tabelle4[[#This Row],[Real Budget IPK]]*Tabelle4[[#This Row],[Acquisition Factor OE810]]</f>
        <v>0</v>
      </c>
      <c r="DN24" s="46">
        <f>Tabelle4[[#This Row],[Acquisition Bonus OE810]]+Tabelle4[[#This Row],[Project Execution OE810]]</f>
        <v>0</v>
      </c>
    </row>
    <row r="25" spans="1:118 16344:16383" ht="27.75" x14ac:dyDescent="0.45">
      <c r="A25" s="42" t="s">
        <v>777</v>
      </c>
      <c r="B25" s="33" t="s">
        <v>742</v>
      </c>
      <c r="C25" s="33" t="s">
        <v>584</v>
      </c>
      <c r="D25" s="33" t="s">
        <v>705</v>
      </c>
      <c r="E25" s="33">
        <v>1</v>
      </c>
      <c r="F25" s="33">
        <v>0</v>
      </c>
      <c r="G25" s="33" t="s">
        <v>2</v>
      </c>
      <c r="H25" s="33" t="s">
        <v>0</v>
      </c>
      <c r="J25" s="59">
        <v>44525</v>
      </c>
      <c r="K25" s="33" t="s">
        <v>241</v>
      </c>
      <c r="L25" s="33" t="s">
        <v>305</v>
      </c>
      <c r="Z25" s="42" t="str">
        <f t="shared" si="4"/>
        <v>IPK</v>
      </c>
      <c r="AB25" s="104"/>
      <c r="AC25" s="104"/>
      <c r="AD25" s="104"/>
      <c r="AE25" s="104"/>
      <c r="AF25" s="104"/>
      <c r="AG25" s="42" t="str">
        <f t="shared" si="5"/>
        <v>ITA</v>
      </c>
      <c r="AH25" s="33" t="s">
        <v>423</v>
      </c>
      <c r="AI25" s="33" t="s">
        <v>728</v>
      </c>
      <c r="AO25" s="42"/>
      <c r="AQ25" s="104"/>
      <c r="AR25" s="104"/>
      <c r="AS25" s="104"/>
      <c r="AT25" s="104"/>
      <c r="AU25" s="104"/>
      <c r="AV25" s="42"/>
      <c r="AX25" s="104"/>
      <c r="AY25" s="104"/>
      <c r="AZ25" s="104"/>
      <c r="BA25" s="104"/>
      <c r="BB25" s="104"/>
      <c r="BC25" s="42"/>
      <c r="BE25" s="104"/>
      <c r="BF25" s="101"/>
      <c r="BI25" s="104"/>
      <c r="BJ25" s="101"/>
      <c r="BM25" s="104"/>
      <c r="BN25" s="101"/>
      <c r="BQ25" s="104"/>
      <c r="BR25" s="101"/>
      <c r="BU25" s="101"/>
      <c r="BX25" s="101"/>
      <c r="BY25" s="44">
        <f>Tabelle4[[#This Row],[Industry Funding from DE (IPK)]]+Tabelle4[[#This Row],[Industry Funding from BR (IPK)]]+Tabelle4[[#This Row],[Public Funding from DE (IPK)]]+Tabelle4[[#This Row],[Public Funding from BR (IPK)]]+Tabelle4[[#This Row],[In-kind Contribution (IPK)]]</f>
        <v>0</v>
      </c>
      <c r="BZ25" s="44">
        <f>Tabelle4[[#This Row],[Industry Funding from DE (IPK)]]+Tabelle4[[#This Row],[Industry Funding from BR (IPK)]]+Tabelle4[[#This Row],[Public Funding from DE (IPK)]]+Tabelle4[[#This Row],[Public Funding from BR (IPK)]]</f>
        <v>0</v>
      </c>
      <c r="CA25" s="44">
        <f>Tabelle4[[#This Row],[Industry Funding from DE (IPK)]]+Tabelle4[[#This Row],[Industry Funding from BR (IPK)]]</f>
        <v>0</v>
      </c>
      <c r="CB25" s="44">
        <f>Tabelle4[[#This Row],[Public Funding from DE (IPK)]]+Tabelle4[[#This Row],[Public Funding from BR (IPK)]]</f>
        <v>0</v>
      </c>
      <c r="CC25" s="44">
        <f>Tabelle4[[#This Row],[In-kind Contribution (IPK)]]</f>
        <v>0</v>
      </c>
      <c r="CD25" s="47" t="e">
        <f>(Tabelle4[[#This Row],[Total Industry Funding (IPK)]] + Tabelle4[[#This Row],[Total Public Funding (IPK)]])/Tabelle4[[#This Row],[Total Project Volume (IPK)]]</f>
        <v>#DIV/0!</v>
      </c>
      <c r="CE25" s="47" t="e">
        <f>Tabelle4[[#This Row],[Total Industry Funding (IPK)]] / Tabelle4[[#This Row],[Total Project Volume (IPK)]]</f>
        <v>#DIV/0!</v>
      </c>
      <c r="CF25" s="33" t="str">
        <f>Tabelle4[[#This Row],[Project Funding Classification]]</f>
        <v>Industry</v>
      </c>
      <c r="CG25" s="44">
        <f>Tabelle4[[#This Row],[Industry Funding from DE (IPK)]]+Tabelle4[[#This Row],[Public Funding from DE (IPK)]]</f>
        <v>0</v>
      </c>
      <c r="CH25" s="46">
        <f>Tabelle4[[#This Row],[Industry Funding from BR (IPK)]]+Tabelle4[[#This Row],[Public Funding from BR (IPK)]]</f>
        <v>0</v>
      </c>
      <c r="CI25" s="44">
        <f>Tabelle4[[#This Row],[Industry Funding from DE (ITA)]]+Tabelle4[[#This Row],[Industry Funding from BR (ITA)]]+Tabelle4[[#This Row],[Public Funding from DE (ITA)]]+Tabelle4[[#This Row],[Public Funding from BR (ITA)]]</f>
        <v>0</v>
      </c>
      <c r="CJ25" s="44">
        <f>Tabelle4[[#This Row],[Industry Funding from DE (ITA)]]+Tabelle4[[#This Row],[Industry Funding from BR (ITA)]]</f>
        <v>0</v>
      </c>
      <c r="CK25" s="44">
        <f>Tabelle4[[#This Row],[Public Funding from DE (ITA)]]+Tabelle4[[#This Row],[Public Funding from BR (ITA)]]</f>
        <v>0</v>
      </c>
      <c r="CL25" s="47" t="e">
        <f>Tabelle4[[#This Row],[Total Industry Funding (ITA)]]/Tabelle4[[#This Row],[Total Project Volume (ITA)]]</f>
        <v>#DIV/0!</v>
      </c>
      <c r="CM25" s="33" t="e">
        <f>IF(Tabelle4[[#This Row],[Funding Ratio (ITA)]]&lt;0.5,"Public Funding","Industry")</f>
        <v>#DIV/0!</v>
      </c>
      <c r="CN25" s="44">
        <f>Tabelle4[[#This Row],[Industry Funding from DE (ITA)]]+Tabelle4[[#This Row],[Public Funding from DE (ITA)]]</f>
        <v>0</v>
      </c>
      <c r="CO25" s="46">
        <f>Tabelle4[[#This Row],[Industry Funding from BR (ITA)]]+Tabelle4[[#This Row],[Public Funding from BR (ITA)]]</f>
        <v>0</v>
      </c>
      <c r="CP25" s="44">
        <f>Tabelle4[[#This Row],[Total Project Volume (IPK)]]+Tabelle4[[#This Row],[Total Project Volume (ITA)]]</f>
        <v>0</v>
      </c>
      <c r="CQ25" s="44">
        <f>Tabelle4[[#This Row],[Total Industry Funding (IPK)]]+Tabelle4[[#This Row],[Total Industry Funding (ITA)]]</f>
        <v>0</v>
      </c>
      <c r="CR25" s="44">
        <f>Tabelle4[[#This Row],[Industry Funding from DE (IPK)]]+Tabelle4[[#This Row],[Industry Funding from DE (ITA)]]</f>
        <v>0</v>
      </c>
      <c r="CS25" s="44">
        <f>Tabelle4[[#This Row],[Industry Funding from BR (IPK)]]+Tabelle4[[#This Row],[Industry Funding from BR (ITA)]]</f>
        <v>0</v>
      </c>
      <c r="CT25" s="44">
        <f>Tabelle4[[#This Row],[Total Public Funding (IPK)]]+Tabelle4[[#This Row],[Total Public Funding (ITA)]]</f>
        <v>0</v>
      </c>
      <c r="CU25" s="44">
        <f>Tabelle4[[#This Row],[Public Funding from DE (IPK)]]+Tabelle4[[#This Row],[Public Funding from DE (ITA)]]</f>
        <v>0</v>
      </c>
      <c r="CV25" s="44">
        <f>Tabelle4[[#This Row],[Public Funding from BR (IPK)]]+Tabelle4[[#This Row],[Public Funding from BR (ITA)]]</f>
        <v>0</v>
      </c>
      <c r="CW25" s="44">
        <f>Tabelle4[[#This Row],[Industry Funding from DE (FPC)]]+Tabelle4[[#This Row],[Public Funding from DE (FPC)]]</f>
        <v>0</v>
      </c>
      <c r="CX25" s="46">
        <f>Tabelle4[[#This Row],[Industry Funding from BR (FPC)]]+Tabelle4[[#This Row],[Public Funding from BR (FPC)]]</f>
        <v>0</v>
      </c>
      <c r="CY25" s="44">
        <f>Tabelle4[[#This Row],[Total Financial Budget (Other)]]+Tabelle4[[#This Row],[Total In-kind Contribution (Other)]]</f>
        <v>0</v>
      </c>
      <c r="CZ2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25" s="44">
        <f>Tabelle4[[#This Row],[In-kind Contribution (R&amp;D III)]]+Tabelle4[[#This Row],[In-kind Contribution (R&amp;D IV)]]</f>
        <v>0</v>
      </c>
      <c r="DB25" s="158">
        <f>Tabelle4[[#This Row],[Total Budget (FPC)]]+Tabelle4[[#This Row],[Total Volume (Other)]]</f>
        <v>0</v>
      </c>
      <c r="DC25" s="104">
        <f>Tabelle4[[#This Row],[Total Revenues (IPK)]]</f>
        <v>0</v>
      </c>
      <c r="DE25" s="44">
        <f>Tabelle4[[#This Row],[Total Revenues IPK]]*Tabelle4[[#This Row],[Probability of Success]]</f>
        <v>0</v>
      </c>
      <c r="DL25" s="44">
        <f>Tabelle4[[#This Row],[Real Budget IPK]]*Tabelle4[[#This Row],[Acquisition Factor OE810]]</f>
        <v>0</v>
      </c>
      <c r="DN25" s="46">
        <f>Tabelle4[[#This Row],[Acquisition Bonus OE810]]+Tabelle4[[#This Row],[Project Execution OE810]]</f>
        <v>0</v>
      </c>
    </row>
    <row r="26" spans="1:118 16344:16383" ht="27.75" x14ac:dyDescent="0.45">
      <c r="A26" s="42" t="s">
        <v>774</v>
      </c>
      <c r="B26" s="33" t="s">
        <v>775</v>
      </c>
      <c r="C26" s="33" t="s">
        <v>426</v>
      </c>
      <c r="D26" s="33" t="s">
        <v>709</v>
      </c>
      <c r="E26" s="33">
        <v>1</v>
      </c>
      <c r="F26" s="33">
        <v>0</v>
      </c>
      <c r="G26" s="33" t="s">
        <v>2</v>
      </c>
      <c r="H26" s="33" t="s">
        <v>0</v>
      </c>
      <c r="J26" s="59">
        <v>44453</v>
      </c>
      <c r="K26" s="33" t="s">
        <v>630</v>
      </c>
      <c r="L26" s="33" t="s">
        <v>305</v>
      </c>
      <c r="Z26" s="42" t="str">
        <f t="shared" ref="Z26:Z33" si="6">"IPK"</f>
        <v>IPK</v>
      </c>
      <c r="AB26" s="104"/>
      <c r="AC26" s="104"/>
      <c r="AD26" s="104"/>
      <c r="AE26" s="104"/>
      <c r="AF26" s="104"/>
      <c r="AG26" s="42" t="str">
        <f t="shared" ref="AG26:AG33" si="7">"ITA"</f>
        <v>ITA</v>
      </c>
      <c r="AH26" s="33" t="s">
        <v>423</v>
      </c>
      <c r="AI26" s="33" t="s">
        <v>679</v>
      </c>
      <c r="AO26" s="42"/>
      <c r="AQ26" s="104"/>
      <c r="AR26" s="104"/>
      <c r="AS26" s="104"/>
      <c r="AT26" s="104"/>
      <c r="AU26" s="104"/>
      <c r="AV26" s="42"/>
      <c r="AX26" s="104"/>
      <c r="AY26" s="104"/>
      <c r="AZ26" s="104"/>
      <c r="BA26" s="104"/>
      <c r="BB26" s="104"/>
      <c r="BC26" s="42"/>
      <c r="BE26" s="104"/>
      <c r="BF26" s="101"/>
      <c r="BI26" s="104"/>
      <c r="BJ26" s="101"/>
      <c r="BM26" s="104"/>
      <c r="BN26" s="101"/>
      <c r="BQ26" s="104"/>
      <c r="BR26" s="101"/>
      <c r="BU26" s="101"/>
      <c r="BX26" s="101"/>
      <c r="BY26" s="44">
        <f>Tabelle4[[#This Row],[Industry Funding from DE (IPK)]]+Tabelle4[[#This Row],[Industry Funding from BR (IPK)]]+Tabelle4[[#This Row],[Public Funding from DE (IPK)]]+Tabelle4[[#This Row],[Public Funding from BR (IPK)]]+Tabelle4[[#This Row],[In-kind Contribution (IPK)]]</f>
        <v>0</v>
      </c>
      <c r="BZ26" s="44">
        <f>Tabelle4[[#This Row],[Industry Funding from DE (IPK)]]+Tabelle4[[#This Row],[Industry Funding from BR (IPK)]]+Tabelle4[[#This Row],[Public Funding from DE (IPK)]]+Tabelle4[[#This Row],[Public Funding from BR (IPK)]]</f>
        <v>0</v>
      </c>
      <c r="CA26" s="44">
        <f>Tabelle4[[#This Row],[Industry Funding from DE (IPK)]]+Tabelle4[[#This Row],[Industry Funding from BR (IPK)]]</f>
        <v>0</v>
      </c>
      <c r="CB26" s="44">
        <f>Tabelle4[[#This Row],[Public Funding from DE (IPK)]]+Tabelle4[[#This Row],[Public Funding from BR (IPK)]]</f>
        <v>0</v>
      </c>
      <c r="CC26" s="44">
        <f>Tabelle4[[#This Row],[In-kind Contribution (IPK)]]</f>
        <v>0</v>
      </c>
      <c r="CD26" s="47" t="e">
        <f>(Tabelle4[[#This Row],[Total Industry Funding (IPK)]] + Tabelle4[[#This Row],[Total Public Funding (IPK)]])/Tabelle4[[#This Row],[Total Project Volume (IPK)]]</f>
        <v>#DIV/0!</v>
      </c>
      <c r="CE26" s="47" t="e">
        <f>Tabelle4[[#This Row],[Total Industry Funding (IPK)]] / Tabelle4[[#This Row],[Total Project Volume (IPK)]]</f>
        <v>#DIV/0!</v>
      </c>
      <c r="CF26" s="33" t="str">
        <f>Tabelle4[[#This Row],[Project Funding Classification]]</f>
        <v>Industry</v>
      </c>
      <c r="CG26" s="44">
        <f>Tabelle4[[#This Row],[Industry Funding from DE (IPK)]]+Tabelle4[[#This Row],[Public Funding from DE (IPK)]]</f>
        <v>0</v>
      </c>
      <c r="CH26" s="46">
        <f>Tabelle4[[#This Row],[Industry Funding from BR (IPK)]]+Tabelle4[[#This Row],[Public Funding from BR (IPK)]]</f>
        <v>0</v>
      </c>
      <c r="CI26" s="44">
        <f>Tabelle4[[#This Row],[Industry Funding from DE (ITA)]]+Tabelle4[[#This Row],[Industry Funding from BR (ITA)]]+Tabelle4[[#This Row],[Public Funding from DE (ITA)]]+Tabelle4[[#This Row],[Public Funding from BR (ITA)]]</f>
        <v>0</v>
      </c>
      <c r="CJ26" s="44">
        <f>Tabelle4[[#This Row],[Industry Funding from DE (ITA)]]+Tabelle4[[#This Row],[Industry Funding from BR (ITA)]]</f>
        <v>0</v>
      </c>
      <c r="CK26" s="44">
        <f>Tabelle4[[#This Row],[Public Funding from DE (ITA)]]+Tabelle4[[#This Row],[Public Funding from BR (ITA)]]</f>
        <v>0</v>
      </c>
      <c r="CL26" s="47" t="e">
        <f>Tabelle4[[#This Row],[Total Industry Funding (ITA)]]/Tabelle4[[#This Row],[Total Project Volume (ITA)]]</f>
        <v>#DIV/0!</v>
      </c>
      <c r="CM26" s="33" t="e">
        <f>IF(Tabelle4[[#This Row],[Funding Ratio (ITA)]]&lt;0.5,"Public Funding","Industry")</f>
        <v>#DIV/0!</v>
      </c>
      <c r="CN26" s="44">
        <f>Tabelle4[[#This Row],[Industry Funding from DE (ITA)]]+Tabelle4[[#This Row],[Public Funding from DE (ITA)]]</f>
        <v>0</v>
      </c>
      <c r="CO26" s="46">
        <f>Tabelle4[[#This Row],[Industry Funding from BR (ITA)]]+Tabelle4[[#This Row],[Public Funding from BR (ITA)]]</f>
        <v>0</v>
      </c>
      <c r="CP26" s="44">
        <f>Tabelle4[[#This Row],[Total Project Volume (IPK)]]+Tabelle4[[#This Row],[Total Project Volume (ITA)]]</f>
        <v>0</v>
      </c>
      <c r="CQ26" s="44">
        <f>Tabelle4[[#This Row],[Total Industry Funding (IPK)]]+Tabelle4[[#This Row],[Total Industry Funding (ITA)]]</f>
        <v>0</v>
      </c>
      <c r="CR26" s="44">
        <f>Tabelle4[[#This Row],[Industry Funding from DE (IPK)]]+Tabelle4[[#This Row],[Industry Funding from DE (ITA)]]</f>
        <v>0</v>
      </c>
      <c r="CS26" s="44">
        <f>Tabelle4[[#This Row],[Industry Funding from BR (IPK)]]+Tabelle4[[#This Row],[Industry Funding from BR (ITA)]]</f>
        <v>0</v>
      </c>
      <c r="CT26" s="44">
        <f>Tabelle4[[#This Row],[Total Public Funding (IPK)]]+Tabelle4[[#This Row],[Total Public Funding (ITA)]]</f>
        <v>0</v>
      </c>
      <c r="CU26" s="44">
        <f>Tabelle4[[#This Row],[Public Funding from DE (IPK)]]+Tabelle4[[#This Row],[Public Funding from DE (ITA)]]</f>
        <v>0</v>
      </c>
      <c r="CV26" s="44">
        <f>Tabelle4[[#This Row],[Public Funding from BR (IPK)]]+Tabelle4[[#This Row],[Public Funding from BR (ITA)]]</f>
        <v>0</v>
      </c>
      <c r="CW26" s="44">
        <f>Tabelle4[[#This Row],[Industry Funding from DE (FPC)]]+Tabelle4[[#This Row],[Public Funding from DE (FPC)]]</f>
        <v>0</v>
      </c>
      <c r="CX26" s="46">
        <f>Tabelle4[[#This Row],[Industry Funding from BR (FPC)]]+Tabelle4[[#This Row],[Public Funding from BR (FPC)]]</f>
        <v>0</v>
      </c>
      <c r="CY26" s="44">
        <f>Tabelle4[[#This Row],[Total Financial Budget (Other)]]+Tabelle4[[#This Row],[Total In-kind Contribution (Other)]]</f>
        <v>0</v>
      </c>
      <c r="CZ2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26" s="44">
        <f>Tabelle4[[#This Row],[In-kind Contribution (R&amp;D III)]]+Tabelle4[[#This Row],[In-kind Contribution (R&amp;D IV)]]</f>
        <v>0</v>
      </c>
      <c r="DB26" s="158">
        <f>Tabelle4[[#This Row],[Total Budget (FPC)]]+Tabelle4[[#This Row],[Total Volume (Other)]]</f>
        <v>0</v>
      </c>
      <c r="DC26" s="104">
        <f>Tabelle4[[#This Row],[Total Revenues (IPK)]]</f>
        <v>0</v>
      </c>
      <c r="DE26" s="44">
        <f>Tabelle4[[#This Row],[Total Revenues IPK]]*Tabelle4[[#This Row],[Probability of Success]]</f>
        <v>0</v>
      </c>
      <c r="DL26" s="44">
        <f>Tabelle4[[#This Row],[Real Budget IPK]]*Tabelle4[[#This Row],[Acquisition Factor OE810]]</f>
        <v>0</v>
      </c>
      <c r="DN26" s="46">
        <f>Tabelle4[[#This Row],[Acquisition Bonus OE810]]+Tabelle4[[#This Row],[Project Execution OE810]]</f>
        <v>0</v>
      </c>
    </row>
    <row r="27" spans="1:118 16344:16383" ht="27.75" x14ac:dyDescent="0.45">
      <c r="A27" s="42" t="s">
        <v>771</v>
      </c>
      <c r="B27" s="33" t="s">
        <v>772</v>
      </c>
      <c r="C27" s="33" t="s">
        <v>773</v>
      </c>
      <c r="E27" s="33">
        <v>0</v>
      </c>
      <c r="F27" s="33">
        <v>0</v>
      </c>
      <c r="G27" s="33" t="s">
        <v>2</v>
      </c>
      <c r="H27" s="33" t="s">
        <v>96</v>
      </c>
      <c r="J27" s="59">
        <v>44484</v>
      </c>
      <c r="K27" s="33" t="s">
        <v>243</v>
      </c>
      <c r="L27" s="33" t="s">
        <v>308</v>
      </c>
      <c r="M27" s="144">
        <v>6.58</v>
      </c>
      <c r="V27" s="59">
        <v>44484</v>
      </c>
      <c r="Z27" s="42" t="str">
        <f t="shared" si="6"/>
        <v>IPK</v>
      </c>
      <c r="AB27" s="104"/>
      <c r="AC27" s="104"/>
      <c r="AD27" s="104"/>
      <c r="AE27" s="104"/>
      <c r="AF27" s="104"/>
      <c r="AG27" s="42" t="str">
        <f t="shared" si="7"/>
        <v>ITA</v>
      </c>
      <c r="AH27" s="33" t="s">
        <v>130</v>
      </c>
      <c r="AI27" s="33" t="s">
        <v>130</v>
      </c>
      <c r="AM27" s="104">
        <f>16500000/M27</f>
        <v>2507598.7841945291</v>
      </c>
      <c r="AO27" s="42"/>
      <c r="AQ27" s="104"/>
      <c r="AR27" s="104"/>
      <c r="AS27" s="104"/>
      <c r="AT27" s="104"/>
      <c r="AU27" s="104"/>
      <c r="AV27" s="42"/>
      <c r="AX27" s="104"/>
      <c r="AY27" s="104"/>
      <c r="AZ27" s="104"/>
      <c r="BA27" s="104"/>
      <c r="BB27" s="104"/>
      <c r="BC27" s="42"/>
      <c r="BE27" s="104"/>
      <c r="BF27" s="101"/>
      <c r="BI27" s="104"/>
      <c r="BJ27" s="101"/>
      <c r="BM27" s="104"/>
      <c r="BN27" s="101"/>
      <c r="BQ27" s="104"/>
      <c r="BR27" s="101"/>
      <c r="BU27" s="101"/>
      <c r="BX27" s="101"/>
      <c r="BY27" s="44">
        <f>Tabelle4[[#This Row],[Industry Funding from DE (IPK)]]+Tabelle4[[#This Row],[Industry Funding from BR (IPK)]]+Tabelle4[[#This Row],[Public Funding from DE (IPK)]]+Tabelle4[[#This Row],[Public Funding from BR (IPK)]]+Tabelle4[[#This Row],[In-kind Contribution (IPK)]]</f>
        <v>0</v>
      </c>
      <c r="BZ27" s="44">
        <f>Tabelle4[[#This Row],[Industry Funding from DE (IPK)]]+Tabelle4[[#This Row],[Industry Funding from BR (IPK)]]+Tabelle4[[#This Row],[Public Funding from DE (IPK)]]+Tabelle4[[#This Row],[Public Funding from BR (IPK)]]</f>
        <v>0</v>
      </c>
      <c r="CA27" s="44">
        <f>Tabelle4[[#This Row],[Industry Funding from DE (IPK)]]+Tabelle4[[#This Row],[Industry Funding from BR (IPK)]]</f>
        <v>0</v>
      </c>
      <c r="CB27" s="44">
        <f>Tabelle4[[#This Row],[Public Funding from DE (IPK)]]+Tabelle4[[#This Row],[Public Funding from BR (IPK)]]</f>
        <v>0</v>
      </c>
      <c r="CC27" s="44">
        <f>Tabelle4[[#This Row],[In-kind Contribution (IPK)]]</f>
        <v>0</v>
      </c>
      <c r="CD27" s="47" t="e">
        <f>(Tabelle4[[#This Row],[Total Industry Funding (IPK)]] + Tabelle4[[#This Row],[Total Public Funding (IPK)]])/Tabelle4[[#This Row],[Total Project Volume (IPK)]]</f>
        <v>#DIV/0!</v>
      </c>
      <c r="CE27" s="47" t="e">
        <f>Tabelle4[[#This Row],[Total Industry Funding (IPK)]] / Tabelle4[[#This Row],[Total Project Volume (IPK)]]</f>
        <v>#DIV/0!</v>
      </c>
      <c r="CF27" s="33" t="str">
        <f>Tabelle4[[#This Row],[Project Funding Classification]]</f>
        <v>Public Funding</v>
      </c>
      <c r="CG27" s="44">
        <f>Tabelle4[[#This Row],[Industry Funding from DE (IPK)]]+Tabelle4[[#This Row],[Public Funding from DE (IPK)]]</f>
        <v>0</v>
      </c>
      <c r="CH27" s="46">
        <f>Tabelle4[[#This Row],[Industry Funding from BR (IPK)]]+Tabelle4[[#This Row],[Public Funding from BR (IPK)]]</f>
        <v>0</v>
      </c>
      <c r="CI27" s="44">
        <f>Tabelle4[[#This Row],[Industry Funding from DE (ITA)]]+Tabelle4[[#This Row],[Industry Funding from BR (ITA)]]+Tabelle4[[#This Row],[Public Funding from DE (ITA)]]+Tabelle4[[#This Row],[Public Funding from BR (ITA)]]</f>
        <v>2507598.7841945291</v>
      </c>
      <c r="CJ27" s="44">
        <f>Tabelle4[[#This Row],[Industry Funding from DE (ITA)]]+Tabelle4[[#This Row],[Industry Funding from BR (ITA)]]</f>
        <v>0</v>
      </c>
      <c r="CK27" s="44">
        <f>Tabelle4[[#This Row],[Public Funding from DE (ITA)]]+Tabelle4[[#This Row],[Public Funding from BR (ITA)]]</f>
        <v>2507598.7841945291</v>
      </c>
      <c r="CL27" s="47">
        <f>Tabelle4[[#This Row],[Total Industry Funding (ITA)]]/Tabelle4[[#This Row],[Total Project Volume (ITA)]]</f>
        <v>0</v>
      </c>
      <c r="CM27" s="33" t="str">
        <f>IF(Tabelle4[[#This Row],[Funding Ratio (ITA)]]&lt;0.5,"Public Funding","Industry")</f>
        <v>Public Funding</v>
      </c>
      <c r="CN27" s="44">
        <f>Tabelle4[[#This Row],[Industry Funding from DE (ITA)]]+Tabelle4[[#This Row],[Public Funding from DE (ITA)]]</f>
        <v>0</v>
      </c>
      <c r="CO27" s="46">
        <f>Tabelle4[[#This Row],[Industry Funding from BR (ITA)]]+Tabelle4[[#This Row],[Public Funding from BR (ITA)]]</f>
        <v>2507598.7841945291</v>
      </c>
      <c r="CP27" s="44">
        <f>Tabelle4[[#This Row],[Total Project Volume (IPK)]]+Tabelle4[[#This Row],[Total Project Volume (ITA)]]</f>
        <v>2507598.7841945291</v>
      </c>
      <c r="CQ27" s="44">
        <f>Tabelle4[[#This Row],[Total Industry Funding (IPK)]]+Tabelle4[[#This Row],[Total Industry Funding (ITA)]]</f>
        <v>0</v>
      </c>
      <c r="CR27" s="44">
        <f>Tabelle4[[#This Row],[Industry Funding from DE (IPK)]]+Tabelle4[[#This Row],[Industry Funding from DE (ITA)]]</f>
        <v>0</v>
      </c>
      <c r="CS27" s="44">
        <f>Tabelle4[[#This Row],[Industry Funding from BR (IPK)]]+Tabelle4[[#This Row],[Industry Funding from BR (ITA)]]</f>
        <v>0</v>
      </c>
      <c r="CT27" s="44">
        <f>Tabelle4[[#This Row],[Total Public Funding (IPK)]]+Tabelle4[[#This Row],[Total Public Funding (ITA)]]</f>
        <v>2507598.7841945291</v>
      </c>
      <c r="CU27" s="44">
        <f>Tabelle4[[#This Row],[Public Funding from DE (IPK)]]+Tabelle4[[#This Row],[Public Funding from DE (ITA)]]</f>
        <v>0</v>
      </c>
      <c r="CV27" s="44">
        <f>Tabelle4[[#This Row],[Public Funding from BR (IPK)]]+Tabelle4[[#This Row],[Public Funding from BR (ITA)]]</f>
        <v>2507598.7841945291</v>
      </c>
      <c r="CW27" s="44">
        <f>Tabelle4[[#This Row],[Industry Funding from DE (FPC)]]+Tabelle4[[#This Row],[Public Funding from DE (FPC)]]</f>
        <v>0</v>
      </c>
      <c r="CX27" s="46">
        <f>Tabelle4[[#This Row],[Industry Funding from BR (FPC)]]+Tabelle4[[#This Row],[Public Funding from BR (FPC)]]</f>
        <v>2507598.7841945291</v>
      </c>
      <c r="CY27" s="44">
        <f>Tabelle4[[#This Row],[Total Financial Budget (Other)]]+Tabelle4[[#This Row],[Total In-kind Contribution (Other)]]</f>
        <v>0</v>
      </c>
      <c r="CZ2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27" s="44">
        <f>Tabelle4[[#This Row],[In-kind Contribution (R&amp;D III)]]+Tabelle4[[#This Row],[In-kind Contribution (R&amp;D IV)]]</f>
        <v>0</v>
      </c>
      <c r="DB27" s="158">
        <f>Tabelle4[[#This Row],[Total Budget (FPC)]]+Tabelle4[[#This Row],[Total Volume (Other)]]</f>
        <v>2507598.7841945291</v>
      </c>
      <c r="DC27" s="104">
        <f>Tabelle4[[#This Row],[Total Revenues (IPK)]]</f>
        <v>0</v>
      </c>
      <c r="DE27" s="44">
        <f>Tabelle4[[#This Row],[Total Revenues IPK]]*Tabelle4[[#This Row],[Probability of Success]]</f>
        <v>0</v>
      </c>
      <c r="DL27" s="44">
        <f>Tabelle4[[#This Row],[Real Budget IPK]]*Tabelle4[[#This Row],[Acquisition Factor OE810]]</f>
        <v>0</v>
      </c>
      <c r="DN27" s="46">
        <f>Tabelle4[[#This Row],[Acquisition Bonus OE810]]+Tabelle4[[#This Row],[Project Execution OE810]]</f>
        <v>0</v>
      </c>
    </row>
    <row r="28" spans="1:118 16344:16383" ht="69.400000000000006" x14ac:dyDescent="0.45">
      <c r="A28" s="42" t="s">
        <v>769</v>
      </c>
      <c r="B28" s="33" t="s">
        <v>768</v>
      </c>
      <c r="C28" s="33" t="s">
        <v>770</v>
      </c>
      <c r="D28" s="33" t="s">
        <v>706</v>
      </c>
      <c r="E28" s="33">
        <v>3</v>
      </c>
      <c r="F28" s="33">
        <v>0</v>
      </c>
      <c r="G28" s="33" t="s">
        <v>2</v>
      </c>
      <c r="H28" s="33" t="s">
        <v>96</v>
      </c>
      <c r="I28" s="33" t="s">
        <v>861</v>
      </c>
      <c r="J28" s="59">
        <v>44453</v>
      </c>
      <c r="K28" s="33" t="s">
        <v>246</v>
      </c>
      <c r="L28" s="33" t="s">
        <v>309</v>
      </c>
      <c r="S28" s="59">
        <v>44453</v>
      </c>
      <c r="U28" s="59">
        <v>44599</v>
      </c>
      <c r="Y28" s="59">
        <v>44707</v>
      </c>
      <c r="Z28" s="42" t="str">
        <f t="shared" si="6"/>
        <v>IPK</v>
      </c>
      <c r="AB28" s="104"/>
      <c r="AC28" s="104"/>
      <c r="AD28" s="104"/>
      <c r="AE28" s="104"/>
      <c r="AF28" s="104"/>
      <c r="AG28" s="42" t="str">
        <f t="shared" si="7"/>
        <v>ITA</v>
      </c>
      <c r="AH28" s="33" t="s">
        <v>546</v>
      </c>
      <c r="AI28" s="33" t="s">
        <v>767</v>
      </c>
      <c r="AO28" s="42"/>
      <c r="AQ28" s="104"/>
      <c r="AR28" s="104"/>
      <c r="AS28" s="104"/>
      <c r="AT28" s="104"/>
      <c r="AU28" s="104"/>
      <c r="AV28" s="42"/>
      <c r="AX28" s="104"/>
      <c r="AY28" s="104"/>
      <c r="AZ28" s="104"/>
      <c r="BA28" s="104"/>
      <c r="BB28" s="104"/>
      <c r="BC28" s="42"/>
      <c r="BE28" s="104"/>
      <c r="BF28" s="101"/>
      <c r="BI28" s="104"/>
      <c r="BJ28" s="101"/>
      <c r="BM28" s="104"/>
      <c r="BN28" s="101"/>
      <c r="BQ28" s="104"/>
      <c r="BR28" s="101"/>
      <c r="BU28" s="101"/>
      <c r="BX28" s="101"/>
      <c r="BY28" s="44">
        <f>Tabelle4[[#This Row],[Industry Funding from DE (IPK)]]+Tabelle4[[#This Row],[Industry Funding from BR (IPK)]]+Tabelle4[[#This Row],[Public Funding from DE (IPK)]]+Tabelle4[[#This Row],[Public Funding from BR (IPK)]]+Tabelle4[[#This Row],[In-kind Contribution (IPK)]]</f>
        <v>0</v>
      </c>
      <c r="BZ28" s="44">
        <f>Tabelle4[[#This Row],[Industry Funding from DE (IPK)]]+Tabelle4[[#This Row],[Industry Funding from BR (IPK)]]+Tabelle4[[#This Row],[Public Funding from DE (IPK)]]+Tabelle4[[#This Row],[Public Funding from BR (IPK)]]</f>
        <v>0</v>
      </c>
      <c r="CA28" s="44">
        <f>Tabelle4[[#This Row],[Industry Funding from DE (IPK)]]+Tabelle4[[#This Row],[Industry Funding from BR (IPK)]]</f>
        <v>0</v>
      </c>
      <c r="CB28" s="44">
        <f>Tabelle4[[#This Row],[Public Funding from DE (IPK)]]+Tabelle4[[#This Row],[Public Funding from BR (IPK)]]</f>
        <v>0</v>
      </c>
      <c r="CC28" s="44">
        <f>Tabelle4[[#This Row],[In-kind Contribution (IPK)]]</f>
        <v>0</v>
      </c>
      <c r="CD28" s="47" t="e">
        <f>(Tabelle4[[#This Row],[Total Industry Funding (IPK)]] + Tabelle4[[#This Row],[Total Public Funding (IPK)]])/Tabelle4[[#This Row],[Total Project Volume (IPK)]]</f>
        <v>#DIV/0!</v>
      </c>
      <c r="CE28" s="47" t="e">
        <f>Tabelle4[[#This Row],[Total Industry Funding (IPK)]] / Tabelle4[[#This Row],[Total Project Volume (IPK)]]</f>
        <v>#DIV/0!</v>
      </c>
      <c r="CF28" s="33" t="str">
        <f>Tabelle4[[#This Row],[Project Funding Classification]]</f>
        <v>Public Funding</v>
      </c>
      <c r="CG28" s="44">
        <f>Tabelle4[[#This Row],[Industry Funding from DE (IPK)]]+Tabelle4[[#This Row],[Public Funding from DE (IPK)]]</f>
        <v>0</v>
      </c>
      <c r="CH28" s="46">
        <f>Tabelle4[[#This Row],[Industry Funding from BR (IPK)]]+Tabelle4[[#This Row],[Public Funding from BR (IPK)]]</f>
        <v>0</v>
      </c>
      <c r="CI28" s="44">
        <f>Tabelle4[[#This Row],[Industry Funding from DE (ITA)]]+Tabelle4[[#This Row],[Industry Funding from BR (ITA)]]+Tabelle4[[#This Row],[Public Funding from DE (ITA)]]+Tabelle4[[#This Row],[Public Funding from BR (ITA)]]</f>
        <v>0</v>
      </c>
      <c r="CJ28" s="44">
        <f>Tabelle4[[#This Row],[Industry Funding from DE (ITA)]]+Tabelle4[[#This Row],[Industry Funding from BR (ITA)]]</f>
        <v>0</v>
      </c>
      <c r="CK28" s="44">
        <f>Tabelle4[[#This Row],[Public Funding from DE (ITA)]]+Tabelle4[[#This Row],[Public Funding from BR (ITA)]]</f>
        <v>0</v>
      </c>
      <c r="CL28" s="47" t="e">
        <f>Tabelle4[[#This Row],[Total Industry Funding (ITA)]]/Tabelle4[[#This Row],[Total Project Volume (ITA)]]</f>
        <v>#DIV/0!</v>
      </c>
      <c r="CM28" s="33" t="e">
        <f>IF(Tabelle4[[#This Row],[Funding Ratio (ITA)]]&lt;0.5,"Public Funding","Industry")</f>
        <v>#DIV/0!</v>
      </c>
      <c r="CN28" s="44">
        <f>Tabelle4[[#This Row],[Industry Funding from DE (ITA)]]+Tabelle4[[#This Row],[Public Funding from DE (ITA)]]</f>
        <v>0</v>
      </c>
      <c r="CO28" s="46">
        <f>Tabelle4[[#This Row],[Industry Funding from BR (ITA)]]+Tabelle4[[#This Row],[Public Funding from BR (ITA)]]</f>
        <v>0</v>
      </c>
      <c r="CP28" s="44">
        <f>Tabelle4[[#This Row],[Total Project Volume (IPK)]]+Tabelle4[[#This Row],[Total Project Volume (ITA)]]</f>
        <v>0</v>
      </c>
      <c r="CQ28" s="44">
        <f>Tabelle4[[#This Row],[Total Industry Funding (IPK)]]+Tabelle4[[#This Row],[Total Industry Funding (ITA)]]</f>
        <v>0</v>
      </c>
      <c r="CR28" s="44">
        <f>Tabelle4[[#This Row],[Industry Funding from DE (IPK)]]+Tabelle4[[#This Row],[Industry Funding from DE (ITA)]]</f>
        <v>0</v>
      </c>
      <c r="CS28" s="44">
        <f>Tabelle4[[#This Row],[Industry Funding from BR (IPK)]]+Tabelle4[[#This Row],[Industry Funding from BR (ITA)]]</f>
        <v>0</v>
      </c>
      <c r="CT28" s="44">
        <f>Tabelle4[[#This Row],[Total Public Funding (IPK)]]+Tabelle4[[#This Row],[Total Public Funding (ITA)]]</f>
        <v>0</v>
      </c>
      <c r="CU28" s="44">
        <f>Tabelle4[[#This Row],[Public Funding from DE (IPK)]]+Tabelle4[[#This Row],[Public Funding from DE (ITA)]]</f>
        <v>0</v>
      </c>
      <c r="CV28" s="44">
        <f>Tabelle4[[#This Row],[Public Funding from BR (IPK)]]+Tabelle4[[#This Row],[Public Funding from BR (ITA)]]</f>
        <v>0</v>
      </c>
      <c r="CW28" s="44">
        <f>Tabelle4[[#This Row],[Industry Funding from DE (FPC)]]+Tabelle4[[#This Row],[Public Funding from DE (FPC)]]</f>
        <v>0</v>
      </c>
      <c r="CX28" s="46">
        <f>Tabelle4[[#This Row],[Industry Funding from BR (FPC)]]+Tabelle4[[#This Row],[Public Funding from BR (FPC)]]</f>
        <v>0</v>
      </c>
      <c r="CY28" s="44">
        <f>Tabelle4[[#This Row],[Total Financial Budget (Other)]]+Tabelle4[[#This Row],[Total In-kind Contribution (Other)]]</f>
        <v>0</v>
      </c>
      <c r="CZ2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28" s="44">
        <f>Tabelle4[[#This Row],[In-kind Contribution (R&amp;D III)]]+Tabelle4[[#This Row],[In-kind Contribution (R&amp;D IV)]]</f>
        <v>0</v>
      </c>
      <c r="DB28" s="158">
        <f>Tabelle4[[#This Row],[Total Budget (FPC)]]+Tabelle4[[#This Row],[Total Volume (Other)]]</f>
        <v>0</v>
      </c>
      <c r="DC28" s="104">
        <f>Tabelle4[[#This Row],[Total Revenues (IPK)]]</f>
        <v>0</v>
      </c>
      <c r="DE28" s="44">
        <f>Tabelle4[[#This Row],[Total Revenues IPK]]*Tabelle4[[#This Row],[Probability of Success]]</f>
        <v>0</v>
      </c>
      <c r="DL28" s="44">
        <f>Tabelle4[[#This Row],[Real Budget IPK]]*Tabelle4[[#This Row],[Acquisition Factor OE810]]</f>
        <v>0</v>
      </c>
      <c r="DN28" s="46">
        <f>Tabelle4[[#This Row],[Acquisition Bonus OE810]]+Tabelle4[[#This Row],[Project Execution OE810]]</f>
        <v>0</v>
      </c>
    </row>
    <row r="29" spans="1:118 16344:16383" ht="27.75" x14ac:dyDescent="0.45">
      <c r="A29" s="42" t="s">
        <v>766</v>
      </c>
      <c r="B29" s="33" t="s">
        <v>765</v>
      </c>
      <c r="C29" s="33" t="s">
        <v>321</v>
      </c>
      <c r="D29" s="33" t="s">
        <v>704</v>
      </c>
      <c r="E29" s="33">
        <v>1</v>
      </c>
      <c r="F29" s="33">
        <v>0</v>
      </c>
      <c r="G29" s="33" t="s">
        <v>97</v>
      </c>
      <c r="H29" s="33" t="s">
        <v>0</v>
      </c>
      <c r="J29" s="59">
        <v>44410</v>
      </c>
      <c r="K29" s="33" t="s">
        <v>241</v>
      </c>
      <c r="L29" s="33" t="s">
        <v>305</v>
      </c>
      <c r="Z29" s="42" t="str">
        <f t="shared" si="6"/>
        <v>IPK</v>
      </c>
      <c r="AB29" s="104"/>
      <c r="AC29" s="104"/>
      <c r="AD29" s="104"/>
      <c r="AE29" s="104"/>
      <c r="AF29" s="104"/>
      <c r="AG29" s="42" t="str">
        <f t="shared" si="7"/>
        <v>ITA</v>
      </c>
      <c r="AH29" s="33" t="s">
        <v>546</v>
      </c>
      <c r="AI29" s="33" t="s">
        <v>767</v>
      </c>
      <c r="AO29" s="42"/>
      <c r="AQ29" s="104"/>
      <c r="AR29" s="104"/>
      <c r="AS29" s="104"/>
      <c r="AT29" s="104"/>
      <c r="AU29" s="104"/>
      <c r="AV29" s="42"/>
      <c r="AX29" s="104"/>
      <c r="AY29" s="104"/>
      <c r="AZ29" s="104"/>
      <c r="BA29" s="104"/>
      <c r="BB29" s="104"/>
      <c r="BC29" s="42"/>
      <c r="BE29" s="104"/>
      <c r="BF29" s="101"/>
      <c r="BI29" s="104"/>
      <c r="BJ29" s="101"/>
      <c r="BM29" s="104"/>
      <c r="BN29" s="101"/>
      <c r="BQ29" s="104"/>
      <c r="BR29" s="101"/>
      <c r="BU29" s="101"/>
      <c r="BX29" s="101"/>
      <c r="BY29" s="44">
        <f>Tabelle4[[#This Row],[Industry Funding from DE (IPK)]]+Tabelle4[[#This Row],[Industry Funding from BR (IPK)]]+Tabelle4[[#This Row],[Public Funding from DE (IPK)]]+Tabelle4[[#This Row],[Public Funding from BR (IPK)]]+Tabelle4[[#This Row],[In-kind Contribution (IPK)]]</f>
        <v>0</v>
      </c>
      <c r="BZ29" s="44">
        <f>Tabelle4[[#This Row],[Industry Funding from DE (IPK)]]+Tabelle4[[#This Row],[Industry Funding from BR (IPK)]]+Tabelle4[[#This Row],[Public Funding from DE (IPK)]]+Tabelle4[[#This Row],[Public Funding from BR (IPK)]]</f>
        <v>0</v>
      </c>
      <c r="CA29" s="44">
        <f>Tabelle4[[#This Row],[Industry Funding from DE (IPK)]]+Tabelle4[[#This Row],[Industry Funding from BR (IPK)]]</f>
        <v>0</v>
      </c>
      <c r="CB29" s="44">
        <f>Tabelle4[[#This Row],[Public Funding from DE (IPK)]]+Tabelle4[[#This Row],[Public Funding from BR (IPK)]]</f>
        <v>0</v>
      </c>
      <c r="CC29" s="44">
        <f>Tabelle4[[#This Row],[In-kind Contribution (IPK)]]</f>
        <v>0</v>
      </c>
      <c r="CD29" s="47" t="e">
        <f>(Tabelle4[[#This Row],[Total Industry Funding (IPK)]] + Tabelle4[[#This Row],[Total Public Funding (IPK)]])/Tabelle4[[#This Row],[Total Project Volume (IPK)]]</f>
        <v>#DIV/0!</v>
      </c>
      <c r="CE29" s="47" t="e">
        <f>Tabelle4[[#This Row],[Total Industry Funding (IPK)]] / Tabelle4[[#This Row],[Total Project Volume (IPK)]]</f>
        <v>#DIV/0!</v>
      </c>
      <c r="CF29" s="33" t="str">
        <f>Tabelle4[[#This Row],[Project Funding Classification]]</f>
        <v>Industry</v>
      </c>
      <c r="CG29" s="44">
        <f>Tabelle4[[#This Row],[Industry Funding from DE (IPK)]]+Tabelle4[[#This Row],[Public Funding from DE (IPK)]]</f>
        <v>0</v>
      </c>
      <c r="CH29" s="46">
        <f>Tabelle4[[#This Row],[Industry Funding from BR (IPK)]]+Tabelle4[[#This Row],[Public Funding from BR (IPK)]]</f>
        <v>0</v>
      </c>
      <c r="CI29" s="44">
        <f>Tabelle4[[#This Row],[Industry Funding from DE (ITA)]]+Tabelle4[[#This Row],[Industry Funding from BR (ITA)]]+Tabelle4[[#This Row],[Public Funding from DE (ITA)]]+Tabelle4[[#This Row],[Public Funding from BR (ITA)]]</f>
        <v>0</v>
      </c>
      <c r="CJ29" s="44">
        <f>Tabelle4[[#This Row],[Industry Funding from DE (ITA)]]+Tabelle4[[#This Row],[Industry Funding from BR (ITA)]]</f>
        <v>0</v>
      </c>
      <c r="CK29" s="44">
        <f>Tabelle4[[#This Row],[Public Funding from DE (ITA)]]+Tabelle4[[#This Row],[Public Funding from BR (ITA)]]</f>
        <v>0</v>
      </c>
      <c r="CL29" s="47" t="e">
        <f>Tabelle4[[#This Row],[Total Industry Funding (ITA)]]/Tabelle4[[#This Row],[Total Project Volume (ITA)]]</f>
        <v>#DIV/0!</v>
      </c>
      <c r="CM29" s="33" t="e">
        <f>IF(Tabelle4[[#This Row],[Funding Ratio (ITA)]]&lt;0.5,"Public Funding","Industry")</f>
        <v>#DIV/0!</v>
      </c>
      <c r="CN29" s="44">
        <f>Tabelle4[[#This Row],[Industry Funding from DE (ITA)]]+Tabelle4[[#This Row],[Public Funding from DE (ITA)]]</f>
        <v>0</v>
      </c>
      <c r="CO29" s="46">
        <f>Tabelle4[[#This Row],[Industry Funding from BR (ITA)]]+Tabelle4[[#This Row],[Public Funding from BR (ITA)]]</f>
        <v>0</v>
      </c>
      <c r="CP29" s="44">
        <f>Tabelle4[[#This Row],[Total Project Volume (IPK)]]+Tabelle4[[#This Row],[Total Project Volume (ITA)]]</f>
        <v>0</v>
      </c>
      <c r="CQ29" s="44">
        <f>Tabelle4[[#This Row],[Total Industry Funding (IPK)]]+Tabelle4[[#This Row],[Total Industry Funding (ITA)]]</f>
        <v>0</v>
      </c>
      <c r="CR29" s="44">
        <f>Tabelle4[[#This Row],[Industry Funding from DE (IPK)]]+Tabelle4[[#This Row],[Industry Funding from DE (ITA)]]</f>
        <v>0</v>
      </c>
      <c r="CS29" s="44">
        <f>Tabelle4[[#This Row],[Industry Funding from BR (IPK)]]+Tabelle4[[#This Row],[Industry Funding from BR (ITA)]]</f>
        <v>0</v>
      </c>
      <c r="CT29" s="44">
        <f>Tabelle4[[#This Row],[Total Public Funding (IPK)]]+Tabelle4[[#This Row],[Total Public Funding (ITA)]]</f>
        <v>0</v>
      </c>
      <c r="CU29" s="44">
        <f>Tabelle4[[#This Row],[Public Funding from DE (IPK)]]+Tabelle4[[#This Row],[Public Funding from DE (ITA)]]</f>
        <v>0</v>
      </c>
      <c r="CV29" s="44">
        <f>Tabelle4[[#This Row],[Public Funding from BR (IPK)]]+Tabelle4[[#This Row],[Public Funding from BR (ITA)]]</f>
        <v>0</v>
      </c>
      <c r="CW29" s="44">
        <f>Tabelle4[[#This Row],[Industry Funding from DE (FPC)]]+Tabelle4[[#This Row],[Public Funding from DE (FPC)]]</f>
        <v>0</v>
      </c>
      <c r="CX29" s="46">
        <f>Tabelle4[[#This Row],[Industry Funding from BR (FPC)]]+Tabelle4[[#This Row],[Public Funding from BR (FPC)]]</f>
        <v>0</v>
      </c>
      <c r="CY29" s="44">
        <f>Tabelle4[[#This Row],[Total Financial Budget (Other)]]+Tabelle4[[#This Row],[Total In-kind Contribution (Other)]]</f>
        <v>0</v>
      </c>
      <c r="CZ2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29" s="44">
        <f>Tabelle4[[#This Row],[In-kind Contribution (R&amp;D III)]]+Tabelle4[[#This Row],[In-kind Contribution (R&amp;D IV)]]</f>
        <v>0</v>
      </c>
      <c r="DB29" s="158">
        <f>Tabelle4[[#This Row],[Total Budget (FPC)]]+Tabelle4[[#This Row],[Total Volume (Other)]]</f>
        <v>0</v>
      </c>
      <c r="DC29" s="104">
        <f>Tabelle4[[#This Row],[Total Revenues (IPK)]]</f>
        <v>0</v>
      </c>
      <c r="DE29" s="44">
        <f>Tabelle4[[#This Row],[Total Revenues IPK]]*Tabelle4[[#This Row],[Probability of Success]]</f>
        <v>0</v>
      </c>
      <c r="DL29" s="44">
        <f>Tabelle4[[#This Row],[Real Budget IPK]]*Tabelle4[[#This Row],[Acquisition Factor OE810]]</f>
        <v>0</v>
      </c>
      <c r="DN29" s="46">
        <f>Tabelle4[[#This Row],[Acquisition Bonus OE810]]+Tabelle4[[#This Row],[Project Execution OE810]]</f>
        <v>0</v>
      </c>
    </row>
    <row r="30" spans="1:118 16344:16383" ht="27.75" x14ac:dyDescent="0.45">
      <c r="A30" s="42" t="s">
        <v>754</v>
      </c>
      <c r="B30" s="33" t="s">
        <v>835</v>
      </c>
      <c r="D30" s="33" t="s">
        <v>709</v>
      </c>
      <c r="H30" s="33" t="s">
        <v>96</v>
      </c>
      <c r="J30" s="59">
        <v>44300</v>
      </c>
      <c r="K30" s="33" t="s">
        <v>242</v>
      </c>
      <c r="L30" s="33" t="s">
        <v>306</v>
      </c>
      <c r="U30" s="59">
        <v>44531</v>
      </c>
      <c r="Z30" s="42" t="str">
        <f t="shared" si="6"/>
        <v>IPK</v>
      </c>
      <c r="AB30" s="104"/>
      <c r="AC30" s="104"/>
      <c r="AD30" s="104"/>
      <c r="AE30" s="104"/>
      <c r="AF30" s="104"/>
      <c r="AG30" s="42" t="str">
        <f t="shared" si="7"/>
        <v>ITA</v>
      </c>
      <c r="AH30" s="33" t="s">
        <v>450</v>
      </c>
      <c r="AI30" s="33" t="s">
        <v>438</v>
      </c>
      <c r="AO30" s="42"/>
      <c r="AQ30" s="104"/>
      <c r="AR30" s="104"/>
      <c r="AS30" s="104"/>
      <c r="AT30" s="104"/>
      <c r="AU30" s="104"/>
      <c r="AV30" s="42"/>
      <c r="AX30" s="104"/>
      <c r="AY30" s="104"/>
      <c r="AZ30" s="104"/>
      <c r="BA30" s="104"/>
      <c r="BB30" s="104"/>
      <c r="BC30" s="42"/>
      <c r="BE30" s="104"/>
      <c r="BF30" s="101"/>
      <c r="BI30" s="104"/>
      <c r="BJ30" s="101"/>
      <c r="BM30" s="104"/>
      <c r="BN30" s="101"/>
      <c r="BQ30" s="104"/>
      <c r="BR30" s="101"/>
      <c r="BU30" s="101"/>
      <c r="BX30" s="101"/>
      <c r="BY30" s="44">
        <f>Tabelle4[[#This Row],[Industry Funding from DE (IPK)]]+Tabelle4[[#This Row],[Industry Funding from BR (IPK)]]+Tabelle4[[#This Row],[Public Funding from DE (IPK)]]+Tabelle4[[#This Row],[Public Funding from BR (IPK)]]+Tabelle4[[#This Row],[In-kind Contribution (IPK)]]</f>
        <v>0</v>
      </c>
      <c r="BZ30" s="44">
        <f>Tabelle4[[#This Row],[Industry Funding from DE (IPK)]]+Tabelle4[[#This Row],[Industry Funding from BR (IPK)]]+Tabelle4[[#This Row],[Public Funding from DE (IPK)]]+Tabelle4[[#This Row],[Public Funding from BR (IPK)]]</f>
        <v>0</v>
      </c>
      <c r="CA30" s="44">
        <f>Tabelle4[[#This Row],[Industry Funding from DE (IPK)]]+Tabelle4[[#This Row],[Industry Funding from BR (IPK)]]</f>
        <v>0</v>
      </c>
      <c r="CB30" s="44">
        <f>Tabelle4[[#This Row],[Public Funding from DE (IPK)]]+Tabelle4[[#This Row],[Public Funding from BR (IPK)]]</f>
        <v>0</v>
      </c>
      <c r="CC30" s="44">
        <f>Tabelle4[[#This Row],[In-kind Contribution (IPK)]]</f>
        <v>0</v>
      </c>
      <c r="CD30" s="47" t="e">
        <f>(Tabelle4[[#This Row],[Total Industry Funding (IPK)]] + Tabelle4[[#This Row],[Total Public Funding (IPK)]])/Tabelle4[[#This Row],[Total Project Volume (IPK)]]</f>
        <v>#DIV/0!</v>
      </c>
      <c r="CE30" s="47" t="e">
        <f>Tabelle4[[#This Row],[Total Industry Funding (IPK)]] / Tabelle4[[#This Row],[Total Project Volume (IPK)]]</f>
        <v>#DIV/0!</v>
      </c>
      <c r="CF30" s="33" t="str">
        <f>Tabelle4[[#This Row],[Project Funding Classification]]</f>
        <v>Public Funding</v>
      </c>
      <c r="CG30" s="44">
        <f>Tabelle4[[#This Row],[Industry Funding from DE (IPK)]]+Tabelle4[[#This Row],[Public Funding from DE (IPK)]]</f>
        <v>0</v>
      </c>
      <c r="CH30" s="46">
        <f>Tabelle4[[#This Row],[Industry Funding from BR (IPK)]]+Tabelle4[[#This Row],[Public Funding from BR (IPK)]]</f>
        <v>0</v>
      </c>
      <c r="CI30" s="44">
        <f>Tabelle4[[#This Row],[Industry Funding from DE (ITA)]]+Tabelle4[[#This Row],[Industry Funding from BR (ITA)]]+Tabelle4[[#This Row],[Public Funding from DE (ITA)]]+Tabelle4[[#This Row],[Public Funding from BR (ITA)]]</f>
        <v>0</v>
      </c>
      <c r="CJ30" s="44">
        <f>Tabelle4[[#This Row],[Industry Funding from DE (ITA)]]+Tabelle4[[#This Row],[Industry Funding from BR (ITA)]]</f>
        <v>0</v>
      </c>
      <c r="CK30" s="44">
        <f>Tabelle4[[#This Row],[Public Funding from DE (ITA)]]+Tabelle4[[#This Row],[Public Funding from BR (ITA)]]</f>
        <v>0</v>
      </c>
      <c r="CL30" s="47" t="e">
        <f>Tabelle4[[#This Row],[Total Industry Funding (ITA)]]/Tabelle4[[#This Row],[Total Project Volume (ITA)]]</f>
        <v>#DIV/0!</v>
      </c>
      <c r="CM30" s="33" t="e">
        <f>IF(Tabelle4[[#This Row],[Funding Ratio (ITA)]]&lt;0.5,"Public Funding","Industry")</f>
        <v>#DIV/0!</v>
      </c>
      <c r="CN30" s="44">
        <f>Tabelle4[[#This Row],[Industry Funding from DE (ITA)]]+Tabelle4[[#This Row],[Public Funding from DE (ITA)]]</f>
        <v>0</v>
      </c>
      <c r="CO30" s="46">
        <f>Tabelle4[[#This Row],[Industry Funding from BR (ITA)]]+Tabelle4[[#This Row],[Public Funding from BR (ITA)]]</f>
        <v>0</v>
      </c>
      <c r="CP30" s="44">
        <f>Tabelle4[[#This Row],[Total Project Volume (IPK)]]+Tabelle4[[#This Row],[Total Project Volume (ITA)]]</f>
        <v>0</v>
      </c>
      <c r="CQ30" s="44">
        <f>Tabelle4[[#This Row],[Total Industry Funding (IPK)]]+Tabelle4[[#This Row],[Total Industry Funding (ITA)]]</f>
        <v>0</v>
      </c>
      <c r="CR30" s="44">
        <f>Tabelle4[[#This Row],[Industry Funding from DE (IPK)]]+Tabelle4[[#This Row],[Industry Funding from DE (ITA)]]</f>
        <v>0</v>
      </c>
      <c r="CS30" s="44">
        <f>Tabelle4[[#This Row],[Industry Funding from BR (IPK)]]+Tabelle4[[#This Row],[Industry Funding from BR (ITA)]]</f>
        <v>0</v>
      </c>
      <c r="CT30" s="44">
        <f>Tabelle4[[#This Row],[Total Public Funding (IPK)]]+Tabelle4[[#This Row],[Total Public Funding (ITA)]]</f>
        <v>0</v>
      </c>
      <c r="CU30" s="44">
        <f>Tabelle4[[#This Row],[Public Funding from DE (IPK)]]+Tabelle4[[#This Row],[Public Funding from DE (ITA)]]</f>
        <v>0</v>
      </c>
      <c r="CV30" s="44">
        <f>Tabelle4[[#This Row],[Public Funding from BR (IPK)]]+Tabelle4[[#This Row],[Public Funding from BR (ITA)]]</f>
        <v>0</v>
      </c>
      <c r="CW30" s="44">
        <f>Tabelle4[[#This Row],[Industry Funding from DE (FPC)]]+Tabelle4[[#This Row],[Public Funding from DE (FPC)]]</f>
        <v>0</v>
      </c>
      <c r="CX30" s="46">
        <f>Tabelle4[[#This Row],[Industry Funding from BR (FPC)]]+Tabelle4[[#This Row],[Public Funding from BR (FPC)]]</f>
        <v>0</v>
      </c>
      <c r="CY30" s="44">
        <f>Tabelle4[[#This Row],[Total Financial Budget (Other)]]+Tabelle4[[#This Row],[Total In-kind Contribution (Other)]]</f>
        <v>0</v>
      </c>
      <c r="CZ3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30" s="44">
        <f>Tabelle4[[#This Row],[In-kind Contribution (R&amp;D III)]]+Tabelle4[[#This Row],[In-kind Contribution (R&amp;D IV)]]</f>
        <v>0</v>
      </c>
      <c r="DB30" s="158">
        <f>Tabelle4[[#This Row],[Total Budget (FPC)]]+Tabelle4[[#This Row],[Total Volume (Other)]]</f>
        <v>0</v>
      </c>
      <c r="DC30" s="104">
        <f>Tabelle4[[#This Row],[Total Revenues (IPK)]]</f>
        <v>0</v>
      </c>
      <c r="DE30" s="44">
        <f>Tabelle4[[#This Row],[Total Revenues IPK]]*Tabelle4[[#This Row],[Probability of Success]]</f>
        <v>0</v>
      </c>
      <c r="DL30" s="44">
        <f>Tabelle4[[#This Row],[Real Budget IPK]]*Tabelle4[[#This Row],[Acquisition Factor OE810]]</f>
        <v>0</v>
      </c>
      <c r="DN30" s="46">
        <f>Tabelle4[[#This Row],[Acquisition Bonus OE810]]+Tabelle4[[#This Row],[Project Execution OE810]]</f>
        <v>0</v>
      </c>
    </row>
    <row r="31" spans="1:118 16344:16383" ht="41.65" x14ac:dyDescent="0.45">
      <c r="A31" s="42" t="s">
        <v>752</v>
      </c>
      <c r="B31" s="33" t="s">
        <v>836</v>
      </c>
      <c r="C31" s="33" t="s">
        <v>756</v>
      </c>
      <c r="D31" s="33" t="s">
        <v>704</v>
      </c>
      <c r="E31" s="33">
        <v>5</v>
      </c>
      <c r="F31" s="33">
        <v>0</v>
      </c>
      <c r="G31" s="33" t="s">
        <v>2</v>
      </c>
      <c r="H31" s="33" t="s">
        <v>0</v>
      </c>
      <c r="J31" s="59">
        <v>44410</v>
      </c>
      <c r="K31" s="33" t="s">
        <v>246</v>
      </c>
      <c r="L31" s="33" t="s">
        <v>309</v>
      </c>
      <c r="U31" s="59">
        <v>44448</v>
      </c>
      <c r="Z31" s="42" t="str">
        <f t="shared" si="6"/>
        <v>IPK</v>
      </c>
      <c r="AB31" s="104"/>
      <c r="AC31" s="104"/>
      <c r="AD31" s="104"/>
      <c r="AE31" s="104"/>
      <c r="AF31" s="104"/>
      <c r="AG31" s="42" t="str">
        <f t="shared" si="7"/>
        <v>ITA</v>
      </c>
      <c r="AH31" s="33" t="s">
        <v>438</v>
      </c>
      <c r="AI31" s="33" t="s">
        <v>438</v>
      </c>
      <c r="AO31" s="42"/>
      <c r="AQ31" s="104"/>
      <c r="AR31" s="104"/>
      <c r="AS31" s="104"/>
      <c r="AT31" s="104"/>
      <c r="AU31" s="104"/>
      <c r="AV31" s="42"/>
      <c r="AX31" s="104"/>
      <c r="AY31" s="104"/>
      <c r="AZ31" s="104"/>
      <c r="BA31" s="104"/>
      <c r="BB31" s="104"/>
      <c r="BC31" s="42"/>
      <c r="BE31" s="104"/>
      <c r="BF31" s="101"/>
      <c r="BI31" s="104"/>
      <c r="BJ31" s="101"/>
      <c r="BM31" s="104"/>
      <c r="BN31" s="101"/>
      <c r="BQ31" s="104"/>
      <c r="BR31" s="101"/>
      <c r="BU31" s="101"/>
      <c r="BX31" s="101"/>
      <c r="BY31" s="44">
        <f>Tabelle4[[#This Row],[Industry Funding from DE (IPK)]]+Tabelle4[[#This Row],[Industry Funding from BR (IPK)]]+Tabelle4[[#This Row],[Public Funding from DE (IPK)]]+Tabelle4[[#This Row],[Public Funding from BR (IPK)]]+Tabelle4[[#This Row],[In-kind Contribution (IPK)]]</f>
        <v>0</v>
      </c>
      <c r="BZ31" s="44">
        <f>Tabelle4[[#This Row],[Industry Funding from DE (IPK)]]+Tabelle4[[#This Row],[Industry Funding from BR (IPK)]]+Tabelle4[[#This Row],[Public Funding from DE (IPK)]]+Tabelle4[[#This Row],[Public Funding from BR (IPK)]]</f>
        <v>0</v>
      </c>
      <c r="CA31" s="44">
        <f>Tabelle4[[#This Row],[Industry Funding from DE (IPK)]]+Tabelle4[[#This Row],[Industry Funding from BR (IPK)]]</f>
        <v>0</v>
      </c>
      <c r="CB31" s="44">
        <f>Tabelle4[[#This Row],[Public Funding from DE (IPK)]]+Tabelle4[[#This Row],[Public Funding from BR (IPK)]]</f>
        <v>0</v>
      </c>
      <c r="CC31" s="44">
        <f>Tabelle4[[#This Row],[In-kind Contribution (IPK)]]</f>
        <v>0</v>
      </c>
      <c r="CD31" s="47" t="e">
        <f>(Tabelle4[[#This Row],[Total Industry Funding (IPK)]] + Tabelle4[[#This Row],[Total Public Funding (IPK)]])/Tabelle4[[#This Row],[Total Project Volume (IPK)]]</f>
        <v>#DIV/0!</v>
      </c>
      <c r="CE31" s="47" t="e">
        <f>Tabelle4[[#This Row],[Total Industry Funding (IPK)]] / Tabelle4[[#This Row],[Total Project Volume (IPK)]]</f>
        <v>#DIV/0!</v>
      </c>
      <c r="CF31" s="33" t="str">
        <f>Tabelle4[[#This Row],[Project Funding Classification]]</f>
        <v>Industry</v>
      </c>
      <c r="CG31" s="44">
        <f>Tabelle4[[#This Row],[Industry Funding from DE (IPK)]]+Tabelle4[[#This Row],[Public Funding from DE (IPK)]]</f>
        <v>0</v>
      </c>
      <c r="CH31" s="46">
        <f>Tabelle4[[#This Row],[Industry Funding from BR (IPK)]]+Tabelle4[[#This Row],[Public Funding from BR (IPK)]]</f>
        <v>0</v>
      </c>
      <c r="CI31" s="44">
        <f>Tabelle4[[#This Row],[Industry Funding from DE (ITA)]]+Tabelle4[[#This Row],[Industry Funding from BR (ITA)]]+Tabelle4[[#This Row],[Public Funding from DE (ITA)]]+Tabelle4[[#This Row],[Public Funding from BR (ITA)]]</f>
        <v>0</v>
      </c>
      <c r="CJ31" s="44">
        <f>Tabelle4[[#This Row],[Industry Funding from DE (ITA)]]+Tabelle4[[#This Row],[Industry Funding from BR (ITA)]]</f>
        <v>0</v>
      </c>
      <c r="CK31" s="44">
        <f>Tabelle4[[#This Row],[Public Funding from DE (ITA)]]+Tabelle4[[#This Row],[Public Funding from BR (ITA)]]</f>
        <v>0</v>
      </c>
      <c r="CL31" s="47" t="e">
        <f>Tabelle4[[#This Row],[Total Industry Funding (ITA)]]/Tabelle4[[#This Row],[Total Project Volume (ITA)]]</f>
        <v>#DIV/0!</v>
      </c>
      <c r="CM31" s="33" t="e">
        <f>IF(Tabelle4[[#This Row],[Funding Ratio (ITA)]]&lt;0.5,"Public Funding","Industry")</f>
        <v>#DIV/0!</v>
      </c>
      <c r="CN31" s="44">
        <f>Tabelle4[[#This Row],[Industry Funding from DE (ITA)]]+Tabelle4[[#This Row],[Public Funding from DE (ITA)]]</f>
        <v>0</v>
      </c>
      <c r="CO31" s="46">
        <f>Tabelle4[[#This Row],[Industry Funding from BR (ITA)]]+Tabelle4[[#This Row],[Public Funding from BR (ITA)]]</f>
        <v>0</v>
      </c>
      <c r="CP31" s="44">
        <f>Tabelle4[[#This Row],[Total Project Volume (IPK)]]+Tabelle4[[#This Row],[Total Project Volume (ITA)]]</f>
        <v>0</v>
      </c>
      <c r="CQ31" s="44">
        <f>Tabelle4[[#This Row],[Total Industry Funding (IPK)]]+Tabelle4[[#This Row],[Total Industry Funding (ITA)]]</f>
        <v>0</v>
      </c>
      <c r="CR31" s="44">
        <f>Tabelle4[[#This Row],[Industry Funding from DE (IPK)]]+Tabelle4[[#This Row],[Industry Funding from DE (ITA)]]</f>
        <v>0</v>
      </c>
      <c r="CS31" s="44">
        <f>Tabelle4[[#This Row],[Industry Funding from BR (IPK)]]+Tabelle4[[#This Row],[Industry Funding from BR (ITA)]]</f>
        <v>0</v>
      </c>
      <c r="CT31" s="44">
        <f>Tabelle4[[#This Row],[Total Public Funding (IPK)]]+Tabelle4[[#This Row],[Total Public Funding (ITA)]]</f>
        <v>0</v>
      </c>
      <c r="CU31" s="44">
        <f>Tabelle4[[#This Row],[Public Funding from DE (IPK)]]+Tabelle4[[#This Row],[Public Funding from DE (ITA)]]</f>
        <v>0</v>
      </c>
      <c r="CV31" s="44">
        <f>Tabelle4[[#This Row],[Public Funding from BR (IPK)]]+Tabelle4[[#This Row],[Public Funding from BR (ITA)]]</f>
        <v>0</v>
      </c>
      <c r="CW31" s="44">
        <f>Tabelle4[[#This Row],[Industry Funding from DE (FPC)]]+Tabelle4[[#This Row],[Public Funding from DE (FPC)]]</f>
        <v>0</v>
      </c>
      <c r="CX31" s="46">
        <f>Tabelle4[[#This Row],[Industry Funding from BR (FPC)]]+Tabelle4[[#This Row],[Public Funding from BR (FPC)]]</f>
        <v>0</v>
      </c>
      <c r="CY31" s="44">
        <f>Tabelle4[[#This Row],[Total Financial Budget (Other)]]+Tabelle4[[#This Row],[Total In-kind Contribution (Other)]]</f>
        <v>0</v>
      </c>
      <c r="CZ3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31" s="44">
        <f>Tabelle4[[#This Row],[In-kind Contribution (R&amp;D III)]]+Tabelle4[[#This Row],[In-kind Contribution (R&amp;D IV)]]</f>
        <v>0</v>
      </c>
      <c r="DB31" s="158">
        <f>Tabelle4[[#This Row],[Total Budget (FPC)]]+Tabelle4[[#This Row],[Total Volume (Other)]]</f>
        <v>0</v>
      </c>
      <c r="DC31" s="104">
        <f>Tabelle4[[#This Row],[Total Revenues (IPK)]]</f>
        <v>0</v>
      </c>
      <c r="DE31" s="44">
        <f>Tabelle4[[#This Row],[Total Revenues IPK]]*Tabelle4[[#This Row],[Probability of Success]]</f>
        <v>0</v>
      </c>
      <c r="DL31" s="44">
        <f>Tabelle4[[#This Row],[Real Budget IPK]]*Tabelle4[[#This Row],[Acquisition Factor OE810]]</f>
        <v>0</v>
      </c>
      <c r="DN31" s="46">
        <f>Tabelle4[[#This Row],[Acquisition Bonus OE810]]+Tabelle4[[#This Row],[Project Execution OE810]]</f>
        <v>0</v>
      </c>
    </row>
    <row r="32" spans="1:118 16344:16383" ht="27.75" x14ac:dyDescent="0.45">
      <c r="A32" s="42" t="s">
        <v>788</v>
      </c>
      <c r="B32" s="33" t="s">
        <v>843</v>
      </c>
      <c r="C32" s="33" t="s">
        <v>789</v>
      </c>
      <c r="D32" s="33" t="s">
        <v>709</v>
      </c>
      <c r="E32" s="33">
        <v>2</v>
      </c>
      <c r="F32" s="33">
        <v>0</v>
      </c>
      <c r="G32" s="33" t="s">
        <v>2</v>
      </c>
      <c r="H32" s="33" t="s">
        <v>0</v>
      </c>
      <c r="J32" s="59">
        <v>44357</v>
      </c>
      <c r="K32" s="33" t="s">
        <v>242</v>
      </c>
      <c r="L32" s="33" t="s">
        <v>306</v>
      </c>
      <c r="M32" s="144">
        <v>6.36</v>
      </c>
      <c r="N32" s="33" t="s">
        <v>667</v>
      </c>
      <c r="U32" s="59">
        <v>44490</v>
      </c>
      <c r="Z32" s="42" t="str">
        <f t="shared" si="6"/>
        <v>IPK</v>
      </c>
      <c r="AB32" s="104"/>
      <c r="AC32" s="104"/>
      <c r="AD32" s="104"/>
      <c r="AE32" s="104"/>
      <c r="AF32" s="104"/>
      <c r="AG32" s="42" t="str">
        <f t="shared" si="7"/>
        <v>ITA</v>
      </c>
      <c r="AH32" s="33" t="s">
        <v>437</v>
      </c>
      <c r="AI32" s="33" t="s">
        <v>438</v>
      </c>
      <c r="AK32" s="104">
        <f>500000/Tabelle4[[#This Row],[EUR exchange rate against BRL]]</f>
        <v>78616.352201257861</v>
      </c>
      <c r="AM32" s="104">
        <f>750000/Tabelle4[[#This Row],[EUR exchange rate against BRL]]</f>
        <v>117924.52830188679</v>
      </c>
      <c r="AO32" s="42"/>
      <c r="AQ32" s="104"/>
      <c r="AR32" s="104"/>
      <c r="AS32" s="104"/>
      <c r="AT32" s="104"/>
      <c r="AU32" s="104"/>
      <c r="AV32" s="42"/>
      <c r="AX32" s="104"/>
      <c r="AY32" s="104"/>
      <c r="AZ32" s="104"/>
      <c r="BA32" s="104"/>
      <c r="BB32" s="104"/>
      <c r="BC32" s="42"/>
      <c r="BE32" s="104">
        <f>Tabelle4[[#This Row],[Industry Funding from BR (ITA)]]</f>
        <v>78616.352201257861</v>
      </c>
      <c r="BF32" s="101"/>
      <c r="BI32" s="104"/>
      <c r="BJ32" s="101"/>
      <c r="BM32" s="104"/>
      <c r="BN32" s="101"/>
      <c r="BQ32" s="104"/>
      <c r="BR32" s="101"/>
      <c r="BS32" s="33" t="s">
        <v>749</v>
      </c>
      <c r="BU32" s="101">
        <f>Tabelle4[[#This Row],[Public Funding from BR (ITA)]]</f>
        <v>117924.52830188679</v>
      </c>
      <c r="BX32" s="101"/>
      <c r="BY32" s="44">
        <f>Tabelle4[[#This Row],[Industry Funding from DE (IPK)]]+Tabelle4[[#This Row],[Industry Funding from BR (IPK)]]+Tabelle4[[#This Row],[Public Funding from DE (IPK)]]+Tabelle4[[#This Row],[Public Funding from BR (IPK)]]+Tabelle4[[#This Row],[In-kind Contribution (IPK)]]</f>
        <v>0</v>
      </c>
      <c r="BZ32" s="44">
        <f>Tabelle4[[#This Row],[Industry Funding from DE (IPK)]]+Tabelle4[[#This Row],[Industry Funding from BR (IPK)]]+Tabelle4[[#This Row],[Public Funding from DE (IPK)]]+Tabelle4[[#This Row],[Public Funding from BR (IPK)]]</f>
        <v>0</v>
      </c>
      <c r="CA32" s="44">
        <f>Tabelle4[[#This Row],[Industry Funding from DE (IPK)]]+Tabelle4[[#This Row],[Industry Funding from BR (IPK)]]</f>
        <v>0</v>
      </c>
      <c r="CB32" s="44">
        <f>Tabelle4[[#This Row],[Public Funding from DE (IPK)]]+Tabelle4[[#This Row],[Public Funding from BR (IPK)]]</f>
        <v>0</v>
      </c>
      <c r="CC32" s="44">
        <f>Tabelle4[[#This Row],[In-kind Contribution (IPK)]]</f>
        <v>0</v>
      </c>
      <c r="CD32" s="47" t="e">
        <f>(Tabelle4[[#This Row],[Total Industry Funding (IPK)]] + Tabelle4[[#This Row],[Total Public Funding (IPK)]])/Tabelle4[[#This Row],[Total Project Volume (IPK)]]</f>
        <v>#DIV/0!</v>
      </c>
      <c r="CE32" s="47" t="e">
        <f>Tabelle4[[#This Row],[Total Industry Funding (IPK)]] / Tabelle4[[#This Row],[Total Project Volume (IPK)]]</f>
        <v>#DIV/0!</v>
      </c>
      <c r="CF32" s="33" t="str">
        <f>Tabelle4[[#This Row],[Project Funding Classification]]</f>
        <v>Industry</v>
      </c>
      <c r="CG32" s="44">
        <f>Tabelle4[[#This Row],[Industry Funding from DE (IPK)]]+Tabelle4[[#This Row],[Public Funding from DE (IPK)]]</f>
        <v>0</v>
      </c>
      <c r="CH32" s="46">
        <f>Tabelle4[[#This Row],[Industry Funding from BR (IPK)]]+Tabelle4[[#This Row],[Public Funding from BR (IPK)]]</f>
        <v>0</v>
      </c>
      <c r="CI32" s="44">
        <f>Tabelle4[[#This Row],[Industry Funding from DE (ITA)]]+Tabelle4[[#This Row],[Industry Funding from BR (ITA)]]+Tabelle4[[#This Row],[Public Funding from DE (ITA)]]+Tabelle4[[#This Row],[Public Funding from BR (ITA)]]</f>
        <v>196540.88050314464</v>
      </c>
      <c r="CJ32" s="44">
        <f>Tabelle4[[#This Row],[Industry Funding from DE (ITA)]]+Tabelle4[[#This Row],[Industry Funding from BR (ITA)]]</f>
        <v>78616.352201257861</v>
      </c>
      <c r="CK32" s="44">
        <f>Tabelle4[[#This Row],[Public Funding from DE (ITA)]]+Tabelle4[[#This Row],[Public Funding from BR (ITA)]]</f>
        <v>117924.52830188679</v>
      </c>
      <c r="CL32" s="47">
        <f>Tabelle4[[#This Row],[Total Industry Funding (ITA)]]/Tabelle4[[#This Row],[Total Project Volume (ITA)]]</f>
        <v>0.4</v>
      </c>
      <c r="CM32" s="33" t="str">
        <f>IF(Tabelle4[[#This Row],[Funding Ratio (ITA)]]&lt;0.5,"Public Funding","Industry")</f>
        <v>Public Funding</v>
      </c>
      <c r="CN32" s="44">
        <f>Tabelle4[[#This Row],[Industry Funding from DE (ITA)]]+Tabelle4[[#This Row],[Public Funding from DE (ITA)]]</f>
        <v>0</v>
      </c>
      <c r="CO32" s="46">
        <f>Tabelle4[[#This Row],[Industry Funding from BR (ITA)]]+Tabelle4[[#This Row],[Public Funding from BR (ITA)]]</f>
        <v>196540.88050314464</v>
      </c>
      <c r="CP32" s="44">
        <f>Tabelle4[[#This Row],[Total Project Volume (IPK)]]+Tabelle4[[#This Row],[Total Project Volume (ITA)]]</f>
        <v>196540.88050314464</v>
      </c>
      <c r="CQ32" s="44">
        <f>Tabelle4[[#This Row],[Total Industry Funding (IPK)]]+Tabelle4[[#This Row],[Total Industry Funding (ITA)]]</f>
        <v>78616.352201257861</v>
      </c>
      <c r="CR32" s="44">
        <f>Tabelle4[[#This Row],[Industry Funding from DE (IPK)]]+Tabelle4[[#This Row],[Industry Funding from DE (ITA)]]</f>
        <v>0</v>
      </c>
      <c r="CS32" s="44">
        <f>Tabelle4[[#This Row],[Industry Funding from BR (IPK)]]+Tabelle4[[#This Row],[Industry Funding from BR (ITA)]]</f>
        <v>78616.352201257861</v>
      </c>
      <c r="CT32" s="44">
        <f>Tabelle4[[#This Row],[Total Public Funding (IPK)]]+Tabelle4[[#This Row],[Total Public Funding (ITA)]]</f>
        <v>117924.52830188679</v>
      </c>
      <c r="CU32" s="44">
        <f>Tabelle4[[#This Row],[Public Funding from DE (IPK)]]+Tabelle4[[#This Row],[Public Funding from DE (ITA)]]</f>
        <v>0</v>
      </c>
      <c r="CV32" s="44">
        <f>Tabelle4[[#This Row],[Public Funding from BR (IPK)]]+Tabelle4[[#This Row],[Public Funding from BR (ITA)]]</f>
        <v>117924.52830188679</v>
      </c>
      <c r="CW32" s="44">
        <f>Tabelle4[[#This Row],[Industry Funding from DE (FPC)]]+Tabelle4[[#This Row],[Public Funding from DE (FPC)]]</f>
        <v>0</v>
      </c>
      <c r="CX32" s="46">
        <f>Tabelle4[[#This Row],[Industry Funding from BR (FPC)]]+Tabelle4[[#This Row],[Public Funding from BR (FPC)]]</f>
        <v>196540.88050314464</v>
      </c>
      <c r="CY32" s="44">
        <f>Tabelle4[[#This Row],[Total Financial Budget (Other)]]+Tabelle4[[#This Row],[Total In-kind Contribution (Other)]]</f>
        <v>0</v>
      </c>
      <c r="CZ3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32" s="44">
        <f>Tabelle4[[#This Row],[In-kind Contribution (R&amp;D III)]]+Tabelle4[[#This Row],[In-kind Contribution (R&amp;D IV)]]</f>
        <v>0</v>
      </c>
      <c r="DB32" s="158">
        <f>Tabelle4[[#This Row],[Total Budget (FPC)]]+Tabelle4[[#This Row],[Total Volume (Other)]]</f>
        <v>196540.88050314464</v>
      </c>
      <c r="DC32" s="104">
        <f>Tabelle4[[#This Row],[Total Revenues (IPK)]]</f>
        <v>0</v>
      </c>
      <c r="DE32" s="44">
        <f>Tabelle4[[#This Row],[Total Revenues IPK]]*Tabelle4[[#This Row],[Probability of Success]]</f>
        <v>0</v>
      </c>
      <c r="DL32" s="44">
        <f>Tabelle4[[#This Row],[Real Budget IPK]]*Tabelle4[[#This Row],[Acquisition Factor OE810]]</f>
        <v>0</v>
      </c>
      <c r="DN32" s="46">
        <f>Tabelle4[[#This Row],[Acquisition Bonus OE810]]+Tabelle4[[#This Row],[Project Execution OE810]]</f>
        <v>0</v>
      </c>
    </row>
    <row r="33" spans="1:118" x14ac:dyDescent="0.45">
      <c r="A33" s="42" t="s">
        <v>741</v>
      </c>
      <c r="B33" s="33" t="s">
        <v>742</v>
      </c>
      <c r="C33" s="33" t="s">
        <v>584</v>
      </c>
      <c r="D33" s="33" t="s">
        <v>705</v>
      </c>
      <c r="E33" s="33">
        <v>1</v>
      </c>
      <c r="F33" s="33">
        <v>0</v>
      </c>
      <c r="G33" s="33" t="s">
        <v>2</v>
      </c>
      <c r="H33" s="33" t="s">
        <v>0</v>
      </c>
      <c r="K33" s="33" t="s">
        <v>246</v>
      </c>
      <c r="L33" s="33" t="s">
        <v>309</v>
      </c>
      <c r="Z33" s="42" t="str">
        <f t="shared" si="6"/>
        <v>IPK</v>
      </c>
      <c r="AB33" s="104"/>
      <c r="AC33" s="104"/>
      <c r="AD33" s="104"/>
      <c r="AE33" s="104"/>
      <c r="AF33" s="104"/>
      <c r="AG33" s="42" t="str">
        <f t="shared" si="7"/>
        <v>ITA</v>
      </c>
      <c r="AH33" s="33" t="s">
        <v>423</v>
      </c>
      <c r="AI33" s="33" t="s">
        <v>728</v>
      </c>
      <c r="AO33" s="42"/>
      <c r="AQ33" s="104"/>
      <c r="AR33" s="104"/>
      <c r="AS33" s="104"/>
      <c r="AT33" s="104"/>
      <c r="AU33" s="104"/>
      <c r="AV33" s="42"/>
      <c r="AX33" s="104"/>
      <c r="AY33" s="104"/>
      <c r="AZ33" s="104"/>
      <c r="BA33" s="104"/>
      <c r="BB33" s="104"/>
      <c r="BC33" s="42"/>
      <c r="BE33" s="104"/>
      <c r="BF33" s="101"/>
      <c r="BI33" s="104"/>
      <c r="BJ33" s="101"/>
      <c r="BM33" s="104"/>
      <c r="BN33" s="101"/>
      <c r="BQ33" s="104"/>
      <c r="BR33" s="101"/>
      <c r="BU33" s="101"/>
      <c r="BX33" s="101"/>
      <c r="BY33" s="44">
        <f>Tabelle4[[#This Row],[Industry Funding from DE (IPK)]]+Tabelle4[[#This Row],[Industry Funding from BR (IPK)]]+Tabelle4[[#This Row],[Public Funding from DE (IPK)]]+Tabelle4[[#This Row],[Public Funding from BR (IPK)]]+Tabelle4[[#This Row],[In-kind Contribution (IPK)]]</f>
        <v>0</v>
      </c>
      <c r="BZ33" s="44">
        <f>Tabelle4[[#This Row],[Industry Funding from DE (IPK)]]+Tabelle4[[#This Row],[Industry Funding from BR (IPK)]]+Tabelle4[[#This Row],[Public Funding from DE (IPK)]]+Tabelle4[[#This Row],[Public Funding from BR (IPK)]]</f>
        <v>0</v>
      </c>
      <c r="CA33" s="44">
        <f>Tabelle4[[#This Row],[Industry Funding from DE (IPK)]]+Tabelle4[[#This Row],[Industry Funding from BR (IPK)]]</f>
        <v>0</v>
      </c>
      <c r="CB33" s="44">
        <f>Tabelle4[[#This Row],[Public Funding from DE (IPK)]]+Tabelle4[[#This Row],[Public Funding from BR (IPK)]]</f>
        <v>0</v>
      </c>
      <c r="CC33" s="44">
        <f>Tabelle4[[#This Row],[In-kind Contribution (IPK)]]</f>
        <v>0</v>
      </c>
      <c r="CD33" s="47" t="e">
        <f>(Tabelle4[[#This Row],[Total Industry Funding (IPK)]] + Tabelle4[[#This Row],[Total Public Funding (IPK)]])/Tabelle4[[#This Row],[Total Project Volume (IPK)]]</f>
        <v>#DIV/0!</v>
      </c>
      <c r="CE33" s="47" t="e">
        <f>Tabelle4[[#This Row],[Total Industry Funding (IPK)]] / Tabelle4[[#This Row],[Total Project Volume (IPK)]]</f>
        <v>#DIV/0!</v>
      </c>
      <c r="CF33" s="33" t="str">
        <f>Tabelle4[[#This Row],[Project Funding Classification]]</f>
        <v>Industry</v>
      </c>
      <c r="CG33" s="44">
        <f>Tabelle4[[#This Row],[Industry Funding from DE (IPK)]]+Tabelle4[[#This Row],[Public Funding from DE (IPK)]]</f>
        <v>0</v>
      </c>
      <c r="CH33" s="46">
        <f>Tabelle4[[#This Row],[Industry Funding from BR (IPK)]]+Tabelle4[[#This Row],[Public Funding from BR (IPK)]]</f>
        <v>0</v>
      </c>
      <c r="CI33" s="44">
        <f>Tabelle4[[#This Row],[Industry Funding from DE (ITA)]]+Tabelle4[[#This Row],[Industry Funding from BR (ITA)]]+Tabelle4[[#This Row],[Public Funding from DE (ITA)]]+Tabelle4[[#This Row],[Public Funding from BR (ITA)]]</f>
        <v>0</v>
      </c>
      <c r="CJ33" s="44">
        <f>Tabelle4[[#This Row],[Industry Funding from DE (ITA)]]+Tabelle4[[#This Row],[Industry Funding from BR (ITA)]]</f>
        <v>0</v>
      </c>
      <c r="CK33" s="44">
        <f>Tabelle4[[#This Row],[Public Funding from DE (ITA)]]+Tabelle4[[#This Row],[Public Funding from BR (ITA)]]</f>
        <v>0</v>
      </c>
      <c r="CL33" s="47" t="e">
        <f>Tabelle4[[#This Row],[Total Industry Funding (ITA)]]/Tabelle4[[#This Row],[Total Project Volume (ITA)]]</f>
        <v>#DIV/0!</v>
      </c>
      <c r="CM33" s="33" t="e">
        <f>IF(Tabelle4[[#This Row],[Funding Ratio (ITA)]]&lt;0.5,"Public Funding","Industry")</f>
        <v>#DIV/0!</v>
      </c>
      <c r="CN33" s="44">
        <f>Tabelle4[[#This Row],[Industry Funding from DE (ITA)]]+Tabelle4[[#This Row],[Public Funding from DE (ITA)]]</f>
        <v>0</v>
      </c>
      <c r="CO33" s="46">
        <f>Tabelle4[[#This Row],[Industry Funding from BR (ITA)]]+Tabelle4[[#This Row],[Public Funding from BR (ITA)]]</f>
        <v>0</v>
      </c>
      <c r="CP33" s="44">
        <f>Tabelle4[[#This Row],[Total Project Volume (IPK)]]+Tabelle4[[#This Row],[Total Project Volume (ITA)]]</f>
        <v>0</v>
      </c>
      <c r="CQ33" s="44">
        <f>Tabelle4[[#This Row],[Total Industry Funding (IPK)]]+Tabelle4[[#This Row],[Total Industry Funding (ITA)]]</f>
        <v>0</v>
      </c>
      <c r="CR33" s="44">
        <f>Tabelle4[[#This Row],[Industry Funding from DE (IPK)]]+Tabelle4[[#This Row],[Industry Funding from DE (ITA)]]</f>
        <v>0</v>
      </c>
      <c r="CS33" s="44">
        <f>Tabelle4[[#This Row],[Industry Funding from BR (IPK)]]+Tabelle4[[#This Row],[Industry Funding from BR (ITA)]]</f>
        <v>0</v>
      </c>
      <c r="CT33" s="44">
        <f>Tabelle4[[#This Row],[Total Public Funding (IPK)]]+Tabelle4[[#This Row],[Total Public Funding (ITA)]]</f>
        <v>0</v>
      </c>
      <c r="CU33" s="44">
        <f>Tabelle4[[#This Row],[Public Funding from DE (IPK)]]+Tabelle4[[#This Row],[Public Funding from DE (ITA)]]</f>
        <v>0</v>
      </c>
      <c r="CV33" s="44">
        <f>Tabelle4[[#This Row],[Public Funding from BR (IPK)]]+Tabelle4[[#This Row],[Public Funding from BR (ITA)]]</f>
        <v>0</v>
      </c>
      <c r="CW33" s="44">
        <f>Tabelle4[[#This Row],[Industry Funding from DE (FPC)]]+Tabelle4[[#This Row],[Public Funding from DE (FPC)]]</f>
        <v>0</v>
      </c>
      <c r="CX33" s="46">
        <f>Tabelle4[[#This Row],[Industry Funding from BR (FPC)]]+Tabelle4[[#This Row],[Public Funding from BR (FPC)]]</f>
        <v>0</v>
      </c>
      <c r="CY33" s="44">
        <f>Tabelle4[[#This Row],[Total Financial Budget (Other)]]+Tabelle4[[#This Row],[Total In-kind Contribution (Other)]]</f>
        <v>0</v>
      </c>
      <c r="CZ3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33" s="44">
        <f>Tabelle4[[#This Row],[In-kind Contribution (R&amp;D III)]]+Tabelle4[[#This Row],[In-kind Contribution (R&amp;D IV)]]</f>
        <v>0</v>
      </c>
      <c r="DB33" s="158">
        <f>Tabelle4[[#This Row],[Total Budget (FPC)]]+Tabelle4[[#This Row],[Total Volume (Other)]]</f>
        <v>0</v>
      </c>
      <c r="DC33" s="104">
        <f>Tabelle4[[#This Row],[Total Revenues (IPK)]]</f>
        <v>0</v>
      </c>
      <c r="DE33" s="44">
        <f>Tabelle4[[#This Row],[Total Revenues IPK]]*Tabelle4[[#This Row],[Probability of Success]]</f>
        <v>0</v>
      </c>
      <c r="DL33" s="44">
        <f>Tabelle4[[#This Row],[Real Budget IPK]]*Tabelle4[[#This Row],[Acquisition Factor OE810]]</f>
        <v>0</v>
      </c>
      <c r="DN33" s="46">
        <f>Tabelle4[[#This Row],[Acquisition Bonus OE810]]+Tabelle4[[#This Row],[Project Execution OE810]]</f>
        <v>0</v>
      </c>
    </row>
    <row r="34" spans="1:118" ht="41.65" x14ac:dyDescent="0.45">
      <c r="A34" s="42" t="s">
        <v>739</v>
      </c>
      <c r="B34" s="33" t="s">
        <v>740</v>
      </c>
      <c r="C34" s="33" t="s">
        <v>399</v>
      </c>
      <c r="D34" s="33" t="s">
        <v>705</v>
      </c>
      <c r="E34" s="33">
        <v>1</v>
      </c>
      <c r="F34" s="33">
        <v>0</v>
      </c>
      <c r="G34" s="33" t="s">
        <v>2</v>
      </c>
      <c r="H34" s="33" t="s">
        <v>0</v>
      </c>
      <c r="I34" s="33" t="s">
        <v>862</v>
      </c>
      <c r="J34" s="59">
        <v>44256</v>
      </c>
      <c r="K34" s="33" t="s">
        <v>243</v>
      </c>
      <c r="L34" s="33" t="s">
        <v>308</v>
      </c>
      <c r="S34" s="59">
        <v>44256</v>
      </c>
      <c r="U34" s="59">
        <v>44377</v>
      </c>
      <c r="V34" s="59">
        <v>44470</v>
      </c>
      <c r="Z34" s="42" t="str">
        <f t="shared" ref="Z34:Z39" si="8">"IPK"</f>
        <v>IPK</v>
      </c>
      <c r="AB34" s="104"/>
      <c r="AC34" s="104"/>
      <c r="AD34" s="104"/>
      <c r="AE34" s="104"/>
      <c r="AF34" s="104"/>
      <c r="AG34" s="42" t="str">
        <f t="shared" ref="AG34:AG39" si="9">"ITA"</f>
        <v>ITA</v>
      </c>
      <c r="AH34" s="33" t="s">
        <v>395</v>
      </c>
      <c r="AI34" s="33" t="s">
        <v>717</v>
      </c>
      <c r="AO34" s="42"/>
      <c r="AQ34" s="104"/>
      <c r="AR34" s="104"/>
      <c r="AS34" s="104"/>
      <c r="AT34" s="104"/>
      <c r="AU34" s="104"/>
      <c r="AV34" s="42"/>
      <c r="AX34" s="104"/>
      <c r="AY34" s="104"/>
      <c r="AZ34" s="104"/>
      <c r="BA34" s="104"/>
      <c r="BB34" s="104"/>
      <c r="BC34" s="42"/>
      <c r="BE34" s="104"/>
      <c r="BF34" s="101"/>
      <c r="BI34" s="104"/>
      <c r="BJ34" s="101"/>
      <c r="BM34" s="104"/>
      <c r="BN34" s="101"/>
      <c r="BQ34" s="104"/>
      <c r="BR34" s="101"/>
      <c r="BU34" s="101"/>
      <c r="BX34" s="101"/>
      <c r="BY34" s="44">
        <f>Tabelle4[[#This Row],[Industry Funding from DE (IPK)]]+Tabelle4[[#This Row],[Industry Funding from BR (IPK)]]+Tabelle4[[#This Row],[Public Funding from DE (IPK)]]+Tabelle4[[#This Row],[Public Funding from BR (IPK)]]+Tabelle4[[#This Row],[In-kind Contribution (IPK)]]</f>
        <v>0</v>
      </c>
      <c r="BZ34" s="44">
        <f>Tabelle4[[#This Row],[Industry Funding from DE (IPK)]]+Tabelle4[[#This Row],[Industry Funding from BR (IPK)]]+Tabelle4[[#This Row],[Public Funding from DE (IPK)]]+Tabelle4[[#This Row],[Public Funding from BR (IPK)]]</f>
        <v>0</v>
      </c>
      <c r="CA34" s="44">
        <f>Tabelle4[[#This Row],[Industry Funding from DE (IPK)]]+Tabelle4[[#This Row],[Industry Funding from BR (IPK)]]</f>
        <v>0</v>
      </c>
      <c r="CB34" s="44">
        <f>Tabelle4[[#This Row],[Public Funding from DE (IPK)]]+Tabelle4[[#This Row],[Public Funding from BR (IPK)]]</f>
        <v>0</v>
      </c>
      <c r="CC34" s="44">
        <f>Tabelle4[[#This Row],[In-kind Contribution (IPK)]]</f>
        <v>0</v>
      </c>
      <c r="CD34" s="47" t="e">
        <f>(Tabelle4[[#This Row],[Total Industry Funding (IPK)]] + Tabelle4[[#This Row],[Total Public Funding (IPK)]])/Tabelle4[[#This Row],[Total Project Volume (IPK)]]</f>
        <v>#DIV/0!</v>
      </c>
      <c r="CE34" s="47" t="e">
        <f>Tabelle4[[#This Row],[Total Industry Funding (IPK)]] / Tabelle4[[#This Row],[Total Project Volume (IPK)]]</f>
        <v>#DIV/0!</v>
      </c>
      <c r="CF34" s="33" t="str">
        <f>Tabelle4[[#This Row],[Project Funding Classification]]</f>
        <v>Industry</v>
      </c>
      <c r="CG34" s="44">
        <f>Tabelle4[[#This Row],[Industry Funding from DE (IPK)]]+Tabelle4[[#This Row],[Public Funding from DE (IPK)]]</f>
        <v>0</v>
      </c>
      <c r="CH34" s="46">
        <f>Tabelle4[[#This Row],[Industry Funding from BR (IPK)]]+Tabelle4[[#This Row],[Public Funding from BR (IPK)]]</f>
        <v>0</v>
      </c>
      <c r="CI34" s="44">
        <f>Tabelle4[[#This Row],[Industry Funding from DE (ITA)]]+Tabelle4[[#This Row],[Industry Funding from BR (ITA)]]+Tabelle4[[#This Row],[Public Funding from DE (ITA)]]+Tabelle4[[#This Row],[Public Funding from BR (ITA)]]</f>
        <v>0</v>
      </c>
      <c r="CJ34" s="44">
        <f>Tabelle4[[#This Row],[Industry Funding from DE (ITA)]]+Tabelle4[[#This Row],[Industry Funding from BR (ITA)]]</f>
        <v>0</v>
      </c>
      <c r="CK34" s="44">
        <f>Tabelle4[[#This Row],[Public Funding from DE (ITA)]]+Tabelle4[[#This Row],[Public Funding from BR (ITA)]]</f>
        <v>0</v>
      </c>
      <c r="CL34" s="47" t="e">
        <f>Tabelle4[[#This Row],[Total Industry Funding (ITA)]]/Tabelle4[[#This Row],[Total Project Volume (ITA)]]</f>
        <v>#DIV/0!</v>
      </c>
      <c r="CM34" s="33" t="e">
        <f>IF(Tabelle4[[#This Row],[Funding Ratio (ITA)]]&lt;0.5,"Public Funding","Industry")</f>
        <v>#DIV/0!</v>
      </c>
      <c r="CN34" s="44">
        <f>Tabelle4[[#This Row],[Industry Funding from DE (ITA)]]+Tabelle4[[#This Row],[Public Funding from DE (ITA)]]</f>
        <v>0</v>
      </c>
      <c r="CO34" s="46">
        <f>Tabelle4[[#This Row],[Industry Funding from BR (ITA)]]+Tabelle4[[#This Row],[Public Funding from BR (ITA)]]</f>
        <v>0</v>
      </c>
      <c r="CP34" s="44">
        <f>Tabelle4[[#This Row],[Total Project Volume (IPK)]]+Tabelle4[[#This Row],[Total Project Volume (ITA)]]</f>
        <v>0</v>
      </c>
      <c r="CQ34" s="44">
        <f>Tabelle4[[#This Row],[Total Industry Funding (IPK)]]+Tabelle4[[#This Row],[Total Industry Funding (ITA)]]</f>
        <v>0</v>
      </c>
      <c r="CR34" s="44">
        <f>Tabelle4[[#This Row],[Industry Funding from DE (IPK)]]+Tabelle4[[#This Row],[Industry Funding from DE (ITA)]]</f>
        <v>0</v>
      </c>
      <c r="CS34" s="44">
        <f>Tabelle4[[#This Row],[Industry Funding from BR (IPK)]]+Tabelle4[[#This Row],[Industry Funding from BR (ITA)]]</f>
        <v>0</v>
      </c>
      <c r="CT34" s="44">
        <f>Tabelle4[[#This Row],[Total Public Funding (IPK)]]+Tabelle4[[#This Row],[Total Public Funding (ITA)]]</f>
        <v>0</v>
      </c>
      <c r="CU34" s="44">
        <f>Tabelle4[[#This Row],[Public Funding from DE (IPK)]]+Tabelle4[[#This Row],[Public Funding from DE (ITA)]]</f>
        <v>0</v>
      </c>
      <c r="CV34" s="44">
        <f>Tabelle4[[#This Row],[Public Funding from BR (IPK)]]+Tabelle4[[#This Row],[Public Funding from BR (ITA)]]</f>
        <v>0</v>
      </c>
      <c r="CW34" s="44">
        <f>Tabelle4[[#This Row],[Industry Funding from DE (FPC)]]+Tabelle4[[#This Row],[Public Funding from DE (FPC)]]</f>
        <v>0</v>
      </c>
      <c r="CX34" s="46">
        <f>Tabelle4[[#This Row],[Industry Funding from BR (FPC)]]+Tabelle4[[#This Row],[Public Funding from BR (FPC)]]</f>
        <v>0</v>
      </c>
      <c r="CY34" s="44">
        <f>Tabelle4[[#This Row],[Total Financial Budget (Other)]]+Tabelle4[[#This Row],[Total In-kind Contribution (Other)]]</f>
        <v>0</v>
      </c>
      <c r="CZ3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34" s="44">
        <f>Tabelle4[[#This Row],[In-kind Contribution (R&amp;D III)]]+Tabelle4[[#This Row],[In-kind Contribution (R&amp;D IV)]]</f>
        <v>0</v>
      </c>
      <c r="DB34" s="158">
        <f>Tabelle4[[#This Row],[Total Budget (FPC)]]+Tabelle4[[#This Row],[Total Volume (Other)]]</f>
        <v>0</v>
      </c>
      <c r="DC34" s="104">
        <f>Tabelle4[[#This Row],[Total Revenues (IPK)]]</f>
        <v>0</v>
      </c>
      <c r="DE34" s="44">
        <f>Tabelle4[[#This Row],[Total Revenues IPK]]*Tabelle4[[#This Row],[Probability of Success]]</f>
        <v>0</v>
      </c>
      <c r="DL34" s="44">
        <f>Tabelle4[[#This Row],[Real Budget IPK]]*Tabelle4[[#This Row],[Acquisition Factor OE810]]</f>
        <v>0</v>
      </c>
      <c r="DN34" s="46">
        <f>Tabelle4[[#This Row],[Acquisition Bonus OE810]]+Tabelle4[[#This Row],[Project Execution OE810]]</f>
        <v>0</v>
      </c>
    </row>
    <row r="35" spans="1:118" ht="27.75" x14ac:dyDescent="0.45">
      <c r="A35" s="42" t="s">
        <v>736</v>
      </c>
      <c r="B35" s="33" t="s">
        <v>738</v>
      </c>
      <c r="C35" s="33" t="s">
        <v>737</v>
      </c>
      <c r="D35" s="33" t="s">
        <v>711</v>
      </c>
      <c r="E35" s="33">
        <v>1</v>
      </c>
      <c r="F35" s="33">
        <v>0</v>
      </c>
      <c r="G35" s="33" t="s">
        <v>2</v>
      </c>
      <c r="J35" s="59">
        <v>44270</v>
      </c>
      <c r="K35" s="33" t="s">
        <v>246</v>
      </c>
      <c r="L35" s="33" t="s">
        <v>309</v>
      </c>
      <c r="Z35" s="42" t="str">
        <f t="shared" si="8"/>
        <v>IPK</v>
      </c>
      <c r="AB35" s="104"/>
      <c r="AC35" s="104"/>
      <c r="AD35" s="104"/>
      <c r="AE35" s="104"/>
      <c r="AF35" s="104"/>
      <c r="AG35" s="42" t="str">
        <f t="shared" si="9"/>
        <v>ITA</v>
      </c>
      <c r="AH35" s="33" t="s">
        <v>735</v>
      </c>
      <c r="AI35" s="33" t="s">
        <v>717</v>
      </c>
      <c r="AO35" s="42"/>
      <c r="AQ35" s="104"/>
      <c r="AR35" s="104"/>
      <c r="AS35" s="104"/>
      <c r="AT35" s="104"/>
      <c r="AU35" s="104"/>
      <c r="AV35" s="42"/>
      <c r="AX35" s="104"/>
      <c r="AY35" s="104"/>
      <c r="AZ35" s="104"/>
      <c r="BA35" s="104"/>
      <c r="BB35" s="104"/>
      <c r="BC35" s="42"/>
      <c r="BE35" s="104"/>
      <c r="BF35" s="101"/>
      <c r="BI35" s="104"/>
      <c r="BJ35" s="101"/>
      <c r="BM35" s="104"/>
      <c r="BN35" s="101"/>
      <c r="BQ35" s="104"/>
      <c r="BR35" s="101"/>
      <c r="BU35" s="101"/>
      <c r="BX35" s="101"/>
      <c r="BY35" s="44">
        <f>Tabelle4[[#This Row],[Industry Funding from DE (IPK)]]+Tabelle4[[#This Row],[Industry Funding from BR (IPK)]]+Tabelle4[[#This Row],[Public Funding from DE (IPK)]]+Tabelle4[[#This Row],[Public Funding from BR (IPK)]]+Tabelle4[[#This Row],[In-kind Contribution (IPK)]]</f>
        <v>0</v>
      </c>
      <c r="BZ35" s="44">
        <f>Tabelle4[[#This Row],[Industry Funding from DE (IPK)]]+Tabelle4[[#This Row],[Industry Funding from BR (IPK)]]+Tabelle4[[#This Row],[Public Funding from DE (IPK)]]+Tabelle4[[#This Row],[Public Funding from BR (IPK)]]</f>
        <v>0</v>
      </c>
      <c r="CA35" s="44">
        <f>Tabelle4[[#This Row],[Industry Funding from DE (IPK)]]+Tabelle4[[#This Row],[Industry Funding from BR (IPK)]]</f>
        <v>0</v>
      </c>
      <c r="CB35" s="44">
        <f>Tabelle4[[#This Row],[Public Funding from DE (IPK)]]+Tabelle4[[#This Row],[Public Funding from BR (IPK)]]</f>
        <v>0</v>
      </c>
      <c r="CC35" s="44">
        <f>Tabelle4[[#This Row],[In-kind Contribution (IPK)]]</f>
        <v>0</v>
      </c>
      <c r="CD35" s="47" t="e">
        <f>(Tabelle4[[#This Row],[Total Industry Funding (IPK)]] + Tabelle4[[#This Row],[Total Public Funding (IPK)]])/Tabelle4[[#This Row],[Total Project Volume (IPK)]]</f>
        <v>#DIV/0!</v>
      </c>
      <c r="CE35" s="47" t="e">
        <f>Tabelle4[[#This Row],[Total Industry Funding (IPK)]] / Tabelle4[[#This Row],[Total Project Volume (IPK)]]</f>
        <v>#DIV/0!</v>
      </c>
      <c r="CF35" s="33">
        <f>Tabelle4[[#This Row],[Project Funding Classification]]</f>
        <v>0</v>
      </c>
      <c r="CG35" s="44">
        <f>Tabelle4[[#This Row],[Industry Funding from DE (IPK)]]+Tabelle4[[#This Row],[Public Funding from DE (IPK)]]</f>
        <v>0</v>
      </c>
      <c r="CH35" s="46">
        <f>Tabelle4[[#This Row],[Industry Funding from BR (IPK)]]+Tabelle4[[#This Row],[Public Funding from BR (IPK)]]</f>
        <v>0</v>
      </c>
      <c r="CI35" s="44">
        <f>Tabelle4[[#This Row],[Industry Funding from DE (ITA)]]+Tabelle4[[#This Row],[Industry Funding from BR (ITA)]]+Tabelle4[[#This Row],[Public Funding from DE (ITA)]]+Tabelle4[[#This Row],[Public Funding from BR (ITA)]]</f>
        <v>0</v>
      </c>
      <c r="CJ35" s="44">
        <f>Tabelle4[[#This Row],[Industry Funding from DE (ITA)]]+Tabelle4[[#This Row],[Industry Funding from BR (ITA)]]</f>
        <v>0</v>
      </c>
      <c r="CK35" s="44">
        <f>Tabelle4[[#This Row],[Public Funding from DE (ITA)]]+Tabelle4[[#This Row],[Public Funding from BR (ITA)]]</f>
        <v>0</v>
      </c>
      <c r="CL35" s="47" t="e">
        <f>Tabelle4[[#This Row],[Total Industry Funding (ITA)]]/Tabelle4[[#This Row],[Total Project Volume (ITA)]]</f>
        <v>#DIV/0!</v>
      </c>
      <c r="CM35" s="33" t="e">
        <f>IF(Tabelle4[[#This Row],[Funding Ratio (ITA)]]&lt;0.5,"Public Funding","Industry")</f>
        <v>#DIV/0!</v>
      </c>
      <c r="CN35" s="44">
        <f>Tabelle4[[#This Row],[Industry Funding from DE (ITA)]]+Tabelle4[[#This Row],[Public Funding from DE (ITA)]]</f>
        <v>0</v>
      </c>
      <c r="CO35" s="46">
        <f>Tabelle4[[#This Row],[Industry Funding from BR (ITA)]]+Tabelle4[[#This Row],[Public Funding from BR (ITA)]]</f>
        <v>0</v>
      </c>
      <c r="CP35" s="44">
        <f>Tabelle4[[#This Row],[Total Project Volume (IPK)]]+Tabelle4[[#This Row],[Total Project Volume (ITA)]]</f>
        <v>0</v>
      </c>
      <c r="CQ35" s="44">
        <f>Tabelle4[[#This Row],[Total Industry Funding (IPK)]]+Tabelle4[[#This Row],[Total Industry Funding (ITA)]]</f>
        <v>0</v>
      </c>
      <c r="CR35" s="44">
        <f>Tabelle4[[#This Row],[Industry Funding from DE (IPK)]]+Tabelle4[[#This Row],[Industry Funding from DE (ITA)]]</f>
        <v>0</v>
      </c>
      <c r="CS35" s="44">
        <f>Tabelle4[[#This Row],[Industry Funding from BR (IPK)]]+Tabelle4[[#This Row],[Industry Funding from BR (ITA)]]</f>
        <v>0</v>
      </c>
      <c r="CT35" s="44">
        <f>Tabelle4[[#This Row],[Total Public Funding (IPK)]]+Tabelle4[[#This Row],[Total Public Funding (ITA)]]</f>
        <v>0</v>
      </c>
      <c r="CU35" s="44">
        <f>Tabelle4[[#This Row],[Public Funding from DE (IPK)]]+Tabelle4[[#This Row],[Public Funding from DE (ITA)]]</f>
        <v>0</v>
      </c>
      <c r="CV35" s="44">
        <f>Tabelle4[[#This Row],[Public Funding from BR (IPK)]]+Tabelle4[[#This Row],[Public Funding from BR (ITA)]]</f>
        <v>0</v>
      </c>
      <c r="CW35" s="44">
        <f>Tabelle4[[#This Row],[Industry Funding from DE (FPC)]]+Tabelle4[[#This Row],[Public Funding from DE (FPC)]]</f>
        <v>0</v>
      </c>
      <c r="CX35" s="46">
        <f>Tabelle4[[#This Row],[Industry Funding from BR (FPC)]]+Tabelle4[[#This Row],[Public Funding from BR (FPC)]]</f>
        <v>0</v>
      </c>
      <c r="CY35" s="44">
        <f>Tabelle4[[#This Row],[Total Financial Budget (Other)]]+Tabelle4[[#This Row],[Total In-kind Contribution (Other)]]</f>
        <v>0</v>
      </c>
      <c r="CZ3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35" s="44">
        <f>Tabelle4[[#This Row],[In-kind Contribution (R&amp;D III)]]+Tabelle4[[#This Row],[In-kind Contribution (R&amp;D IV)]]</f>
        <v>0</v>
      </c>
      <c r="DB35" s="158">
        <f>Tabelle4[[#This Row],[Total Budget (FPC)]]+Tabelle4[[#This Row],[Total Volume (Other)]]</f>
        <v>0</v>
      </c>
      <c r="DC35" s="104">
        <f>Tabelle4[[#This Row],[Total Revenues (IPK)]]</f>
        <v>0</v>
      </c>
      <c r="DE35" s="44">
        <f>Tabelle4[[#This Row],[Total Revenues IPK]]*Tabelle4[[#This Row],[Probability of Success]]</f>
        <v>0</v>
      </c>
      <c r="DL35" s="44">
        <f>Tabelle4[[#This Row],[Real Budget IPK]]*Tabelle4[[#This Row],[Acquisition Factor OE810]]</f>
        <v>0</v>
      </c>
      <c r="DN35" s="46">
        <f>Tabelle4[[#This Row],[Acquisition Bonus OE810]]+Tabelle4[[#This Row],[Project Execution OE810]]</f>
        <v>0</v>
      </c>
    </row>
    <row r="36" spans="1:118" x14ac:dyDescent="0.45">
      <c r="A36" s="42" t="s">
        <v>734</v>
      </c>
      <c r="B36" s="33" t="s">
        <v>746</v>
      </c>
      <c r="C36" s="33" t="s">
        <v>734</v>
      </c>
      <c r="D36" s="33" t="s">
        <v>711</v>
      </c>
      <c r="E36" s="33">
        <v>1</v>
      </c>
      <c r="F36" s="33">
        <v>0</v>
      </c>
      <c r="G36" s="33" t="s">
        <v>2</v>
      </c>
      <c r="H36" s="33" t="s">
        <v>0</v>
      </c>
      <c r="J36" s="59">
        <v>44335</v>
      </c>
      <c r="K36" s="33" t="s">
        <v>630</v>
      </c>
      <c r="L36" s="33" t="s">
        <v>309</v>
      </c>
      <c r="T36" s="59">
        <v>44532</v>
      </c>
      <c r="U36" s="59">
        <v>44364</v>
      </c>
      <c r="Z36" s="42" t="str">
        <f t="shared" si="8"/>
        <v>IPK</v>
      </c>
      <c r="AB36" s="104"/>
      <c r="AC36" s="104"/>
      <c r="AD36" s="104"/>
      <c r="AE36" s="104"/>
      <c r="AF36" s="104"/>
      <c r="AG36" s="42" t="str">
        <f t="shared" si="9"/>
        <v>ITA</v>
      </c>
      <c r="AH36" s="33" t="s">
        <v>437</v>
      </c>
      <c r="AI36" s="33" t="s">
        <v>438</v>
      </c>
      <c r="AO36" s="42"/>
      <c r="AQ36" s="104"/>
      <c r="AR36" s="104"/>
      <c r="AS36" s="104"/>
      <c r="AT36" s="104"/>
      <c r="AU36" s="104"/>
      <c r="AV36" s="42"/>
      <c r="AX36" s="104"/>
      <c r="AY36" s="104"/>
      <c r="AZ36" s="104"/>
      <c r="BA36" s="104"/>
      <c r="BB36" s="104"/>
      <c r="BC36" s="42"/>
      <c r="BE36" s="104"/>
      <c r="BF36" s="101"/>
      <c r="BI36" s="104"/>
      <c r="BJ36" s="101"/>
      <c r="BM36" s="104"/>
      <c r="BN36" s="101"/>
      <c r="BQ36" s="104"/>
      <c r="BR36" s="101"/>
      <c r="BU36" s="101"/>
      <c r="BX36" s="101"/>
      <c r="BY36" s="44">
        <f>Tabelle4[[#This Row],[Industry Funding from DE (IPK)]]+Tabelle4[[#This Row],[Industry Funding from BR (IPK)]]+Tabelle4[[#This Row],[Public Funding from DE (IPK)]]+Tabelle4[[#This Row],[Public Funding from BR (IPK)]]+Tabelle4[[#This Row],[In-kind Contribution (IPK)]]</f>
        <v>0</v>
      </c>
      <c r="BZ36" s="44">
        <f>Tabelle4[[#This Row],[Industry Funding from DE (IPK)]]+Tabelle4[[#This Row],[Industry Funding from BR (IPK)]]+Tabelle4[[#This Row],[Public Funding from DE (IPK)]]+Tabelle4[[#This Row],[Public Funding from BR (IPK)]]</f>
        <v>0</v>
      </c>
      <c r="CA36" s="44">
        <f>Tabelle4[[#This Row],[Industry Funding from DE (IPK)]]+Tabelle4[[#This Row],[Industry Funding from BR (IPK)]]</f>
        <v>0</v>
      </c>
      <c r="CB36" s="44">
        <f>Tabelle4[[#This Row],[Public Funding from DE (IPK)]]+Tabelle4[[#This Row],[Public Funding from BR (IPK)]]</f>
        <v>0</v>
      </c>
      <c r="CC36" s="44">
        <f>Tabelle4[[#This Row],[In-kind Contribution (IPK)]]</f>
        <v>0</v>
      </c>
      <c r="CD36" s="47" t="e">
        <f>(Tabelle4[[#This Row],[Total Industry Funding (IPK)]] + Tabelle4[[#This Row],[Total Public Funding (IPK)]])/Tabelle4[[#This Row],[Total Project Volume (IPK)]]</f>
        <v>#DIV/0!</v>
      </c>
      <c r="CE36" s="47" t="e">
        <f>Tabelle4[[#This Row],[Total Industry Funding (IPK)]] / Tabelle4[[#This Row],[Total Project Volume (IPK)]]</f>
        <v>#DIV/0!</v>
      </c>
      <c r="CF36" s="33" t="str">
        <f>Tabelle4[[#This Row],[Project Funding Classification]]</f>
        <v>Industry</v>
      </c>
      <c r="CG36" s="44">
        <f>Tabelle4[[#This Row],[Industry Funding from DE (IPK)]]+Tabelle4[[#This Row],[Public Funding from DE (IPK)]]</f>
        <v>0</v>
      </c>
      <c r="CH36" s="46">
        <f>Tabelle4[[#This Row],[Industry Funding from BR (IPK)]]+Tabelle4[[#This Row],[Public Funding from BR (IPK)]]</f>
        <v>0</v>
      </c>
      <c r="CI36" s="44">
        <f>Tabelle4[[#This Row],[Industry Funding from DE (ITA)]]+Tabelle4[[#This Row],[Industry Funding from BR (ITA)]]+Tabelle4[[#This Row],[Public Funding from DE (ITA)]]+Tabelle4[[#This Row],[Public Funding from BR (ITA)]]</f>
        <v>0</v>
      </c>
      <c r="CJ36" s="44">
        <f>Tabelle4[[#This Row],[Industry Funding from DE (ITA)]]+Tabelle4[[#This Row],[Industry Funding from BR (ITA)]]</f>
        <v>0</v>
      </c>
      <c r="CK36" s="44">
        <f>Tabelle4[[#This Row],[Public Funding from DE (ITA)]]+Tabelle4[[#This Row],[Public Funding from BR (ITA)]]</f>
        <v>0</v>
      </c>
      <c r="CL36" s="47" t="e">
        <f>Tabelle4[[#This Row],[Total Industry Funding (ITA)]]/Tabelle4[[#This Row],[Total Project Volume (ITA)]]</f>
        <v>#DIV/0!</v>
      </c>
      <c r="CM36" s="33" t="e">
        <f>IF(Tabelle4[[#This Row],[Funding Ratio (ITA)]]&lt;0.5,"Public Funding","Industry")</f>
        <v>#DIV/0!</v>
      </c>
      <c r="CN36" s="44">
        <f>Tabelle4[[#This Row],[Industry Funding from DE (ITA)]]+Tabelle4[[#This Row],[Public Funding from DE (ITA)]]</f>
        <v>0</v>
      </c>
      <c r="CO36" s="46">
        <f>Tabelle4[[#This Row],[Industry Funding from BR (ITA)]]+Tabelle4[[#This Row],[Public Funding from BR (ITA)]]</f>
        <v>0</v>
      </c>
      <c r="CP36" s="44">
        <f>Tabelle4[[#This Row],[Total Project Volume (IPK)]]+Tabelle4[[#This Row],[Total Project Volume (ITA)]]</f>
        <v>0</v>
      </c>
      <c r="CQ36" s="44">
        <f>Tabelle4[[#This Row],[Total Industry Funding (IPK)]]+Tabelle4[[#This Row],[Total Industry Funding (ITA)]]</f>
        <v>0</v>
      </c>
      <c r="CR36" s="44">
        <f>Tabelle4[[#This Row],[Industry Funding from DE (IPK)]]+Tabelle4[[#This Row],[Industry Funding from DE (ITA)]]</f>
        <v>0</v>
      </c>
      <c r="CS36" s="44">
        <f>Tabelle4[[#This Row],[Industry Funding from BR (IPK)]]+Tabelle4[[#This Row],[Industry Funding from BR (ITA)]]</f>
        <v>0</v>
      </c>
      <c r="CT36" s="44">
        <f>Tabelle4[[#This Row],[Total Public Funding (IPK)]]+Tabelle4[[#This Row],[Total Public Funding (ITA)]]</f>
        <v>0</v>
      </c>
      <c r="CU36" s="44">
        <f>Tabelle4[[#This Row],[Public Funding from DE (IPK)]]+Tabelle4[[#This Row],[Public Funding from DE (ITA)]]</f>
        <v>0</v>
      </c>
      <c r="CV36" s="44">
        <f>Tabelle4[[#This Row],[Public Funding from BR (IPK)]]+Tabelle4[[#This Row],[Public Funding from BR (ITA)]]</f>
        <v>0</v>
      </c>
      <c r="CW36" s="44">
        <f>Tabelle4[[#This Row],[Industry Funding from DE (FPC)]]+Tabelle4[[#This Row],[Public Funding from DE (FPC)]]</f>
        <v>0</v>
      </c>
      <c r="CX36" s="46">
        <f>Tabelle4[[#This Row],[Industry Funding from BR (FPC)]]+Tabelle4[[#This Row],[Public Funding from BR (FPC)]]</f>
        <v>0</v>
      </c>
      <c r="CY36" s="44">
        <f>Tabelle4[[#This Row],[Total Financial Budget (Other)]]+Tabelle4[[#This Row],[Total In-kind Contribution (Other)]]</f>
        <v>0</v>
      </c>
      <c r="CZ3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36" s="44">
        <f>Tabelle4[[#This Row],[In-kind Contribution (R&amp;D III)]]+Tabelle4[[#This Row],[In-kind Contribution (R&amp;D IV)]]</f>
        <v>0</v>
      </c>
      <c r="DB36" s="158">
        <f>Tabelle4[[#This Row],[Total Budget (FPC)]]+Tabelle4[[#This Row],[Total Volume (Other)]]</f>
        <v>0</v>
      </c>
      <c r="DC36" s="104">
        <f>Tabelle4[[#This Row],[Total Revenues (IPK)]]</f>
        <v>0</v>
      </c>
      <c r="DE36" s="44">
        <f>Tabelle4[[#This Row],[Total Revenues IPK]]*Tabelle4[[#This Row],[Probability of Success]]</f>
        <v>0</v>
      </c>
      <c r="DL36" s="44">
        <f>Tabelle4[[#This Row],[Real Budget IPK]]*Tabelle4[[#This Row],[Acquisition Factor OE810]]</f>
        <v>0</v>
      </c>
      <c r="DN36" s="46">
        <f>Tabelle4[[#This Row],[Acquisition Bonus OE810]]+Tabelle4[[#This Row],[Project Execution OE810]]</f>
        <v>0</v>
      </c>
    </row>
    <row r="37" spans="1:118" ht="41.65" x14ac:dyDescent="0.45">
      <c r="A37" s="42" t="s">
        <v>755</v>
      </c>
      <c r="B37" s="33" t="s">
        <v>837</v>
      </c>
      <c r="C37" s="33" t="s">
        <v>758</v>
      </c>
      <c r="D37" s="33" t="s">
        <v>706</v>
      </c>
      <c r="E37" s="33">
        <v>3</v>
      </c>
      <c r="F37" s="33">
        <v>0</v>
      </c>
      <c r="G37" s="33" t="s">
        <v>2</v>
      </c>
      <c r="H37" s="33" t="s">
        <v>0</v>
      </c>
      <c r="J37" s="59">
        <v>44313</v>
      </c>
      <c r="K37" s="33" t="s">
        <v>242</v>
      </c>
      <c r="L37" s="33" t="s">
        <v>306</v>
      </c>
      <c r="N37" s="33" t="s">
        <v>667</v>
      </c>
      <c r="U37" s="59">
        <v>44434</v>
      </c>
      <c r="Z37" s="42" t="str">
        <f t="shared" si="8"/>
        <v>IPK</v>
      </c>
      <c r="AB37" s="104"/>
      <c r="AC37" s="104"/>
      <c r="AD37" s="104"/>
      <c r="AE37" s="104"/>
      <c r="AF37" s="104"/>
      <c r="AG37" s="42" t="str">
        <f t="shared" si="9"/>
        <v>ITA</v>
      </c>
      <c r="AH37" s="33" t="s">
        <v>743</v>
      </c>
      <c r="AI37" s="33" t="s">
        <v>438</v>
      </c>
      <c r="AO37" s="42"/>
      <c r="AQ37" s="104"/>
      <c r="AR37" s="104"/>
      <c r="AS37" s="104"/>
      <c r="AT37" s="104"/>
      <c r="AU37" s="104"/>
      <c r="AV37" s="42"/>
      <c r="AX37" s="104"/>
      <c r="AY37" s="104"/>
      <c r="AZ37" s="104"/>
      <c r="BA37" s="104"/>
      <c r="BB37" s="104"/>
      <c r="BC37" s="42"/>
      <c r="BE37" s="104"/>
      <c r="BF37" s="101"/>
      <c r="BI37" s="104"/>
      <c r="BJ37" s="101"/>
      <c r="BM37" s="104"/>
      <c r="BN37" s="101"/>
      <c r="BQ37" s="104"/>
      <c r="BR37" s="101"/>
      <c r="BU37" s="101"/>
      <c r="BX37" s="101"/>
      <c r="BY37" s="44">
        <f>Tabelle4[[#This Row],[Industry Funding from DE (IPK)]]+Tabelle4[[#This Row],[Industry Funding from BR (IPK)]]+Tabelle4[[#This Row],[Public Funding from DE (IPK)]]+Tabelle4[[#This Row],[Public Funding from BR (IPK)]]+Tabelle4[[#This Row],[In-kind Contribution (IPK)]]</f>
        <v>0</v>
      </c>
      <c r="BZ37" s="44">
        <f>Tabelle4[[#This Row],[Industry Funding from DE (IPK)]]+Tabelle4[[#This Row],[Industry Funding from BR (IPK)]]+Tabelle4[[#This Row],[Public Funding from DE (IPK)]]+Tabelle4[[#This Row],[Public Funding from BR (IPK)]]</f>
        <v>0</v>
      </c>
      <c r="CA37" s="44">
        <f>Tabelle4[[#This Row],[Industry Funding from DE (IPK)]]+Tabelle4[[#This Row],[Industry Funding from BR (IPK)]]</f>
        <v>0</v>
      </c>
      <c r="CB37" s="44">
        <f>Tabelle4[[#This Row],[Public Funding from DE (IPK)]]+Tabelle4[[#This Row],[Public Funding from BR (IPK)]]</f>
        <v>0</v>
      </c>
      <c r="CC37" s="44">
        <f>Tabelle4[[#This Row],[In-kind Contribution (IPK)]]</f>
        <v>0</v>
      </c>
      <c r="CD37" s="47" t="e">
        <f>(Tabelle4[[#This Row],[Total Industry Funding (IPK)]] + Tabelle4[[#This Row],[Total Public Funding (IPK)]])/Tabelle4[[#This Row],[Total Project Volume (IPK)]]</f>
        <v>#DIV/0!</v>
      </c>
      <c r="CE37" s="47" t="e">
        <f>Tabelle4[[#This Row],[Total Industry Funding (IPK)]] / Tabelle4[[#This Row],[Total Project Volume (IPK)]]</f>
        <v>#DIV/0!</v>
      </c>
      <c r="CF37" s="33" t="str">
        <f>Tabelle4[[#This Row],[Project Funding Classification]]</f>
        <v>Industry</v>
      </c>
      <c r="CG37" s="44">
        <f>Tabelle4[[#This Row],[Industry Funding from DE (IPK)]]+Tabelle4[[#This Row],[Public Funding from DE (IPK)]]</f>
        <v>0</v>
      </c>
      <c r="CH37" s="46">
        <f>Tabelle4[[#This Row],[Industry Funding from BR (IPK)]]+Tabelle4[[#This Row],[Public Funding from BR (IPK)]]</f>
        <v>0</v>
      </c>
      <c r="CI37" s="44">
        <f>Tabelle4[[#This Row],[Industry Funding from DE (ITA)]]+Tabelle4[[#This Row],[Industry Funding from BR (ITA)]]+Tabelle4[[#This Row],[Public Funding from DE (ITA)]]+Tabelle4[[#This Row],[Public Funding from BR (ITA)]]</f>
        <v>0</v>
      </c>
      <c r="CJ37" s="44">
        <f>Tabelle4[[#This Row],[Industry Funding from DE (ITA)]]+Tabelle4[[#This Row],[Industry Funding from BR (ITA)]]</f>
        <v>0</v>
      </c>
      <c r="CK37" s="44">
        <f>Tabelle4[[#This Row],[Public Funding from DE (ITA)]]+Tabelle4[[#This Row],[Public Funding from BR (ITA)]]</f>
        <v>0</v>
      </c>
      <c r="CL37" s="47" t="e">
        <f>Tabelle4[[#This Row],[Total Industry Funding (ITA)]]/Tabelle4[[#This Row],[Total Project Volume (ITA)]]</f>
        <v>#DIV/0!</v>
      </c>
      <c r="CM37" s="33" t="e">
        <f>IF(Tabelle4[[#This Row],[Funding Ratio (ITA)]]&lt;0.5,"Public Funding","Industry")</f>
        <v>#DIV/0!</v>
      </c>
      <c r="CN37" s="44">
        <f>Tabelle4[[#This Row],[Industry Funding from DE (ITA)]]+Tabelle4[[#This Row],[Public Funding from DE (ITA)]]</f>
        <v>0</v>
      </c>
      <c r="CO37" s="46">
        <f>Tabelle4[[#This Row],[Industry Funding from BR (ITA)]]+Tabelle4[[#This Row],[Public Funding from BR (ITA)]]</f>
        <v>0</v>
      </c>
      <c r="CP37" s="44">
        <f>Tabelle4[[#This Row],[Total Project Volume (IPK)]]+Tabelle4[[#This Row],[Total Project Volume (ITA)]]</f>
        <v>0</v>
      </c>
      <c r="CQ37" s="44">
        <f>Tabelle4[[#This Row],[Total Industry Funding (IPK)]]+Tabelle4[[#This Row],[Total Industry Funding (ITA)]]</f>
        <v>0</v>
      </c>
      <c r="CR37" s="44">
        <f>Tabelle4[[#This Row],[Industry Funding from DE (IPK)]]+Tabelle4[[#This Row],[Industry Funding from DE (ITA)]]</f>
        <v>0</v>
      </c>
      <c r="CS37" s="44">
        <f>Tabelle4[[#This Row],[Industry Funding from BR (IPK)]]+Tabelle4[[#This Row],[Industry Funding from BR (ITA)]]</f>
        <v>0</v>
      </c>
      <c r="CT37" s="44">
        <f>Tabelle4[[#This Row],[Total Public Funding (IPK)]]+Tabelle4[[#This Row],[Total Public Funding (ITA)]]</f>
        <v>0</v>
      </c>
      <c r="CU37" s="44">
        <f>Tabelle4[[#This Row],[Public Funding from DE (IPK)]]+Tabelle4[[#This Row],[Public Funding from DE (ITA)]]</f>
        <v>0</v>
      </c>
      <c r="CV37" s="44">
        <f>Tabelle4[[#This Row],[Public Funding from BR (IPK)]]+Tabelle4[[#This Row],[Public Funding from BR (ITA)]]</f>
        <v>0</v>
      </c>
      <c r="CW37" s="44">
        <f>Tabelle4[[#This Row],[Industry Funding from DE (FPC)]]+Tabelle4[[#This Row],[Public Funding from DE (FPC)]]</f>
        <v>0</v>
      </c>
      <c r="CX37" s="46">
        <f>Tabelle4[[#This Row],[Industry Funding from BR (FPC)]]+Tabelle4[[#This Row],[Public Funding from BR (FPC)]]</f>
        <v>0</v>
      </c>
      <c r="CY37" s="44">
        <f>Tabelle4[[#This Row],[Total Financial Budget (Other)]]+Tabelle4[[#This Row],[Total In-kind Contribution (Other)]]</f>
        <v>0</v>
      </c>
      <c r="CZ3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37" s="44">
        <f>Tabelle4[[#This Row],[In-kind Contribution (R&amp;D III)]]+Tabelle4[[#This Row],[In-kind Contribution (R&amp;D IV)]]</f>
        <v>0</v>
      </c>
      <c r="DB37" s="158">
        <f>Tabelle4[[#This Row],[Total Budget (FPC)]]+Tabelle4[[#This Row],[Total Volume (Other)]]</f>
        <v>0</v>
      </c>
      <c r="DC37" s="104">
        <f>Tabelle4[[#This Row],[Total Revenues (IPK)]]</f>
        <v>0</v>
      </c>
      <c r="DE37" s="44">
        <f>Tabelle4[[#This Row],[Total Revenues IPK]]*Tabelle4[[#This Row],[Probability of Success]]</f>
        <v>0</v>
      </c>
      <c r="DL37" s="44">
        <f>Tabelle4[[#This Row],[Real Budget IPK]]*Tabelle4[[#This Row],[Acquisition Factor OE810]]</f>
        <v>0</v>
      </c>
      <c r="DN37" s="46">
        <f>Tabelle4[[#This Row],[Acquisition Bonus OE810]]+Tabelle4[[#This Row],[Project Execution OE810]]</f>
        <v>0</v>
      </c>
    </row>
    <row r="38" spans="1:118" x14ac:dyDescent="0.45">
      <c r="A38" s="42" t="s">
        <v>733</v>
      </c>
      <c r="B38" s="33" t="s">
        <v>747</v>
      </c>
      <c r="C38" s="33" t="s">
        <v>169</v>
      </c>
      <c r="D38" s="33" t="s">
        <v>706</v>
      </c>
      <c r="E38" s="33">
        <v>1</v>
      </c>
      <c r="F38" s="33">
        <v>0</v>
      </c>
      <c r="G38" s="33" t="s">
        <v>2</v>
      </c>
      <c r="H38" s="33" t="s">
        <v>0</v>
      </c>
      <c r="J38" s="59">
        <v>44313</v>
      </c>
      <c r="K38" s="33" t="s">
        <v>246</v>
      </c>
      <c r="L38" s="33" t="s">
        <v>309</v>
      </c>
      <c r="N38" s="33" t="s">
        <v>667</v>
      </c>
      <c r="Y38" s="59">
        <v>44418</v>
      </c>
      <c r="Z38" s="42" t="str">
        <f t="shared" si="8"/>
        <v>IPK</v>
      </c>
      <c r="AB38" s="104"/>
      <c r="AC38" s="104"/>
      <c r="AD38" s="104"/>
      <c r="AE38" s="104"/>
      <c r="AF38" s="104"/>
      <c r="AG38" s="42" t="str">
        <f t="shared" si="9"/>
        <v>ITA</v>
      </c>
      <c r="AH38" s="33" t="s">
        <v>130</v>
      </c>
      <c r="AI38" s="33" t="s">
        <v>438</v>
      </c>
      <c r="AO38" s="42"/>
      <c r="AQ38" s="104"/>
      <c r="AR38" s="104"/>
      <c r="AS38" s="104"/>
      <c r="AT38" s="104"/>
      <c r="AU38" s="104"/>
      <c r="AV38" s="42"/>
      <c r="AX38" s="104"/>
      <c r="AY38" s="104"/>
      <c r="AZ38" s="104"/>
      <c r="BA38" s="104"/>
      <c r="BB38" s="104"/>
      <c r="BC38" s="42"/>
      <c r="BE38" s="104"/>
      <c r="BF38" s="101"/>
      <c r="BI38" s="104"/>
      <c r="BJ38" s="101"/>
      <c r="BM38" s="104"/>
      <c r="BN38" s="101"/>
      <c r="BQ38" s="104"/>
      <c r="BR38" s="101"/>
      <c r="BU38" s="101"/>
      <c r="BX38" s="101"/>
      <c r="BY38" s="44">
        <f>Tabelle4[[#This Row],[Industry Funding from DE (IPK)]]+Tabelle4[[#This Row],[Industry Funding from BR (IPK)]]+Tabelle4[[#This Row],[Public Funding from DE (IPK)]]+Tabelle4[[#This Row],[Public Funding from BR (IPK)]]+Tabelle4[[#This Row],[In-kind Contribution (IPK)]]</f>
        <v>0</v>
      </c>
      <c r="BZ38" s="44">
        <f>Tabelle4[[#This Row],[Industry Funding from DE (IPK)]]+Tabelle4[[#This Row],[Industry Funding from BR (IPK)]]+Tabelle4[[#This Row],[Public Funding from DE (IPK)]]+Tabelle4[[#This Row],[Public Funding from BR (IPK)]]</f>
        <v>0</v>
      </c>
      <c r="CA38" s="44">
        <f>Tabelle4[[#This Row],[Industry Funding from DE (IPK)]]+Tabelle4[[#This Row],[Industry Funding from BR (IPK)]]</f>
        <v>0</v>
      </c>
      <c r="CB38" s="44">
        <f>Tabelle4[[#This Row],[Public Funding from DE (IPK)]]+Tabelle4[[#This Row],[Public Funding from BR (IPK)]]</f>
        <v>0</v>
      </c>
      <c r="CC38" s="44">
        <f>Tabelle4[[#This Row],[In-kind Contribution (IPK)]]</f>
        <v>0</v>
      </c>
      <c r="CD38" s="47" t="e">
        <f>(Tabelle4[[#This Row],[Total Industry Funding (IPK)]] + Tabelle4[[#This Row],[Total Public Funding (IPK)]])/Tabelle4[[#This Row],[Total Project Volume (IPK)]]</f>
        <v>#DIV/0!</v>
      </c>
      <c r="CE38" s="47" t="e">
        <f>Tabelle4[[#This Row],[Total Industry Funding (IPK)]] / Tabelle4[[#This Row],[Total Project Volume (IPK)]]</f>
        <v>#DIV/0!</v>
      </c>
      <c r="CF38" s="33" t="str">
        <f>Tabelle4[[#This Row],[Project Funding Classification]]</f>
        <v>Industry</v>
      </c>
      <c r="CG38" s="44">
        <f>Tabelle4[[#This Row],[Industry Funding from DE (IPK)]]+Tabelle4[[#This Row],[Public Funding from DE (IPK)]]</f>
        <v>0</v>
      </c>
      <c r="CH38" s="46">
        <f>Tabelle4[[#This Row],[Industry Funding from BR (IPK)]]+Tabelle4[[#This Row],[Public Funding from BR (IPK)]]</f>
        <v>0</v>
      </c>
      <c r="CI38" s="44">
        <f>Tabelle4[[#This Row],[Industry Funding from DE (ITA)]]+Tabelle4[[#This Row],[Industry Funding from BR (ITA)]]+Tabelle4[[#This Row],[Public Funding from DE (ITA)]]+Tabelle4[[#This Row],[Public Funding from BR (ITA)]]</f>
        <v>0</v>
      </c>
      <c r="CJ38" s="44">
        <f>Tabelle4[[#This Row],[Industry Funding from DE (ITA)]]+Tabelle4[[#This Row],[Industry Funding from BR (ITA)]]</f>
        <v>0</v>
      </c>
      <c r="CK38" s="44">
        <f>Tabelle4[[#This Row],[Public Funding from DE (ITA)]]+Tabelle4[[#This Row],[Public Funding from BR (ITA)]]</f>
        <v>0</v>
      </c>
      <c r="CL38" s="47" t="e">
        <f>Tabelle4[[#This Row],[Total Industry Funding (ITA)]]/Tabelle4[[#This Row],[Total Project Volume (ITA)]]</f>
        <v>#DIV/0!</v>
      </c>
      <c r="CM38" s="33" t="e">
        <f>IF(Tabelle4[[#This Row],[Funding Ratio (ITA)]]&lt;0.5,"Public Funding","Industry")</f>
        <v>#DIV/0!</v>
      </c>
      <c r="CN38" s="44">
        <f>Tabelle4[[#This Row],[Industry Funding from DE (ITA)]]+Tabelle4[[#This Row],[Public Funding from DE (ITA)]]</f>
        <v>0</v>
      </c>
      <c r="CO38" s="46">
        <f>Tabelle4[[#This Row],[Industry Funding from BR (ITA)]]+Tabelle4[[#This Row],[Public Funding from BR (ITA)]]</f>
        <v>0</v>
      </c>
      <c r="CP38" s="44">
        <f>Tabelle4[[#This Row],[Total Project Volume (IPK)]]+Tabelle4[[#This Row],[Total Project Volume (ITA)]]</f>
        <v>0</v>
      </c>
      <c r="CQ38" s="44">
        <f>Tabelle4[[#This Row],[Total Industry Funding (IPK)]]+Tabelle4[[#This Row],[Total Industry Funding (ITA)]]</f>
        <v>0</v>
      </c>
      <c r="CR38" s="44">
        <f>Tabelle4[[#This Row],[Industry Funding from DE (IPK)]]+Tabelle4[[#This Row],[Industry Funding from DE (ITA)]]</f>
        <v>0</v>
      </c>
      <c r="CS38" s="44">
        <f>Tabelle4[[#This Row],[Industry Funding from BR (IPK)]]+Tabelle4[[#This Row],[Industry Funding from BR (ITA)]]</f>
        <v>0</v>
      </c>
      <c r="CT38" s="44">
        <f>Tabelle4[[#This Row],[Total Public Funding (IPK)]]+Tabelle4[[#This Row],[Total Public Funding (ITA)]]</f>
        <v>0</v>
      </c>
      <c r="CU38" s="44">
        <f>Tabelle4[[#This Row],[Public Funding from DE (IPK)]]+Tabelle4[[#This Row],[Public Funding from DE (ITA)]]</f>
        <v>0</v>
      </c>
      <c r="CV38" s="44">
        <f>Tabelle4[[#This Row],[Public Funding from BR (IPK)]]+Tabelle4[[#This Row],[Public Funding from BR (ITA)]]</f>
        <v>0</v>
      </c>
      <c r="CW38" s="44">
        <f>Tabelle4[[#This Row],[Industry Funding from DE (FPC)]]+Tabelle4[[#This Row],[Public Funding from DE (FPC)]]</f>
        <v>0</v>
      </c>
      <c r="CX38" s="46">
        <f>Tabelle4[[#This Row],[Industry Funding from BR (FPC)]]+Tabelle4[[#This Row],[Public Funding from BR (FPC)]]</f>
        <v>0</v>
      </c>
      <c r="CY38" s="44">
        <f>Tabelle4[[#This Row],[Total Financial Budget (Other)]]+Tabelle4[[#This Row],[Total In-kind Contribution (Other)]]</f>
        <v>0</v>
      </c>
      <c r="CZ3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38" s="44">
        <f>Tabelle4[[#This Row],[In-kind Contribution (R&amp;D III)]]+Tabelle4[[#This Row],[In-kind Contribution (R&amp;D IV)]]</f>
        <v>0</v>
      </c>
      <c r="DB38" s="158">
        <f>Tabelle4[[#This Row],[Total Budget (FPC)]]+Tabelle4[[#This Row],[Total Volume (Other)]]</f>
        <v>0</v>
      </c>
      <c r="DC38" s="104">
        <f>Tabelle4[[#This Row],[Total Revenues (IPK)]]</f>
        <v>0</v>
      </c>
      <c r="DE38" s="44">
        <f>Tabelle4[[#This Row],[Total Revenues IPK]]*Tabelle4[[#This Row],[Probability of Success]]</f>
        <v>0</v>
      </c>
      <c r="DL38" s="44">
        <f>Tabelle4[[#This Row],[Real Budget IPK]]*Tabelle4[[#This Row],[Acquisition Factor OE810]]</f>
        <v>0</v>
      </c>
      <c r="DN38" s="46">
        <f>Tabelle4[[#This Row],[Acquisition Bonus OE810]]+Tabelle4[[#This Row],[Project Execution OE810]]</f>
        <v>0</v>
      </c>
    </row>
    <row r="39" spans="1:118" x14ac:dyDescent="0.45">
      <c r="A39" s="42" t="s">
        <v>732</v>
      </c>
      <c r="C39" s="33" t="s">
        <v>475</v>
      </c>
      <c r="D39" s="33" t="s">
        <v>706</v>
      </c>
      <c r="E39" s="33">
        <v>1</v>
      </c>
      <c r="F39" s="33">
        <v>0</v>
      </c>
      <c r="G39" s="33" t="s">
        <v>2</v>
      </c>
      <c r="H39" s="33" t="s">
        <v>0</v>
      </c>
      <c r="J39" s="59">
        <v>44313</v>
      </c>
      <c r="K39" s="33" t="s">
        <v>630</v>
      </c>
      <c r="L39" s="33" t="s">
        <v>309</v>
      </c>
      <c r="N39" s="33" t="s">
        <v>667</v>
      </c>
      <c r="T39" s="59">
        <v>44532</v>
      </c>
      <c r="Z39" s="42" t="str">
        <f t="shared" si="8"/>
        <v>IPK</v>
      </c>
      <c r="AB39" s="104"/>
      <c r="AC39" s="104"/>
      <c r="AD39" s="104"/>
      <c r="AE39" s="104"/>
      <c r="AF39" s="104"/>
      <c r="AG39" s="42" t="str">
        <f t="shared" si="9"/>
        <v>ITA</v>
      </c>
      <c r="AH39" s="33" t="s">
        <v>130</v>
      </c>
      <c r="AI39" s="33" t="s">
        <v>438</v>
      </c>
      <c r="AO39" s="42"/>
      <c r="AQ39" s="104"/>
      <c r="AR39" s="104"/>
      <c r="AS39" s="104"/>
      <c r="AT39" s="104"/>
      <c r="AU39" s="104"/>
      <c r="AV39" s="42"/>
      <c r="AX39" s="104"/>
      <c r="AY39" s="104"/>
      <c r="AZ39" s="104"/>
      <c r="BA39" s="104"/>
      <c r="BB39" s="104"/>
      <c r="BC39" s="42"/>
      <c r="BE39" s="104"/>
      <c r="BF39" s="101"/>
      <c r="BI39" s="104"/>
      <c r="BJ39" s="101"/>
      <c r="BM39" s="104"/>
      <c r="BN39" s="101"/>
      <c r="BQ39" s="104"/>
      <c r="BR39" s="101"/>
      <c r="BU39" s="101"/>
      <c r="BX39" s="101"/>
      <c r="BY39" s="44">
        <f>Tabelle4[[#This Row],[Industry Funding from DE (IPK)]]+Tabelle4[[#This Row],[Industry Funding from BR (IPK)]]+Tabelle4[[#This Row],[Public Funding from DE (IPK)]]+Tabelle4[[#This Row],[Public Funding from BR (IPK)]]+Tabelle4[[#This Row],[In-kind Contribution (IPK)]]</f>
        <v>0</v>
      </c>
      <c r="BZ39" s="44">
        <f>Tabelle4[[#This Row],[Industry Funding from DE (IPK)]]+Tabelle4[[#This Row],[Industry Funding from BR (IPK)]]+Tabelle4[[#This Row],[Public Funding from DE (IPK)]]+Tabelle4[[#This Row],[Public Funding from BR (IPK)]]</f>
        <v>0</v>
      </c>
      <c r="CA39" s="44">
        <f>Tabelle4[[#This Row],[Industry Funding from DE (IPK)]]+Tabelle4[[#This Row],[Industry Funding from BR (IPK)]]</f>
        <v>0</v>
      </c>
      <c r="CB39" s="44">
        <f>Tabelle4[[#This Row],[Public Funding from DE (IPK)]]+Tabelle4[[#This Row],[Public Funding from BR (IPK)]]</f>
        <v>0</v>
      </c>
      <c r="CC39" s="44">
        <f>Tabelle4[[#This Row],[In-kind Contribution (IPK)]]</f>
        <v>0</v>
      </c>
      <c r="CD39" s="47" t="e">
        <f>(Tabelle4[[#This Row],[Total Industry Funding (IPK)]] + Tabelle4[[#This Row],[Total Public Funding (IPK)]])/Tabelle4[[#This Row],[Total Project Volume (IPK)]]</f>
        <v>#DIV/0!</v>
      </c>
      <c r="CE39" s="47" t="e">
        <f>Tabelle4[[#This Row],[Total Industry Funding (IPK)]] / Tabelle4[[#This Row],[Total Project Volume (IPK)]]</f>
        <v>#DIV/0!</v>
      </c>
      <c r="CF39" s="33" t="str">
        <f>Tabelle4[[#This Row],[Project Funding Classification]]</f>
        <v>Industry</v>
      </c>
      <c r="CG39" s="44">
        <f>Tabelle4[[#This Row],[Industry Funding from DE (IPK)]]+Tabelle4[[#This Row],[Public Funding from DE (IPK)]]</f>
        <v>0</v>
      </c>
      <c r="CH39" s="46">
        <f>Tabelle4[[#This Row],[Industry Funding from BR (IPK)]]+Tabelle4[[#This Row],[Public Funding from BR (IPK)]]</f>
        <v>0</v>
      </c>
      <c r="CI39" s="44">
        <f>Tabelle4[[#This Row],[Industry Funding from DE (ITA)]]+Tabelle4[[#This Row],[Industry Funding from BR (ITA)]]+Tabelle4[[#This Row],[Public Funding from DE (ITA)]]+Tabelle4[[#This Row],[Public Funding from BR (ITA)]]</f>
        <v>0</v>
      </c>
      <c r="CJ39" s="44">
        <f>Tabelle4[[#This Row],[Industry Funding from DE (ITA)]]+Tabelle4[[#This Row],[Industry Funding from BR (ITA)]]</f>
        <v>0</v>
      </c>
      <c r="CK39" s="44">
        <f>Tabelle4[[#This Row],[Public Funding from DE (ITA)]]+Tabelle4[[#This Row],[Public Funding from BR (ITA)]]</f>
        <v>0</v>
      </c>
      <c r="CL39" s="47" t="e">
        <f>Tabelle4[[#This Row],[Total Industry Funding (ITA)]]/Tabelle4[[#This Row],[Total Project Volume (ITA)]]</f>
        <v>#DIV/0!</v>
      </c>
      <c r="CM39" s="33" t="e">
        <f>IF(Tabelle4[[#This Row],[Funding Ratio (ITA)]]&lt;0.5,"Public Funding","Industry")</f>
        <v>#DIV/0!</v>
      </c>
      <c r="CN39" s="44">
        <f>Tabelle4[[#This Row],[Industry Funding from DE (ITA)]]+Tabelle4[[#This Row],[Public Funding from DE (ITA)]]</f>
        <v>0</v>
      </c>
      <c r="CO39" s="46">
        <f>Tabelle4[[#This Row],[Industry Funding from BR (ITA)]]+Tabelle4[[#This Row],[Public Funding from BR (ITA)]]</f>
        <v>0</v>
      </c>
      <c r="CP39" s="44">
        <f>Tabelle4[[#This Row],[Total Project Volume (IPK)]]+Tabelle4[[#This Row],[Total Project Volume (ITA)]]</f>
        <v>0</v>
      </c>
      <c r="CQ39" s="44">
        <f>Tabelle4[[#This Row],[Total Industry Funding (IPK)]]+Tabelle4[[#This Row],[Total Industry Funding (ITA)]]</f>
        <v>0</v>
      </c>
      <c r="CR39" s="44">
        <f>Tabelle4[[#This Row],[Industry Funding from DE (IPK)]]+Tabelle4[[#This Row],[Industry Funding from DE (ITA)]]</f>
        <v>0</v>
      </c>
      <c r="CS39" s="44">
        <f>Tabelle4[[#This Row],[Industry Funding from BR (IPK)]]+Tabelle4[[#This Row],[Industry Funding from BR (ITA)]]</f>
        <v>0</v>
      </c>
      <c r="CT39" s="44">
        <f>Tabelle4[[#This Row],[Total Public Funding (IPK)]]+Tabelle4[[#This Row],[Total Public Funding (ITA)]]</f>
        <v>0</v>
      </c>
      <c r="CU39" s="44">
        <f>Tabelle4[[#This Row],[Public Funding from DE (IPK)]]+Tabelle4[[#This Row],[Public Funding from DE (ITA)]]</f>
        <v>0</v>
      </c>
      <c r="CV39" s="44">
        <f>Tabelle4[[#This Row],[Public Funding from BR (IPK)]]+Tabelle4[[#This Row],[Public Funding from BR (ITA)]]</f>
        <v>0</v>
      </c>
      <c r="CW39" s="44">
        <f>Tabelle4[[#This Row],[Industry Funding from DE (FPC)]]+Tabelle4[[#This Row],[Public Funding from DE (FPC)]]</f>
        <v>0</v>
      </c>
      <c r="CX39" s="46">
        <f>Tabelle4[[#This Row],[Industry Funding from BR (FPC)]]+Tabelle4[[#This Row],[Public Funding from BR (FPC)]]</f>
        <v>0</v>
      </c>
      <c r="CY39" s="44">
        <f>Tabelle4[[#This Row],[Total Financial Budget (Other)]]+Tabelle4[[#This Row],[Total In-kind Contribution (Other)]]</f>
        <v>0</v>
      </c>
      <c r="CZ3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39" s="44">
        <f>Tabelle4[[#This Row],[In-kind Contribution (R&amp;D III)]]+Tabelle4[[#This Row],[In-kind Contribution (R&amp;D IV)]]</f>
        <v>0</v>
      </c>
      <c r="DB39" s="158">
        <f>Tabelle4[[#This Row],[Total Budget (FPC)]]+Tabelle4[[#This Row],[Total Volume (Other)]]</f>
        <v>0</v>
      </c>
      <c r="DC39" s="104">
        <f>Tabelle4[[#This Row],[Total Revenues (IPK)]]</f>
        <v>0</v>
      </c>
      <c r="DE39" s="44">
        <f>Tabelle4[[#This Row],[Total Revenues IPK]]*Tabelle4[[#This Row],[Probability of Success]]</f>
        <v>0</v>
      </c>
      <c r="DL39" s="44">
        <f>Tabelle4[[#This Row],[Real Budget IPK]]*Tabelle4[[#This Row],[Acquisition Factor OE810]]</f>
        <v>0</v>
      </c>
      <c r="DN39" s="46">
        <f>Tabelle4[[#This Row],[Acquisition Bonus OE810]]+Tabelle4[[#This Row],[Project Execution OE810]]</f>
        <v>0</v>
      </c>
    </row>
    <row r="40" spans="1:118" ht="55.5" x14ac:dyDescent="0.45">
      <c r="A40" s="42" t="s">
        <v>726</v>
      </c>
      <c r="B40" s="33" t="s">
        <v>731</v>
      </c>
      <c r="C40" s="33" t="s">
        <v>744</v>
      </c>
      <c r="D40" s="33" t="s">
        <v>706</v>
      </c>
      <c r="E40" s="33">
        <v>5</v>
      </c>
      <c r="F40" s="33">
        <v>0</v>
      </c>
      <c r="G40" s="33" t="s">
        <v>2</v>
      </c>
      <c r="H40" s="33" t="s">
        <v>0</v>
      </c>
      <c r="I40" s="33" t="s">
        <v>745</v>
      </c>
      <c r="K40" s="33" t="s">
        <v>244</v>
      </c>
      <c r="L40" s="33" t="s">
        <v>651</v>
      </c>
      <c r="U40" s="59">
        <v>44294</v>
      </c>
      <c r="V40" s="59">
        <v>44300</v>
      </c>
      <c r="W40" s="59">
        <v>44322</v>
      </c>
      <c r="Z40" s="42" t="str">
        <f t="shared" ref="Z40:Z45" si="10">"IPK"</f>
        <v>IPK</v>
      </c>
      <c r="AB40" s="104"/>
      <c r="AC40" s="104"/>
      <c r="AD40" s="104"/>
      <c r="AE40" s="104"/>
      <c r="AF40" s="104"/>
      <c r="AG40" s="42" t="str">
        <f t="shared" ref="AG40:AG45" si="11">"ITA"</f>
        <v>ITA</v>
      </c>
      <c r="AH40" s="33" t="s">
        <v>727</v>
      </c>
      <c r="AI40" s="33" t="s">
        <v>438</v>
      </c>
      <c r="AJ40" s="104">
        <v>0</v>
      </c>
      <c r="AK40" s="104">
        <v>0</v>
      </c>
      <c r="AL40" s="104">
        <v>0</v>
      </c>
      <c r="AM40" s="104">
        <v>0</v>
      </c>
      <c r="AO40" s="42"/>
      <c r="AQ40" s="104"/>
      <c r="AR40" s="104"/>
      <c r="AS40" s="104"/>
      <c r="AT40" s="104"/>
      <c r="AU40" s="104"/>
      <c r="AV40" s="42"/>
      <c r="AX40" s="104"/>
      <c r="AY40" s="104"/>
      <c r="AZ40" s="104"/>
      <c r="BA40" s="104"/>
      <c r="BB40" s="104"/>
      <c r="BC40" s="42"/>
      <c r="BE40" s="104"/>
      <c r="BF40" s="101"/>
      <c r="BI40" s="104"/>
      <c r="BJ40" s="101"/>
      <c r="BM40" s="104"/>
      <c r="BN40" s="101"/>
      <c r="BQ40" s="104"/>
      <c r="BR40" s="101"/>
      <c r="BU40" s="101"/>
      <c r="BX40" s="101"/>
      <c r="BY40" s="44">
        <f>Tabelle4[[#This Row],[Industry Funding from DE (IPK)]]+Tabelle4[[#This Row],[Industry Funding from BR (IPK)]]+Tabelle4[[#This Row],[Public Funding from DE (IPK)]]+Tabelle4[[#This Row],[Public Funding from BR (IPK)]]+Tabelle4[[#This Row],[In-kind Contribution (IPK)]]</f>
        <v>0</v>
      </c>
      <c r="BZ40" s="44">
        <f>Tabelle4[[#This Row],[Industry Funding from DE (IPK)]]+Tabelle4[[#This Row],[Industry Funding from BR (IPK)]]+Tabelle4[[#This Row],[Public Funding from DE (IPK)]]+Tabelle4[[#This Row],[Public Funding from BR (IPK)]]</f>
        <v>0</v>
      </c>
      <c r="CA40" s="44">
        <f>Tabelle4[[#This Row],[Industry Funding from DE (IPK)]]+Tabelle4[[#This Row],[Industry Funding from BR (IPK)]]</f>
        <v>0</v>
      </c>
      <c r="CB40" s="44">
        <f>Tabelle4[[#This Row],[Public Funding from DE (IPK)]]+Tabelle4[[#This Row],[Public Funding from BR (IPK)]]</f>
        <v>0</v>
      </c>
      <c r="CC40" s="44">
        <f>Tabelle4[[#This Row],[In-kind Contribution (IPK)]]</f>
        <v>0</v>
      </c>
      <c r="CD40" s="47" t="e">
        <f>(Tabelle4[[#This Row],[Total Industry Funding (IPK)]] + Tabelle4[[#This Row],[Total Public Funding (IPK)]])/Tabelle4[[#This Row],[Total Project Volume (IPK)]]</f>
        <v>#DIV/0!</v>
      </c>
      <c r="CE40" s="47" t="e">
        <f>Tabelle4[[#This Row],[Total Industry Funding (IPK)]] / Tabelle4[[#This Row],[Total Project Volume (IPK)]]</f>
        <v>#DIV/0!</v>
      </c>
      <c r="CF40" s="33" t="str">
        <f>Tabelle4[[#This Row],[Project Funding Classification]]</f>
        <v>Industry</v>
      </c>
      <c r="CG40" s="44">
        <f>Tabelle4[[#This Row],[Industry Funding from DE (IPK)]]+Tabelle4[[#This Row],[Public Funding from DE (IPK)]]</f>
        <v>0</v>
      </c>
      <c r="CH40" s="46">
        <f>Tabelle4[[#This Row],[Industry Funding from BR (IPK)]]+Tabelle4[[#This Row],[Public Funding from BR (IPK)]]</f>
        <v>0</v>
      </c>
      <c r="CI40" s="44">
        <f>Tabelle4[[#This Row],[Industry Funding from DE (ITA)]]+Tabelle4[[#This Row],[Industry Funding from BR (ITA)]]+Tabelle4[[#This Row],[Public Funding from DE (ITA)]]+Tabelle4[[#This Row],[Public Funding from BR (ITA)]]</f>
        <v>0</v>
      </c>
      <c r="CJ40" s="44">
        <f>Tabelle4[[#This Row],[Industry Funding from DE (ITA)]]+Tabelle4[[#This Row],[Industry Funding from BR (ITA)]]</f>
        <v>0</v>
      </c>
      <c r="CK40" s="44">
        <f>Tabelle4[[#This Row],[Public Funding from DE (ITA)]]+Tabelle4[[#This Row],[Public Funding from BR (ITA)]]</f>
        <v>0</v>
      </c>
      <c r="CL40" s="47" t="e">
        <f>Tabelle4[[#This Row],[Total Industry Funding (ITA)]]/Tabelle4[[#This Row],[Total Project Volume (ITA)]]</f>
        <v>#DIV/0!</v>
      </c>
      <c r="CM40" s="33" t="e">
        <f>IF(Tabelle4[[#This Row],[Funding Ratio (ITA)]]&lt;0.5,"Public Funding","Industry")</f>
        <v>#DIV/0!</v>
      </c>
      <c r="CN40" s="44">
        <f>Tabelle4[[#This Row],[Industry Funding from DE (ITA)]]+Tabelle4[[#This Row],[Public Funding from DE (ITA)]]</f>
        <v>0</v>
      </c>
      <c r="CO40" s="46">
        <f>Tabelle4[[#This Row],[Industry Funding from BR (ITA)]]+Tabelle4[[#This Row],[Public Funding from BR (ITA)]]</f>
        <v>0</v>
      </c>
      <c r="CP40" s="44">
        <f>Tabelle4[[#This Row],[Total Project Volume (IPK)]]+Tabelle4[[#This Row],[Total Project Volume (ITA)]]</f>
        <v>0</v>
      </c>
      <c r="CQ40" s="44">
        <f>Tabelle4[[#This Row],[Total Industry Funding (IPK)]]+Tabelle4[[#This Row],[Total Industry Funding (ITA)]]</f>
        <v>0</v>
      </c>
      <c r="CR40" s="44">
        <f>Tabelle4[[#This Row],[Industry Funding from DE (IPK)]]+Tabelle4[[#This Row],[Industry Funding from DE (ITA)]]</f>
        <v>0</v>
      </c>
      <c r="CS40" s="44">
        <f>Tabelle4[[#This Row],[Industry Funding from BR (IPK)]]+Tabelle4[[#This Row],[Industry Funding from BR (ITA)]]</f>
        <v>0</v>
      </c>
      <c r="CT40" s="44">
        <f>Tabelle4[[#This Row],[Total Public Funding (IPK)]]+Tabelle4[[#This Row],[Total Public Funding (ITA)]]</f>
        <v>0</v>
      </c>
      <c r="CU40" s="44">
        <f>Tabelle4[[#This Row],[Public Funding from DE (IPK)]]+Tabelle4[[#This Row],[Public Funding from DE (ITA)]]</f>
        <v>0</v>
      </c>
      <c r="CV40" s="44">
        <f>Tabelle4[[#This Row],[Public Funding from BR (IPK)]]+Tabelle4[[#This Row],[Public Funding from BR (ITA)]]</f>
        <v>0</v>
      </c>
      <c r="CW40" s="44">
        <f>Tabelle4[[#This Row],[Industry Funding from DE (FPC)]]+Tabelle4[[#This Row],[Public Funding from DE (FPC)]]</f>
        <v>0</v>
      </c>
      <c r="CX40" s="46">
        <f>Tabelle4[[#This Row],[Industry Funding from BR (FPC)]]+Tabelle4[[#This Row],[Public Funding from BR (FPC)]]</f>
        <v>0</v>
      </c>
      <c r="CY40" s="44">
        <f>Tabelle4[[#This Row],[Total Financial Budget (Other)]]+Tabelle4[[#This Row],[Total In-kind Contribution (Other)]]</f>
        <v>0</v>
      </c>
      <c r="CZ4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40" s="44">
        <f>Tabelle4[[#This Row],[In-kind Contribution (R&amp;D III)]]+Tabelle4[[#This Row],[In-kind Contribution (R&amp;D IV)]]</f>
        <v>0</v>
      </c>
      <c r="DB40" s="158">
        <f>Tabelle4[[#This Row],[Total Budget (FPC)]]+Tabelle4[[#This Row],[Total Volume (Other)]]</f>
        <v>0</v>
      </c>
      <c r="DC40" s="104">
        <f>Tabelle4[[#This Row],[Total Revenues (IPK)]]</f>
        <v>0</v>
      </c>
      <c r="DE40" s="44">
        <f>Tabelle4[[#This Row],[Total Revenues IPK]]*Tabelle4[[#This Row],[Probability of Success]]</f>
        <v>0</v>
      </c>
      <c r="DL40" s="44">
        <f>Tabelle4[[#This Row],[Real Budget IPK]]*Tabelle4[[#This Row],[Acquisition Factor OE810]]</f>
        <v>0</v>
      </c>
      <c r="DN40" s="46">
        <f>Tabelle4[[#This Row],[Acquisition Bonus OE810]]+Tabelle4[[#This Row],[Project Execution OE810]]</f>
        <v>0</v>
      </c>
    </row>
    <row r="41" spans="1:118" ht="27.75" x14ac:dyDescent="0.45">
      <c r="A41" s="42" t="s">
        <v>722</v>
      </c>
      <c r="B41" s="33" t="s">
        <v>721</v>
      </c>
      <c r="C41" s="33" t="s">
        <v>163</v>
      </c>
      <c r="D41" s="33" t="s">
        <v>707</v>
      </c>
      <c r="E41" s="33">
        <v>1</v>
      </c>
      <c r="F41" s="33">
        <v>2</v>
      </c>
      <c r="G41" s="33" t="s">
        <v>1</v>
      </c>
      <c r="H41" s="33" t="s">
        <v>96</v>
      </c>
      <c r="I41" s="33" t="s">
        <v>723</v>
      </c>
      <c r="J41" s="59">
        <v>44166</v>
      </c>
      <c r="K41" s="33" t="s">
        <v>246</v>
      </c>
      <c r="M41" s="144">
        <v>6.72</v>
      </c>
      <c r="P41" s="59">
        <v>44562</v>
      </c>
      <c r="Q41" s="33">
        <v>18</v>
      </c>
      <c r="R41" s="59">
        <v>45473</v>
      </c>
      <c r="S41" s="59">
        <v>44166</v>
      </c>
      <c r="U41" s="59">
        <v>44197</v>
      </c>
      <c r="V41" s="59">
        <v>44272</v>
      </c>
      <c r="Z41" s="42" t="str">
        <f t="shared" si="10"/>
        <v>IPK</v>
      </c>
      <c r="AA41" s="33" t="s">
        <v>141</v>
      </c>
      <c r="AB41" s="104"/>
      <c r="AC41" s="104"/>
      <c r="AD41" s="104">
        <v>250000</v>
      </c>
      <c r="AE41" s="104"/>
      <c r="AF41" s="104"/>
      <c r="AG41" s="42" t="str">
        <f t="shared" si="11"/>
        <v>ITA</v>
      </c>
      <c r="AO41" s="42" t="s">
        <v>724</v>
      </c>
      <c r="AP41" s="33" t="s">
        <v>725</v>
      </c>
      <c r="AQ41" s="104"/>
      <c r="AR41" s="104"/>
      <c r="AS41" s="104"/>
      <c r="AT41" s="104">
        <f>2000000/6.72</f>
        <v>297619.04761904763</v>
      </c>
      <c r="AU41" s="104"/>
      <c r="AV41" s="42" t="s">
        <v>270</v>
      </c>
      <c r="AW41" s="33" t="s">
        <v>271</v>
      </c>
      <c r="AX41" s="104"/>
      <c r="AY41" s="104"/>
      <c r="AZ41" s="104">
        <v>250000</v>
      </c>
      <c r="BA41" s="104"/>
      <c r="BB41" s="104"/>
      <c r="BC41" s="42"/>
      <c r="BE41" s="104"/>
      <c r="BF41" s="101"/>
      <c r="BI41" s="104"/>
      <c r="BJ41" s="101"/>
      <c r="BM41" s="104"/>
      <c r="BN41" s="101"/>
      <c r="BQ41" s="104"/>
      <c r="BR41" s="101"/>
      <c r="BS41" s="33" t="s">
        <v>128</v>
      </c>
      <c r="BU41" s="101">
        <v>500000</v>
      </c>
      <c r="BV41" s="33" t="s">
        <v>424</v>
      </c>
      <c r="BX41" s="101">
        <f>2000000/6.72</f>
        <v>297619.04761904763</v>
      </c>
      <c r="BY41" s="44">
        <f>Tabelle4[[#This Row],[Industry Funding from DE (IPK)]]+Tabelle4[[#This Row],[Industry Funding from BR (IPK)]]+Tabelle4[[#This Row],[Public Funding from DE (IPK)]]+Tabelle4[[#This Row],[Public Funding from BR (IPK)]]+Tabelle4[[#This Row],[In-kind Contribution (IPK)]]</f>
        <v>250000</v>
      </c>
      <c r="BZ41" s="44">
        <f>Tabelle4[[#This Row],[Industry Funding from DE (IPK)]]+Tabelle4[[#This Row],[Industry Funding from BR (IPK)]]+Tabelle4[[#This Row],[Public Funding from DE (IPK)]]+Tabelle4[[#This Row],[Public Funding from BR (IPK)]]</f>
        <v>250000</v>
      </c>
      <c r="CA41" s="44">
        <f>Tabelle4[[#This Row],[Industry Funding from DE (IPK)]]+Tabelle4[[#This Row],[Industry Funding from BR (IPK)]]</f>
        <v>0</v>
      </c>
      <c r="CB41" s="44">
        <f>Tabelle4[[#This Row],[Public Funding from DE (IPK)]]+Tabelle4[[#This Row],[Public Funding from BR (IPK)]]</f>
        <v>250000</v>
      </c>
      <c r="CC41" s="44">
        <f>Tabelle4[[#This Row],[In-kind Contribution (IPK)]]</f>
        <v>0</v>
      </c>
      <c r="CD41" s="47">
        <f>(Tabelle4[[#This Row],[Total Industry Funding (IPK)]] + Tabelle4[[#This Row],[Total Public Funding (IPK)]])/Tabelle4[[#This Row],[Total Project Volume (IPK)]]</f>
        <v>1</v>
      </c>
      <c r="CE41" s="47">
        <f>Tabelle4[[#This Row],[Total Industry Funding (IPK)]] / Tabelle4[[#This Row],[Total Project Volume (IPK)]]</f>
        <v>0</v>
      </c>
      <c r="CF41" s="33" t="str">
        <f>Tabelle4[[#This Row],[Project Funding Classification]]</f>
        <v>Public Funding</v>
      </c>
      <c r="CG41" s="44">
        <f>Tabelle4[[#This Row],[Industry Funding from DE (IPK)]]+Tabelle4[[#This Row],[Public Funding from DE (IPK)]]</f>
        <v>250000</v>
      </c>
      <c r="CH41" s="46">
        <f>Tabelle4[[#This Row],[Industry Funding from BR (IPK)]]+Tabelle4[[#This Row],[Public Funding from BR (IPK)]]</f>
        <v>0</v>
      </c>
      <c r="CI41" s="44">
        <f>Tabelle4[[#This Row],[Industry Funding from DE (ITA)]]+Tabelle4[[#This Row],[Industry Funding from BR (ITA)]]+Tabelle4[[#This Row],[Public Funding from DE (ITA)]]+Tabelle4[[#This Row],[Public Funding from BR (ITA)]]</f>
        <v>0</v>
      </c>
      <c r="CJ41" s="44">
        <f>Tabelle4[[#This Row],[Industry Funding from DE (ITA)]]+Tabelle4[[#This Row],[Industry Funding from BR (ITA)]]</f>
        <v>0</v>
      </c>
      <c r="CK41" s="44">
        <f>Tabelle4[[#This Row],[Public Funding from DE (ITA)]]+Tabelle4[[#This Row],[Public Funding from BR (ITA)]]</f>
        <v>0</v>
      </c>
      <c r="CL41" s="47" t="e">
        <f>Tabelle4[[#This Row],[Total Industry Funding (ITA)]]/Tabelle4[[#This Row],[Total Project Volume (ITA)]]</f>
        <v>#DIV/0!</v>
      </c>
      <c r="CM41" s="33" t="e">
        <f>IF(Tabelle4[[#This Row],[Funding Ratio (ITA)]]&lt;0.5,"Public Funding","Industry")</f>
        <v>#DIV/0!</v>
      </c>
      <c r="CN41" s="44">
        <f>Tabelle4[[#This Row],[Industry Funding from DE (ITA)]]+Tabelle4[[#This Row],[Public Funding from DE (ITA)]]</f>
        <v>0</v>
      </c>
      <c r="CO41" s="46">
        <f>Tabelle4[[#This Row],[Industry Funding from BR (ITA)]]+Tabelle4[[#This Row],[Public Funding from BR (ITA)]]</f>
        <v>0</v>
      </c>
      <c r="CP41" s="44">
        <f>Tabelle4[[#This Row],[Total Project Volume (IPK)]]+Tabelle4[[#This Row],[Total Project Volume (ITA)]]</f>
        <v>250000</v>
      </c>
      <c r="CQ41" s="44">
        <f>Tabelle4[[#This Row],[Total Industry Funding (IPK)]]+Tabelle4[[#This Row],[Total Industry Funding (ITA)]]</f>
        <v>0</v>
      </c>
      <c r="CR41" s="44">
        <f>Tabelle4[[#This Row],[Industry Funding from DE (IPK)]]+Tabelle4[[#This Row],[Industry Funding from DE (ITA)]]</f>
        <v>0</v>
      </c>
      <c r="CS41" s="44">
        <f>Tabelle4[[#This Row],[Industry Funding from BR (IPK)]]+Tabelle4[[#This Row],[Industry Funding from BR (ITA)]]</f>
        <v>0</v>
      </c>
      <c r="CT41" s="44">
        <f>Tabelle4[[#This Row],[Total Public Funding (IPK)]]+Tabelle4[[#This Row],[Total Public Funding (ITA)]]</f>
        <v>250000</v>
      </c>
      <c r="CU41" s="44">
        <f>Tabelle4[[#This Row],[Public Funding from DE (IPK)]]+Tabelle4[[#This Row],[Public Funding from DE (ITA)]]</f>
        <v>250000</v>
      </c>
      <c r="CV41" s="44">
        <f>Tabelle4[[#This Row],[Public Funding from BR (IPK)]]+Tabelle4[[#This Row],[Public Funding from BR (ITA)]]</f>
        <v>0</v>
      </c>
      <c r="CW41" s="44">
        <f>Tabelle4[[#This Row],[Industry Funding from DE (FPC)]]+Tabelle4[[#This Row],[Public Funding from DE (FPC)]]</f>
        <v>250000</v>
      </c>
      <c r="CX41" s="46">
        <f>Tabelle4[[#This Row],[Industry Funding from BR (FPC)]]+Tabelle4[[#This Row],[Public Funding from BR (FPC)]]</f>
        <v>0</v>
      </c>
      <c r="CY41" s="44">
        <f>Tabelle4[[#This Row],[Total Financial Budget (Other)]]+Tabelle4[[#This Row],[Total In-kind Contribution (Other)]]</f>
        <v>547619.04761904757</v>
      </c>
      <c r="CZ4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547619.04761904757</v>
      </c>
      <c r="DA41" s="44">
        <f>Tabelle4[[#This Row],[In-kind Contribution (R&amp;D III)]]+Tabelle4[[#This Row],[In-kind Contribution (R&amp;D IV)]]</f>
        <v>0</v>
      </c>
      <c r="DB41" s="158">
        <f>Tabelle4[[#This Row],[Total Budget (FPC)]]+Tabelle4[[#This Row],[Total Volume (Other)]]</f>
        <v>797619.04761904757</v>
      </c>
      <c r="DC41" s="104">
        <f>Tabelle4[[#This Row],[Total Revenues (IPK)]]</f>
        <v>250000</v>
      </c>
      <c r="DD41" s="47">
        <v>0.1</v>
      </c>
      <c r="DE41" s="44">
        <f>Tabelle4[[#This Row],[Total Revenues IPK]]*Tabelle4[[#This Row],[Probability of Success]]</f>
        <v>25000</v>
      </c>
      <c r="DK41" s="47">
        <v>0.2</v>
      </c>
      <c r="DL41" s="44">
        <f>Tabelle4[[#This Row],[Real Budget IPK]]*Tabelle4[[#This Row],[Acquisition Factor OE810]]</f>
        <v>5000</v>
      </c>
      <c r="DN41" s="46">
        <f>Tabelle4[[#This Row],[Acquisition Bonus OE810]]+Tabelle4[[#This Row],[Project Execution OE810]]</f>
        <v>5000</v>
      </c>
    </row>
    <row r="42" spans="1:118" ht="41.65" x14ac:dyDescent="0.45">
      <c r="A42" s="42" t="s">
        <v>759</v>
      </c>
      <c r="B42" s="33" t="s">
        <v>838</v>
      </c>
      <c r="C42" s="33" t="s">
        <v>852</v>
      </c>
      <c r="D42" s="33" t="s">
        <v>709</v>
      </c>
      <c r="E42" s="33">
        <v>5</v>
      </c>
      <c r="F42" s="33">
        <v>7</v>
      </c>
      <c r="G42" s="33" t="s">
        <v>2</v>
      </c>
      <c r="H42" s="33" t="s">
        <v>0</v>
      </c>
      <c r="I42" s="33" t="s">
        <v>760</v>
      </c>
      <c r="J42" s="59">
        <v>44260</v>
      </c>
      <c r="K42" s="33" t="s">
        <v>243</v>
      </c>
      <c r="L42" s="33" t="s">
        <v>308</v>
      </c>
      <c r="M42" s="144">
        <v>5.3</v>
      </c>
      <c r="N42" s="33" t="s">
        <v>667</v>
      </c>
      <c r="S42" s="59">
        <v>44260</v>
      </c>
      <c r="U42" s="59">
        <v>44474</v>
      </c>
      <c r="V42" s="59">
        <v>44650</v>
      </c>
      <c r="Z42" s="42" t="str">
        <f t="shared" si="10"/>
        <v>IPK</v>
      </c>
      <c r="AB42" s="104"/>
      <c r="AC42" s="104"/>
      <c r="AD42" s="104"/>
      <c r="AE42" s="104"/>
      <c r="AF42" s="104"/>
      <c r="AG42" s="42" t="str">
        <f t="shared" si="11"/>
        <v>ITA</v>
      </c>
      <c r="AH42" s="33" t="s">
        <v>761</v>
      </c>
      <c r="AI42" s="33" t="s">
        <v>438</v>
      </c>
      <c r="AK42" s="104">
        <f>270000/Tabelle4[[#This Row],[EUR exchange rate against BRL]]</f>
        <v>50943.396226415098</v>
      </c>
      <c r="AL42" s="104">
        <v>275000</v>
      </c>
      <c r="AM42" s="104">
        <f>270000*1.5/Tabelle4[[#This Row],[EUR exchange rate against BRL]]</f>
        <v>76415.09433962265</v>
      </c>
      <c r="AN42" s="104">
        <f>138000/Tabelle4[[#This Row],[EUR exchange rate against BRL]]</f>
        <v>26037.735849056604</v>
      </c>
      <c r="AO42" s="42"/>
      <c r="AQ42" s="104"/>
      <c r="AR42" s="104"/>
      <c r="AS42" s="104"/>
      <c r="AT42" s="104"/>
      <c r="AU42" s="104"/>
      <c r="AV42" s="42"/>
      <c r="AX42" s="104"/>
      <c r="AY42" s="104"/>
      <c r="AZ42" s="104"/>
      <c r="BA42" s="104"/>
      <c r="BB42" s="104"/>
      <c r="BC42" s="42"/>
      <c r="BE42" s="104">
        <f>Tabelle4[[#This Row],[Industry Funding from BR (ITA)]]</f>
        <v>50943.396226415098</v>
      </c>
      <c r="BF42" s="101"/>
      <c r="BI42" s="104"/>
      <c r="BJ42" s="101"/>
      <c r="BM42" s="104"/>
      <c r="BN42" s="101"/>
      <c r="BQ42" s="104"/>
      <c r="BR42" s="101"/>
      <c r="BS42" s="33" t="s">
        <v>762</v>
      </c>
      <c r="BU42" s="101">
        <f>Tabelle4[[#This Row],[Public Funding from DE (ITA)]]+Tabelle4[[#This Row],[Public Funding from BR (ITA)]]</f>
        <v>351415.09433962265</v>
      </c>
      <c r="BX42" s="101"/>
      <c r="BY42" s="44">
        <f>Tabelle4[[#This Row],[Industry Funding from DE (IPK)]]+Tabelle4[[#This Row],[Industry Funding from BR (IPK)]]+Tabelle4[[#This Row],[Public Funding from DE (IPK)]]+Tabelle4[[#This Row],[Public Funding from BR (IPK)]]+Tabelle4[[#This Row],[In-kind Contribution (IPK)]]</f>
        <v>0</v>
      </c>
      <c r="BZ42" s="44">
        <f>Tabelle4[[#This Row],[Industry Funding from DE (IPK)]]+Tabelle4[[#This Row],[Industry Funding from BR (IPK)]]+Tabelle4[[#This Row],[Public Funding from DE (IPK)]]+Tabelle4[[#This Row],[Public Funding from BR (IPK)]]</f>
        <v>0</v>
      </c>
      <c r="CA42" s="44">
        <f>Tabelle4[[#This Row],[Industry Funding from DE (IPK)]]+Tabelle4[[#This Row],[Industry Funding from BR (IPK)]]</f>
        <v>0</v>
      </c>
      <c r="CB42" s="44">
        <f>Tabelle4[[#This Row],[Public Funding from DE (IPK)]]+Tabelle4[[#This Row],[Public Funding from BR (IPK)]]</f>
        <v>0</v>
      </c>
      <c r="CC42" s="44">
        <f>Tabelle4[[#This Row],[In-kind Contribution (IPK)]]</f>
        <v>0</v>
      </c>
      <c r="CD42" s="47" t="e">
        <f>(Tabelle4[[#This Row],[Total Industry Funding (IPK)]] + Tabelle4[[#This Row],[Total Public Funding (IPK)]])/Tabelle4[[#This Row],[Total Project Volume (IPK)]]</f>
        <v>#DIV/0!</v>
      </c>
      <c r="CE42" s="47" t="e">
        <f>Tabelle4[[#This Row],[Total Industry Funding (IPK)]] / Tabelle4[[#This Row],[Total Project Volume (IPK)]]</f>
        <v>#DIV/0!</v>
      </c>
      <c r="CF42" s="33" t="str">
        <f>Tabelle4[[#This Row],[Project Funding Classification]]</f>
        <v>Industry</v>
      </c>
      <c r="CG42" s="44">
        <f>Tabelle4[[#This Row],[Industry Funding from DE (IPK)]]+Tabelle4[[#This Row],[Public Funding from DE (IPK)]]</f>
        <v>0</v>
      </c>
      <c r="CH42" s="46">
        <f>Tabelle4[[#This Row],[Industry Funding from BR (IPK)]]+Tabelle4[[#This Row],[Public Funding from BR (IPK)]]</f>
        <v>0</v>
      </c>
      <c r="CI42" s="44">
        <f>Tabelle4[[#This Row],[Industry Funding from DE (ITA)]]+Tabelle4[[#This Row],[Industry Funding from BR (ITA)]]+Tabelle4[[#This Row],[Public Funding from DE (ITA)]]+Tabelle4[[#This Row],[Public Funding from BR (ITA)]]</f>
        <v>402358.49056603777</v>
      </c>
      <c r="CJ42" s="44">
        <f>Tabelle4[[#This Row],[Industry Funding from DE (ITA)]]+Tabelle4[[#This Row],[Industry Funding from BR (ITA)]]</f>
        <v>50943.396226415098</v>
      </c>
      <c r="CK42" s="44">
        <f>Tabelle4[[#This Row],[Public Funding from DE (ITA)]]+Tabelle4[[#This Row],[Public Funding from BR (ITA)]]</f>
        <v>351415.09433962265</v>
      </c>
      <c r="CL42" s="47">
        <f>Tabelle4[[#This Row],[Total Industry Funding (ITA)]]/Tabelle4[[#This Row],[Total Project Volume (ITA)]]</f>
        <v>0.12661195779601406</v>
      </c>
      <c r="CM42" s="33" t="str">
        <f>IF(Tabelle4[[#This Row],[Funding Ratio (ITA)]]&lt;0.5,"Public Funding","Industry")</f>
        <v>Public Funding</v>
      </c>
      <c r="CN42" s="44">
        <f>Tabelle4[[#This Row],[Industry Funding from DE (ITA)]]+Tabelle4[[#This Row],[Public Funding from DE (ITA)]]</f>
        <v>275000</v>
      </c>
      <c r="CO42" s="46">
        <f>Tabelle4[[#This Row],[Industry Funding from BR (ITA)]]+Tabelle4[[#This Row],[Public Funding from BR (ITA)]]</f>
        <v>127358.49056603774</v>
      </c>
      <c r="CP42" s="44">
        <f>Tabelle4[[#This Row],[Total Project Volume (IPK)]]+Tabelle4[[#This Row],[Total Project Volume (ITA)]]</f>
        <v>402358.49056603777</v>
      </c>
      <c r="CQ42" s="44">
        <f>Tabelle4[[#This Row],[Total Industry Funding (IPK)]]+Tabelle4[[#This Row],[Total Industry Funding (ITA)]]</f>
        <v>50943.396226415098</v>
      </c>
      <c r="CR42" s="44">
        <f>Tabelle4[[#This Row],[Industry Funding from DE (IPK)]]+Tabelle4[[#This Row],[Industry Funding from DE (ITA)]]</f>
        <v>0</v>
      </c>
      <c r="CS42" s="44">
        <f>Tabelle4[[#This Row],[Industry Funding from BR (IPK)]]+Tabelle4[[#This Row],[Industry Funding from BR (ITA)]]</f>
        <v>50943.396226415098</v>
      </c>
      <c r="CT42" s="44">
        <f>Tabelle4[[#This Row],[Total Public Funding (IPK)]]+Tabelle4[[#This Row],[Total Public Funding (ITA)]]</f>
        <v>351415.09433962265</v>
      </c>
      <c r="CU42" s="44">
        <f>Tabelle4[[#This Row],[Public Funding from DE (IPK)]]+Tabelle4[[#This Row],[Public Funding from DE (ITA)]]</f>
        <v>275000</v>
      </c>
      <c r="CV42" s="44">
        <f>Tabelle4[[#This Row],[Public Funding from BR (IPK)]]+Tabelle4[[#This Row],[Public Funding from BR (ITA)]]</f>
        <v>76415.09433962265</v>
      </c>
      <c r="CW42" s="44">
        <f>Tabelle4[[#This Row],[Industry Funding from DE (FPC)]]+Tabelle4[[#This Row],[Public Funding from DE (FPC)]]</f>
        <v>275000</v>
      </c>
      <c r="CX42" s="46">
        <f>Tabelle4[[#This Row],[Industry Funding from BR (FPC)]]+Tabelle4[[#This Row],[Public Funding from BR (FPC)]]</f>
        <v>127358.49056603774</v>
      </c>
      <c r="CY42" s="44">
        <f>Tabelle4[[#This Row],[Total Financial Budget (Other)]]+Tabelle4[[#This Row],[Total In-kind Contribution (Other)]]</f>
        <v>0</v>
      </c>
      <c r="CZ4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42" s="44">
        <f>Tabelle4[[#This Row],[In-kind Contribution (R&amp;D III)]]+Tabelle4[[#This Row],[In-kind Contribution (R&amp;D IV)]]</f>
        <v>0</v>
      </c>
      <c r="DB42" s="158">
        <f>Tabelle4[[#This Row],[Total Budget (FPC)]]+Tabelle4[[#This Row],[Total Volume (Other)]]</f>
        <v>402358.49056603777</v>
      </c>
      <c r="DC42" s="104">
        <f>Tabelle4[[#This Row],[Total Revenues (IPK)]]</f>
        <v>0</v>
      </c>
      <c r="DE42" s="44">
        <f>Tabelle4[[#This Row],[Total Revenues IPK]]*Tabelle4[[#This Row],[Probability of Success]]</f>
        <v>0</v>
      </c>
      <c r="DL42" s="44">
        <f>Tabelle4[[#This Row],[Real Budget IPK]]*Tabelle4[[#This Row],[Acquisition Factor OE810]]</f>
        <v>0</v>
      </c>
      <c r="DN42" s="46">
        <f>Tabelle4[[#This Row],[Acquisition Bonus OE810]]+Tabelle4[[#This Row],[Project Execution OE810]]</f>
        <v>0</v>
      </c>
    </row>
    <row r="43" spans="1:118" ht="41.65" x14ac:dyDescent="0.45">
      <c r="A43" s="42" t="s">
        <v>697</v>
      </c>
      <c r="B43" s="33" t="s">
        <v>698</v>
      </c>
      <c r="C43" s="33" t="s">
        <v>699</v>
      </c>
      <c r="D43" s="33" t="s">
        <v>709</v>
      </c>
      <c r="E43" s="33">
        <v>1</v>
      </c>
      <c r="F43" s="33">
        <v>1</v>
      </c>
      <c r="G43" s="33" t="s">
        <v>1</v>
      </c>
      <c r="H43" s="33" t="s">
        <v>0</v>
      </c>
      <c r="I43" s="33" t="s">
        <v>700</v>
      </c>
      <c r="J43" s="59">
        <v>44136</v>
      </c>
      <c r="K43" s="33" t="s">
        <v>244</v>
      </c>
      <c r="Q43" s="33">
        <v>1</v>
      </c>
      <c r="S43" s="59">
        <v>44136</v>
      </c>
      <c r="U43" s="59">
        <v>44166</v>
      </c>
      <c r="V43" s="59">
        <v>44642</v>
      </c>
      <c r="W43" s="59">
        <v>44726</v>
      </c>
      <c r="Z43" s="42" t="str">
        <f t="shared" si="10"/>
        <v>IPK</v>
      </c>
      <c r="AA43" s="33" t="s">
        <v>141</v>
      </c>
      <c r="AB43" s="104"/>
      <c r="AC43" s="104">
        <v>29000</v>
      </c>
      <c r="AD43" s="104"/>
      <c r="AE43" s="104"/>
      <c r="AF43" s="104"/>
      <c r="AG43" s="42" t="str">
        <f t="shared" si="11"/>
        <v>ITA</v>
      </c>
      <c r="AO43" s="42"/>
      <c r="AQ43" s="104"/>
      <c r="AR43" s="104"/>
      <c r="AS43" s="104"/>
      <c r="AT43" s="104"/>
      <c r="AU43" s="104"/>
      <c r="AV43" s="42"/>
      <c r="AX43" s="104"/>
      <c r="AY43" s="104"/>
      <c r="AZ43" s="104"/>
      <c r="BA43" s="104"/>
      <c r="BB43" s="104"/>
      <c r="BC43" s="42" t="s">
        <v>699</v>
      </c>
      <c r="BD43" s="33" t="s">
        <v>701</v>
      </c>
      <c r="BE43" s="104">
        <v>29000</v>
      </c>
      <c r="BF43" s="101"/>
      <c r="BI43" s="104"/>
      <c r="BJ43" s="101"/>
      <c r="BM43" s="104"/>
      <c r="BN43" s="101"/>
      <c r="BQ43" s="104"/>
      <c r="BR43" s="101"/>
      <c r="BS43" s="33" t="s">
        <v>424</v>
      </c>
      <c r="BU43" s="101"/>
      <c r="BX43" s="101"/>
      <c r="BY43" s="44">
        <f>Tabelle4[[#This Row],[Industry Funding from DE (IPK)]]+Tabelle4[[#This Row],[Industry Funding from BR (IPK)]]+Tabelle4[[#This Row],[Public Funding from DE (IPK)]]+Tabelle4[[#This Row],[Public Funding from BR (IPK)]]+Tabelle4[[#This Row],[In-kind Contribution (IPK)]]</f>
        <v>29000</v>
      </c>
      <c r="BZ43" s="44">
        <f>Tabelle4[[#This Row],[Industry Funding from DE (IPK)]]+Tabelle4[[#This Row],[Industry Funding from BR (IPK)]]+Tabelle4[[#This Row],[Public Funding from DE (IPK)]]+Tabelle4[[#This Row],[Public Funding from BR (IPK)]]</f>
        <v>29000</v>
      </c>
      <c r="CA43" s="44">
        <f>Tabelle4[[#This Row],[Industry Funding from DE (IPK)]]+Tabelle4[[#This Row],[Industry Funding from BR (IPK)]]</f>
        <v>29000</v>
      </c>
      <c r="CB43" s="44">
        <f>Tabelle4[[#This Row],[Public Funding from DE (IPK)]]+Tabelle4[[#This Row],[Public Funding from BR (IPK)]]</f>
        <v>0</v>
      </c>
      <c r="CC43" s="44">
        <f>Tabelle4[[#This Row],[In-kind Contribution (IPK)]]</f>
        <v>0</v>
      </c>
      <c r="CD43" s="47">
        <f>(Tabelle4[[#This Row],[Total Industry Funding (IPK)]] + Tabelle4[[#This Row],[Total Public Funding (IPK)]])/Tabelle4[[#This Row],[Total Project Volume (IPK)]]</f>
        <v>1</v>
      </c>
      <c r="CE43" s="47">
        <f>Tabelle4[[#This Row],[Total Industry Funding (IPK)]] / Tabelle4[[#This Row],[Total Project Volume (IPK)]]</f>
        <v>1</v>
      </c>
      <c r="CF43" s="33" t="str">
        <f>Tabelle4[[#This Row],[Project Funding Classification]]</f>
        <v>Industry</v>
      </c>
      <c r="CG43" s="44">
        <f>Tabelle4[[#This Row],[Industry Funding from DE (IPK)]]+Tabelle4[[#This Row],[Public Funding from DE (IPK)]]</f>
        <v>0</v>
      </c>
      <c r="CH43" s="46">
        <f>Tabelle4[[#This Row],[Industry Funding from BR (IPK)]]+Tabelle4[[#This Row],[Public Funding from BR (IPK)]]</f>
        <v>29000</v>
      </c>
      <c r="CI43" s="44">
        <f>Tabelle4[[#This Row],[Industry Funding from DE (ITA)]]+Tabelle4[[#This Row],[Industry Funding from BR (ITA)]]+Tabelle4[[#This Row],[Public Funding from DE (ITA)]]+Tabelle4[[#This Row],[Public Funding from BR (ITA)]]</f>
        <v>0</v>
      </c>
      <c r="CJ43" s="44">
        <f>Tabelle4[[#This Row],[Industry Funding from DE (ITA)]]+Tabelle4[[#This Row],[Industry Funding from BR (ITA)]]</f>
        <v>0</v>
      </c>
      <c r="CK43" s="44">
        <f>Tabelle4[[#This Row],[Public Funding from DE (ITA)]]+Tabelle4[[#This Row],[Public Funding from BR (ITA)]]</f>
        <v>0</v>
      </c>
      <c r="CL43" s="47" t="e">
        <f>Tabelle4[[#This Row],[Total Industry Funding (ITA)]]/Tabelle4[[#This Row],[Total Project Volume (ITA)]]</f>
        <v>#DIV/0!</v>
      </c>
      <c r="CM43" s="33" t="e">
        <f>IF(Tabelle4[[#This Row],[Funding Ratio (ITA)]]&lt;0.5,"Public Funding","Industry")</f>
        <v>#DIV/0!</v>
      </c>
      <c r="CN43" s="44">
        <f>Tabelle4[[#This Row],[Industry Funding from DE (ITA)]]+Tabelle4[[#This Row],[Public Funding from DE (ITA)]]</f>
        <v>0</v>
      </c>
      <c r="CO43" s="46">
        <f>Tabelle4[[#This Row],[Industry Funding from BR (ITA)]]+Tabelle4[[#This Row],[Public Funding from BR (ITA)]]</f>
        <v>0</v>
      </c>
      <c r="CP43" s="44">
        <f>Tabelle4[[#This Row],[Total Project Volume (IPK)]]+Tabelle4[[#This Row],[Total Project Volume (ITA)]]</f>
        <v>29000</v>
      </c>
      <c r="CQ43" s="44">
        <f>Tabelle4[[#This Row],[Total Industry Funding (IPK)]]+Tabelle4[[#This Row],[Total Industry Funding (ITA)]]</f>
        <v>29000</v>
      </c>
      <c r="CR43" s="44">
        <f>Tabelle4[[#This Row],[Industry Funding from DE (IPK)]]+Tabelle4[[#This Row],[Industry Funding from DE (ITA)]]</f>
        <v>0</v>
      </c>
      <c r="CS43" s="44">
        <f>Tabelle4[[#This Row],[Industry Funding from BR (IPK)]]+Tabelle4[[#This Row],[Industry Funding from BR (ITA)]]</f>
        <v>29000</v>
      </c>
      <c r="CT43" s="44">
        <f>Tabelle4[[#This Row],[Total Public Funding (IPK)]]+Tabelle4[[#This Row],[Total Public Funding (ITA)]]</f>
        <v>0</v>
      </c>
      <c r="CU43" s="44">
        <f>Tabelle4[[#This Row],[Public Funding from DE (IPK)]]+Tabelle4[[#This Row],[Public Funding from DE (ITA)]]</f>
        <v>0</v>
      </c>
      <c r="CV43" s="44">
        <f>Tabelle4[[#This Row],[Public Funding from BR (IPK)]]+Tabelle4[[#This Row],[Public Funding from BR (ITA)]]</f>
        <v>0</v>
      </c>
      <c r="CW43" s="44">
        <f>Tabelle4[[#This Row],[Industry Funding from DE (FPC)]]+Tabelle4[[#This Row],[Public Funding from DE (FPC)]]</f>
        <v>0</v>
      </c>
      <c r="CX43" s="46">
        <f>Tabelle4[[#This Row],[Industry Funding from BR (FPC)]]+Tabelle4[[#This Row],[Public Funding from BR (FPC)]]</f>
        <v>29000</v>
      </c>
      <c r="CY43" s="44">
        <f>Tabelle4[[#This Row],[Total Financial Budget (Other)]]+Tabelle4[[#This Row],[Total In-kind Contribution (Other)]]</f>
        <v>0</v>
      </c>
      <c r="CZ4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43" s="44">
        <f>Tabelle4[[#This Row],[In-kind Contribution (R&amp;D III)]]+Tabelle4[[#This Row],[In-kind Contribution (R&amp;D IV)]]</f>
        <v>0</v>
      </c>
      <c r="DB43" s="158">
        <f>Tabelle4[[#This Row],[Total Budget (FPC)]]+Tabelle4[[#This Row],[Total Volume (Other)]]</f>
        <v>29000</v>
      </c>
      <c r="DC43" s="104">
        <f>Tabelle4[[#This Row],[Total Revenues (IPK)]]</f>
        <v>29000</v>
      </c>
      <c r="DD43" s="47">
        <v>1</v>
      </c>
      <c r="DE43" s="44">
        <f>Tabelle4[[#This Row],[Total Revenues IPK]]*Tabelle4[[#This Row],[Probability of Success]]</f>
        <v>29000</v>
      </c>
      <c r="DK43" s="47">
        <v>0.2</v>
      </c>
      <c r="DL43" s="44">
        <f>Tabelle4[[#This Row],[Real Budget IPK]]*Tabelle4[[#This Row],[Acquisition Factor OE810]]</f>
        <v>5800</v>
      </c>
      <c r="DN43" s="46">
        <f>Tabelle4[[#This Row],[Acquisition Bonus OE810]]+Tabelle4[[#This Row],[Project Execution OE810]]</f>
        <v>5800</v>
      </c>
    </row>
    <row r="44" spans="1:118" ht="27.75" customHeight="1" x14ac:dyDescent="0.45">
      <c r="A44" s="42" t="s">
        <v>695</v>
      </c>
      <c r="C44" s="33" t="s">
        <v>696</v>
      </c>
      <c r="D44" s="33" t="s">
        <v>711</v>
      </c>
      <c r="E44" s="33">
        <v>1</v>
      </c>
      <c r="G44" s="33" t="s">
        <v>2</v>
      </c>
      <c r="H44" s="33" t="s">
        <v>0</v>
      </c>
      <c r="J44" s="59">
        <v>44138</v>
      </c>
      <c r="K44" s="33" t="s">
        <v>246</v>
      </c>
      <c r="L44" s="33" t="s">
        <v>309</v>
      </c>
      <c r="M44" s="144">
        <v>6.7</v>
      </c>
      <c r="N44" s="33" t="s">
        <v>644</v>
      </c>
      <c r="S44" s="59">
        <v>44138</v>
      </c>
      <c r="Y44" s="59">
        <v>44267</v>
      </c>
      <c r="Z44" s="42" t="str">
        <f t="shared" si="10"/>
        <v>IPK</v>
      </c>
      <c r="AB44" s="104"/>
      <c r="AC44" s="104"/>
      <c r="AD44" s="104"/>
      <c r="AE44" s="104"/>
      <c r="AF44" s="104"/>
      <c r="AG44" s="42" t="str">
        <f t="shared" si="11"/>
        <v>ITA</v>
      </c>
      <c r="AH44" s="33" t="s">
        <v>330</v>
      </c>
      <c r="AI44" s="33" t="s">
        <v>717</v>
      </c>
      <c r="AO44" s="42"/>
      <c r="AQ44" s="104"/>
      <c r="AR44" s="104"/>
      <c r="AS44" s="104"/>
      <c r="AT44" s="104"/>
      <c r="AU44" s="104"/>
      <c r="AV44" s="42"/>
      <c r="AX44" s="104"/>
      <c r="AY44" s="104"/>
      <c r="AZ44" s="104"/>
      <c r="BA44" s="104"/>
      <c r="BB44" s="104"/>
      <c r="BC44" s="42"/>
      <c r="BE44" s="104"/>
      <c r="BF44" s="101"/>
      <c r="BI44" s="104"/>
      <c r="BJ44" s="101"/>
      <c r="BM44" s="104"/>
      <c r="BN44" s="101"/>
      <c r="BQ44" s="104"/>
      <c r="BR44" s="101"/>
      <c r="BU44" s="101"/>
      <c r="BX44" s="101"/>
      <c r="BY44" s="44">
        <f>Tabelle4[[#This Row],[Industry Funding from DE (IPK)]]+Tabelle4[[#This Row],[Industry Funding from BR (IPK)]]+Tabelle4[[#This Row],[Public Funding from DE (IPK)]]+Tabelle4[[#This Row],[Public Funding from BR (IPK)]]+Tabelle4[[#This Row],[In-kind Contribution (IPK)]]</f>
        <v>0</v>
      </c>
      <c r="BZ44" s="44">
        <f>Tabelle4[[#This Row],[Industry Funding from DE (IPK)]]+Tabelle4[[#This Row],[Industry Funding from BR (IPK)]]+Tabelle4[[#This Row],[Public Funding from DE (IPK)]]+Tabelle4[[#This Row],[Public Funding from BR (IPK)]]</f>
        <v>0</v>
      </c>
      <c r="CA44" s="44">
        <f>Tabelle4[[#This Row],[Industry Funding from DE (IPK)]]+Tabelle4[[#This Row],[Industry Funding from BR (IPK)]]</f>
        <v>0</v>
      </c>
      <c r="CB44" s="44">
        <f>Tabelle4[[#This Row],[Public Funding from DE (IPK)]]+Tabelle4[[#This Row],[Public Funding from BR (IPK)]]</f>
        <v>0</v>
      </c>
      <c r="CC44" s="44">
        <f>Tabelle4[[#This Row],[In-kind Contribution (IPK)]]</f>
        <v>0</v>
      </c>
      <c r="CD44" s="47" t="e">
        <f>(Tabelle4[[#This Row],[Total Industry Funding (IPK)]] + Tabelle4[[#This Row],[Total Public Funding (IPK)]])/Tabelle4[[#This Row],[Total Project Volume (IPK)]]</f>
        <v>#DIV/0!</v>
      </c>
      <c r="CE44" s="47" t="e">
        <f>Tabelle4[[#This Row],[Total Industry Funding (IPK)]] / Tabelle4[[#This Row],[Total Project Volume (IPK)]]</f>
        <v>#DIV/0!</v>
      </c>
      <c r="CF44" s="33" t="str">
        <f>Tabelle4[[#This Row],[Project Funding Classification]]</f>
        <v>Industry</v>
      </c>
      <c r="CG44" s="44">
        <f>Tabelle4[[#This Row],[Industry Funding from DE (IPK)]]+Tabelle4[[#This Row],[Public Funding from DE (IPK)]]</f>
        <v>0</v>
      </c>
      <c r="CH44" s="46">
        <f>Tabelle4[[#This Row],[Industry Funding from BR (IPK)]]+Tabelle4[[#This Row],[Public Funding from BR (IPK)]]</f>
        <v>0</v>
      </c>
      <c r="CI44" s="44">
        <f>Tabelle4[[#This Row],[Industry Funding from DE (ITA)]]+Tabelle4[[#This Row],[Industry Funding from BR (ITA)]]+Tabelle4[[#This Row],[Public Funding from DE (ITA)]]+Tabelle4[[#This Row],[Public Funding from BR (ITA)]]</f>
        <v>0</v>
      </c>
      <c r="CJ44" s="44">
        <f>Tabelle4[[#This Row],[Industry Funding from DE (ITA)]]+Tabelle4[[#This Row],[Industry Funding from BR (ITA)]]</f>
        <v>0</v>
      </c>
      <c r="CK44" s="44">
        <f>Tabelle4[[#This Row],[Public Funding from DE (ITA)]]+Tabelle4[[#This Row],[Public Funding from BR (ITA)]]</f>
        <v>0</v>
      </c>
      <c r="CL44" s="47" t="e">
        <f>Tabelle4[[#This Row],[Total Industry Funding (ITA)]]/Tabelle4[[#This Row],[Total Project Volume (ITA)]]</f>
        <v>#DIV/0!</v>
      </c>
      <c r="CM44" s="33" t="e">
        <f>IF(Tabelle4[[#This Row],[Funding Ratio (ITA)]]&lt;0.5,"Public Funding","Industry")</f>
        <v>#DIV/0!</v>
      </c>
      <c r="CN44" s="44">
        <f>Tabelle4[[#This Row],[Industry Funding from DE (ITA)]]+Tabelle4[[#This Row],[Public Funding from DE (ITA)]]</f>
        <v>0</v>
      </c>
      <c r="CO44" s="46">
        <f>Tabelle4[[#This Row],[Industry Funding from BR (ITA)]]+Tabelle4[[#This Row],[Public Funding from BR (ITA)]]</f>
        <v>0</v>
      </c>
      <c r="CP44" s="44">
        <f>Tabelle4[[#This Row],[Total Project Volume (IPK)]]+Tabelle4[[#This Row],[Total Project Volume (ITA)]]</f>
        <v>0</v>
      </c>
      <c r="CQ44" s="44">
        <f>Tabelle4[[#This Row],[Total Industry Funding (IPK)]]+Tabelle4[[#This Row],[Total Industry Funding (ITA)]]</f>
        <v>0</v>
      </c>
      <c r="CR44" s="44">
        <f>Tabelle4[[#This Row],[Industry Funding from DE (IPK)]]+Tabelle4[[#This Row],[Industry Funding from DE (ITA)]]</f>
        <v>0</v>
      </c>
      <c r="CS44" s="44">
        <f>Tabelle4[[#This Row],[Industry Funding from BR (IPK)]]+Tabelle4[[#This Row],[Industry Funding from BR (ITA)]]</f>
        <v>0</v>
      </c>
      <c r="CT44" s="44">
        <f>Tabelle4[[#This Row],[Total Public Funding (IPK)]]+Tabelle4[[#This Row],[Total Public Funding (ITA)]]</f>
        <v>0</v>
      </c>
      <c r="CU44" s="44">
        <f>Tabelle4[[#This Row],[Public Funding from DE (IPK)]]+Tabelle4[[#This Row],[Public Funding from DE (ITA)]]</f>
        <v>0</v>
      </c>
      <c r="CV44" s="44">
        <f>Tabelle4[[#This Row],[Public Funding from BR (IPK)]]+Tabelle4[[#This Row],[Public Funding from BR (ITA)]]</f>
        <v>0</v>
      </c>
      <c r="CW44" s="44">
        <f>Tabelle4[[#This Row],[Industry Funding from DE (FPC)]]+Tabelle4[[#This Row],[Public Funding from DE (FPC)]]</f>
        <v>0</v>
      </c>
      <c r="CX44" s="46">
        <f>Tabelle4[[#This Row],[Industry Funding from BR (FPC)]]+Tabelle4[[#This Row],[Public Funding from BR (FPC)]]</f>
        <v>0</v>
      </c>
      <c r="CY44" s="44">
        <f>Tabelle4[[#This Row],[Total Financial Budget (Other)]]+Tabelle4[[#This Row],[Total In-kind Contribution (Other)]]</f>
        <v>0</v>
      </c>
      <c r="CZ4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44" s="44">
        <f>Tabelle4[[#This Row],[In-kind Contribution (R&amp;D III)]]+Tabelle4[[#This Row],[In-kind Contribution (R&amp;D IV)]]</f>
        <v>0</v>
      </c>
      <c r="DB44" s="158">
        <f>Tabelle4[[#This Row],[Total Budget (FPC)]]+Tabelle4[[#This Row],[Total Volume (Other)]]</f>
        <v>0</v>
      </c>
      <c r="DC44" s="104">
        <f>Tabelle4[[#This Row],[Total Revenues (IPK)]]</f>
        <v>0</v>
      </c>
      <c r="DE44" s="44">
        <f>Tabelle4[[#This Row],[Total Revenues IPK]]*Tabelle4[[#This Row],[Probability of Success]]</f>
        <v>0</v>
      </c>
      <c r="DL44" s="44">
        <f>Tabelle4[[#This Row],[Real Budget IPK]]*Tabelle4[[#This Row],[Acquisition Factor OE810]]</f>
        <v>0</v>
      </c>
      <c r="DN44" s="46">
        <f>Tabelle4[[#This Row],[Acquisition Bonus OE810]]+Tabelle4[[#This Row],[Project Execution OE810]]</f>
        <v>0</v>
      </c>
    </row>
    <row r="45" spans="1:118" ht="27.75" customHeight="1" x14ac:dyDescent="0.45">
      <c r="A45" s="42" t="s">
        <v>689</v>
      </c>
      <c r="B45" s="33" t="s">
        <v>688</v>
      </c>
      <c r="C45" s="33" t="s">
        <v>118</v>
      </c>
      <c r="D45" s="33" t="s">
        <v>709</v>
      </c>
      <c r="E45" s="33">
        <v>1</v>
      </c>
      <c r="F45" s="33">
        <v>1</v>
      </c>
      <c r="G45" s="33" t="s">
        <v>1</v>
      </c>
      <c r="H45" s="33" t="s">
        <v>0</v>
      </c>
      <c r="J45" s="59">
        <v>44105</v>
      </c>
      <c r="K45" s="33" t="s">
        <v>246</v>
      </c>
      <c r="P45" s="59">
        <v>44256</v>
      </c>
      <c r="Q45" s="33">
        <v>6</v>
      </c>
      <c r="T45" s="59">
        <v>44343</v>
      </c>
      <c r="U45" s="59">
        <v>44105</v>
      </c>
      <c r="Z45" s="42" t="str">
        <f t="shared" si="10"/>
        <v>IPK</v>
      </c>
      <c r="AA45" s="33" t="s">
        <v>141</v>
      </c>
      <c r="AB45" s="104"/>
      <c r="AC45" s="104">
        <v>231000</v>
      </c>
      <c r="AD45" s="104"/>
      <c r="AE45" s="104"/>
      <c r="AF45" s="104"/>
      <c r="AG45" s="42" t="str">
        <f t="shared" si="11"/>
        <v>ITA</v>
      </c>
      <c r="AO45" s="42"/>
      <c r="AQ45" s="104"/>
      <c r="AR45" s="104"/>
      <c r="AS45" s="104"/>
      <c r="AT45" s="104"/>
      <c r="AU45" s="104"/>
      <c r="AV45" s="42"/>
      <c r="AX45" s="104"/>
      <c r="AY45" s="104"/>
      <c r="AZ45" s="104"/>
      <c r="BA45" s="104"/>
      <c r="BB45" s="104"/>
      <c r="BC45" s="42" t="s">
        <v>118</v>
      </c>
      <c r="BD45" s="33" t="s">
        <v>690</v>
      </c>
      <c r="BE45" s="104">
        <v>231000</v>
      </c>
      <c r="BF45" s="101"/>
      <c r="BI45" s="104"/>
      <c r="BJ45" s="101"/>
      <c r="BM45" s="104"/>
      <c r="BN45" s="101"/>
      <c r="BQ45" s="104"/>
      <c r="BR45" s="101"/>
      <c r="BU45" s="101"/>
      <c r="BX45" s="101"/>
      <c r="BY45" s="44">
        <f>Tabelle4[[#This Row],[Industry Funding from DE (IPK)]]+Tabelle4[[#This Row],[Industry Funding from BR (IPK)]]+Tabelle4[[#This Row],[Public Funding from DE (IPK)]]+Tabelle4[[#This Row],[Public Funding from BR (IPK)]]+Tabelle4[[#This Row],[In-kind Contribution (IPK)]]</f>
        <v>231000</v>
      </c>
      <c r="BZ45" s="44">
        <f>Tabelle4[[#This Row],[Industry Funding from DE (IPK)]]+Tabelle4[[#This Row],[Industry Funding from BR (IPK)]]+Tabelle4[[#This Row],[Public Funding from DE (IPK)]]+Tabelle4[[#This Row],[Public Funding from BR (IPK)]]</f>
        <v>231000</v>
      </c>
      <c r="CA45" s="44">
        <f>Tabelle4[[#This Row],[Industry Funding from DE (IPK)]]+Tabelle4[[#This Row],[Industry Funding from BR (IPK)]]</f>
        <v>231000</v>
      </c>
      <c r="CB45" s="44">
        <f>Tabelle4[[#This Row],[Public Funding from DE (IPK)]]+Tabelle4[[#This Row],[Public Funding from BR (IPK)]]</f>
        <v>0</v>
      </c>
      <c r="CC45" s="44">
        <f>Tabelle4[[#This Row],[In-kind Contribution (IPK)]]</f>
        <v>0</v>
      </c>
      <c r="CD45" s="47">
        <f>(Tabelle4[[#This Row],[Total Industry Funding (IPK)]] + Tabelle4[[#This Row],[Total Public Funding (IPK)]])/Tabelle4[[#This Row],[Total Project Volume (IPK)]]</f>
        <v>1</v>
      </c>
      <c r="CE45" s="47">
        <f>Tabelle4[[#This Row],[Total Industry Funding (IPK)]] / Tabelle4[[#This Row],[Total Project Volume (IPK)]]</f>
        <v>1</v>
      </c>
      <c r="CF45" s="33" t="str">
        <f>Tabelle4[[#This Row],[Project Funding Classification]]</f>
        <v>Industry</v>
      </c>
      <c r="CG45" s="44">
        <f>Tabelle4[[#This Row],[Industry Funding from DE (IPK)]]+Tabelle4[[#This Row],[Public Funding from DE (IPK)]]</f>
        <v>0</v>
      </c>
      <c r="CH45" s="46">
        <f>Tabelle4[[#This Row],[Industry Funding from BR (IPK)]]+Tabelle4[[#This Row],[Public Funding from BR (IPK)]]</f>
        <v>231000</v>
      </c>
      <c r="CI45" s="44">
        <f>Tabelle4[[#This Row],[Industry Funding from DE (ITA)]]+Tabelle4[[#This Row],[Industry Funding from BR (ITA)]]+Tabelle4[[#This Row],[Public Funding from DE (ITA)]]+Tabelle4[[#This Row],[Public Funding from BR (ITA)]]</f>
        <v>0</v>
      </c>
      <c r="CJ45" s="44">
        <f>Tabelle4[[#This Row],[Industry Funding from DE (ITA)]]+Tabelle4[[#This Row],[Industry Funding from BR (ITA)]]</f>
        <v>0</v>
      </c>
      <c r="CK45" s="44">
        <f>Tabelle4[[#This Row],[Public Funding from DE (ITA)]]+Tabelle4[[#This Row],[Public Funding from BR (ITA)]]</f>
        <v>0</v>
      </c>
      <c r="CL45" s="47" t="e">
        <f>Tabelle4[[#This Row],[Total Industry Funding (ITA)]]/Tabelle4[[#This Row],[Total Project Volume (ITA)]]</f>
        <v>#DIV/0!</v>
      </c>
      <c r="CM45" s="33" t="e">
        <f>IF(Tabelle4[[#This Row],[Funding Ratio (ITA)]]&lt;0.5,"Public Funding","Industry")</f>
        <v>#DIV/0!</v>
      </c>
      <c r="CN45" s="44">
        <f>Tabelle4[[#This Row],[Industry Funding from DE (ITA)]]+Tabelle4[[#This Row],[Public Funding from DE (ITA)]]</f>
        <v>0</v>
      </c>
      <c r="CO45" s="46">
        <f>Tabelle4[[#This Row],[Industry Funding from BR (ITA)]]+Tabelle4[[#This Row],[Public Funding from BR (ITA)]]</f>
        <v>0</v>
      </c>
      <c r="CP45" s="44">
        <f>Tabelle4[[#This Row],[Total Project Volume (IPK)]]+Tabelle4[[#This Row],[Total Project Volume (ITA)]]</f>
        <v>231000</v>
      </c>
      <c r="CQ45" s="44">
        <f>Tabelle4[[#This Row],[Total Industry Funding (IPK)]]+Tabelle4[[#This Row],[Total Industry Funding (ITA)]]</f>
        <v>231000</v>
      </c>
      <c r="CR45" s="44">
        <f>Tabelle4[[#This Row],[Industry Funding from DE (IPK)]]+Tabelle4[[#This Row],[Industry Funding from DE (ITA)]]</f>
        <v>0</v>
      </c>
      <c r="CS45" s="44">
        <f>Tabelle4[[#This Row],[Industry Funding from BR (IPK)]]+Tabelle4[[#This Row],[Industry Funding from BR (ITA)]]</f>
        <v>231000</v>
      </c>
      <c r="CT45" s="44">
        <f>Tabelle4[[#This Row],[Total Public Funding (IPK)]]+Tabelle4[[#This Row],[Total Public Funding (ITA)]]</f>
        <v>0</v>
      </c>
      <c r="CU45" s="44">
        <f>Tabelle4[[#This Row],[Public Funding from DE (IPK)]]+Tabelle4[[#This Row],[Public Funding from DE (ITA)]]</f>
        <v>0</v>
      </c>
      <c r="CV45" s="44">
        <f>Tabelle4[[#This Row],[Public Funding from BR (IPK)]]+Tabelle4[[#This Row],[Public Funding from BR (ITA)]]</f>
        <v>0</v>
      </c>
      <c r="CW45" s="44">
        <f>Tabelle4[[#This Row],[Industry Funding from DE (FPC)]]+Tabelle4[[#This Row],[Public Funding from DE (FPC)]]</f>
        <v>0</v>
      </c>
      <c r="CX45" s="46">
        <f>Tabelle4[[#This Row],[Industry Funding from BR (FPC)]]+Tabelle4[[#This Row],[Public Funding from BR (FPC)]]</f>
        <v>231000</v>
      </c>
      <c r="CY45" s="44">
        <f>Tabelle4[[#This Row],[Total Financial Budget (Other)]]+Tabelle4[[#This Row],[Total In-kind Contribution (Other)]]</f>
        <v>0</v>
      </c>
      <c r="CZ4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45" s="44">
        <f>Tabelle4[[#This Row],[In-kind Contribution (R&amp;D III)]]+Tabelle4[[#This Row],[In-kind Contribution (R&amp;D IV)]]</f>
        <v>0</v>
      </c>
      <c r="DB45" s="158">
        <f>Tabelle4[[#This Row],[Total Budget (FPC)]]+Tabelle4[[#This Row],[Total Volume (Other)]]</f>
        <v>231000</v>
      </c>
      <c r="DC45" s="104">
        <f>Tabelle4[[#This Row],[Total Revenues (IPK)]]</f>
        <v>231000</v>
      </c>
      <c r="DD45" s="47">
        <v>0.1</v>
      </c>
      <c r="DE45" s="44">
        <f>Tabelle4[[#This Row],[Total Revenues IPK]]*Tabelle4[[#This Row],[Probability of Success]]</f>
        <v>23100</v>
      </c>
      <c r="DK45" s="47">
        <v>0.2</v>
      </c>
      <c r="DL45" s="44">
        <f>Tabelle4[[#This Row],[Real Budget IPK]]*Tabelle4[[#This Row],[Acquisition Factor OE810]]</f>
        <v>4620</v>
      </c>
      <c r="DM45" s="44">
        <v>0</v>
      </c>
      <c r="DN45" s="46">
        <f>Tabelle4[[#This Row],[Acquisition Bonus OE810]]+Tabelle4[[#This Row],[Project Execution OE810]]</f>
        <v>4620</v>
      </c>
    </row>
    <row r="46" spans="1:118" ht="27.75" customHeight="1" x14ac:dyDescent="0.45">
      <c r="A46" s="42" t="s">
        <v>686</v>
      </c>
      <c r="B46" s="33" t="s">
        <v>687</v>
      </c>
      <c r="C46" s="33" t="s">
        <v>757</v>
      </c>
      <c r="D46" s="33" t="s">
        <v>706</v>
      </c>
      <c r="E46" s="33">
        <v>2</v>
      </c>
      <c r="G46" s="33" t="s">
        <v>2</v>
      </c>
      <c r="H46" s="33" t="s">
        <v>0</v>
      </c>
      <c r="I46" s="33" t="s">
        <v>716</v>
      </c>
      <c r="J46" s="59">
        <v>44117</v>
      </c>
      <c r="K46" s="33" t="s">
        <v>244</v>
      </c>
      <c r="L46" s="33" t="s">
        <v>651</v>
      </c>
      <c r="M46" s="144">
        <v>6.38</v>
      </c>
      <c r="S46" s="59">
        <v>44032</v>
      </c>
      <c r="U46" s="59">
        <v>44095</v>
      </c>
      <c r="V46" s="59">
        <v>44212</v>
      </c>
      <c r="Z46" s="42" t="str">
        <f t="shared" ref="Z46:Z52" si="12">"IPK"</f>
        <v>IPK</v>
      </c>
      <c r="AB46" s="104"/>
      <c r="AC46" s="104"/>
      <c r="AD46" s="104"/>
      <c r="AE46" s="104"/>
      <c r="AF46" s="104"/>
      <c r="AG46" s="42" t="str">
        <f t="shared" ref="AG46:AG52" si="13">"ITA"</f>
        <v>ITA</v>
      </c>
      <c r="AH46" s="33" t="s">
        <v>728</v>
      </c>
      <c r="AI46" s="33" t="s">
        <v>728</v>
      </c>
      <c r="AK46" s="104">
        <f>(72945)/M46</f>
        <v>11433.385579937305</v>
      </c>
      <c r="AO46" s="42"/>
      <c r="AQ46" s="104"/>
      <c r="AR46" s="104"/>
      <c r="AS46" s="104"/>
      <c r="AT46" s="104"/>
      <c r="AU46" s="104"/>
      <c r="AV46" s="42"/>
      <c r="AX46" s="104"/>
      <c r="AY46" s="104"/>
      <c r="AZ46" s="104"/>
      <c r="BA46" s="104"/>
      <c r="BB46" s="104"/>
      <c r="BC46" s="42"/>
      <c r="BE46" s="104"/>
      <c r="BF46" s="101"/>
      <c r="BI46" s="104"/>
      <c r="BJ46" s="101"/>
      <c r="BM46" s="104"/>
      <c r="BN46" s="101"/>
      <c r="BQ46" s="104"/>
      <c r="BR46" s="101"/>
      <c r="BU46" s="101"/>
      <c r="BX46" s="101"/>
      <c r="BY46" s="44">
        <f>Tabelle4[[#This Row],[Industry Funding from DE (IPK)]]+Tabelle4[[#This Row],[Industry Funding from BR (IPK)]]+Tabelle4[[#This Row],[Public Funding from DE (IPK)]]+Tabelle4[[#This Row],[Public Funding from BR (IPK)]]+Tabelle4[[#This Row],[In-kind Contribution (IPK)]]</f>
        <v>0</v>
      </c>
      <c r="BZ46" s="44">
        <f>Tabelle4[[#This Row],[Industry Funding from DE (IPK)]]+Tabelle4[[#This Row],[Industry Funding from BR (IPK)]]+Tabelle4[[#This Row],[Public Funding from DE (IPK)]]+Tabelle4[[#This Row],[Public Funding from BR (IPK)]]</f>
        <v>0</v>
      </c>
      <c r="CA46" s="44">
        <f>Tabelle4[[#This Row],[Industry Funding from DE (IPK)]]+Tabelle4[[#This Row],[Industry Funding from BR (IPK)]]</f>
        <v>0</v>
      </c>
      <c r="CB46" s="44">
        <f>Tabelle4[[#This Row],[Public Funding from DE (IPK)]]+Tabelle4[[#This Row],[Public Funding from BR (IPK)]]</f>
        <v>0</v>
      </c>
      <c r="CC46" s="44">
        <f>Tabelle4[[#This Row],[In-kind Contribution (IPK)]]</f>
        <v>0</v>
      </c>
      <c r="CD46" s="47" t="e">
        <f>(Tabelle4[[#This Row],[Total Industry Funding (IPK)]] + Tabelle4[[#This Row],[Total Public Funding (IPK)]])/Tabelle4[[#This Row],[Total Project Volume (IPK)]]</f>
        <v>#DIV/0!</v>
      </c>
      <c r="CE46" s="47" t="e">
        <f>Tabelle4[[#This Row],[Total Industry Funding (IPK)]] / Tabelle4[[#This Row],[Total Project Volume (IPK)]]</f>
        <v>#DIV/0!</v>
      </c>
      <c r="CF46" s="33" t="str">
        <f>Tabelle4[[#This Row],[Project Funding Classification]]</f>
        <v>Industry</v>
      </c>
      <c r="CG46" s="44">
        <f>Tabelle4[[#This Row],[Industry Funding from DE (IPK)]]+Tabelle4[[#This Row],[Public Funding from DE (IPK)]]</f>
        <v>0</v>
      </c>
      <c r="CH46" s="46">
        <f>Tabelle4[[#This Row],[Industry Funding from BR (IPK)]]+Tabelle4[[#This Row],[Public Funding from BR (IPK)]]</f>
        <v>0</v>
      </c>
      <c r="CI46" s="44">
        <f>Tabelle4[[#This Row],[Industry Funding from DE (ITA)]]+Tabelle4[[#This Row],[Industry Funding from BR (ITA)]]+Tabelle4[[#This Row],[Public Funding from DE (ITA)]]+Tabelle4[[#This Row],[Public Funding from BR (ITA)]]</f>
        <v>11433.385579937305</v>
      </c>
      <c r="CJ46" s="44">
        <f>Tabelle4[[#This Row],[Industry Funding from DE (ITA)]]+Tabelle4[[#This Row],[Industry Funding from BR (ITA)]]</f>
        <v>11433.385579937305</v>
      </c>
      <c r="CK46" s="44">
        <f>Tabelle4[[#This Row],[Public Funding from DE (ITA)]]+Tabelle4[[#This Row],[Public Funding from BR (ITA)]]</f>
        <v>0</v>
      </c>
      <c r="CL46" s="47">
        <f>Tabelle4[[#This Row],[Total Industry Funding (ITA)]]/Tabelle4[[#This Row],[Total Project Volume (ITA)]]</f>
        <v>1</v>
      </c>
      <c r="CM46" s="33" t="str">
        <f>IF(Tabelle4[[#This Row],[Funding Ratio (ITA)]]&lt;0.5,"Public Funding","Industry")</f>
        <v>Industry</v>
      </c>
      <c r="CN46" s="44">
        <f>Tabelle4[[#This Row],[Industry Funding from DE (ITA)]]+Tabelle4[[#This Row],[Public Funding from DE (ITA)]]</f>
        <v>0</v>
      </c>
      <c r="CO46" s="46">
        <f>Tabelle4[[#This Row],[Industry Funding from BR (ITA)]]+Tabelle4[[#This Row],[Public Funding from BR (ITA)]]</f>
        <v>11433.385579937305</v>
      </c>
      <c r="CP46" s="44">
        <f>Tabelle4[[#This Row],[Total Project Volume (IPK)]]+Tabelle4[[#This Row],[Total Project Volume (ITA)]]</f>
        <v>11433.385579937305</v>
      </c>
      <c r="CQ46" s="44">
        <f>Tabelle4[[#This Row],[Total Industry Funding (IPK)]]+Tabelle4[[#This Row],[Total Industry Funding (ITA)]]</f>
        <v>11433.385579937305</v>
      </c>
      <c r="CR46" s="44">
        <f>Tabelle4[[#This Row],[Industry Funding from DE (IPK)]]+Tabelle4[[#This Row],[Industry Funding from DE (ITA)]]</f>
        <v>0</v>
      </c>
      <c r="CS46" s="44">
        <f>Tabelle4[[#This Row],[Industry Funding from BR (IPK)]]+Tabelle4[[#This Row],[Industry Funding from BR (ITA)]]</f>
        <v>11433.385579937305</v>
      </c>
      <c r="CT46" s="44">
        <f>Tabelle4[[#This Row],[Total Public Funding (IPK)]]+Tabelle4[[#This Row],[Total Public Funding (ITA)]]</f>
        <v>0</v>
      </c>
      <c r="CU46" s="44">
        <f>Tabelle4[[#This Row],[Public Funding from DE (IPK)]]+Tabelle4[[#This Row],[Public Funding from DE (ITA)]]</f>
        <v>0</v>
      </c>
      <c r="CV46" s="44">
        <f>Tabelle4[[#This Row],[Public Funding from BR (IPK)]]+Tabelle4[[#This Row],[Public Funding from BR (ITA)]]</f>
        <v>0</v>
      </c>
      <c r="CW46" s="44">
        <f>Tabelle4[[#This Row],[Industry Funding from DE (FPC)]]+Tabelle4[[#This Row],[Public Funding from DE (FPC)]]</f>
        <v>0</v>
      </c>
      <c r="CX46" s="46">
        <f>Tabelle4[[#This Row],[Industry Funding from BR (FPC)]]+Tabelle4[[#This Row],[Public Funding from BR (FPC)]]</f>
        <v>11433.385579937305</v>
      </c>
      <c r="CY46" s="44">
        <f>Tabelle4[[#This Row],[Total Financial Budget (Other)]]+Tabelle4[[#This Row],[Total In-kind Contribution (Other)]]</f>
        <v>0</v>
      </c>
      <c r="CZ4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46" s="44">
        <f>Tabelle4[[#This Row],[In-kind Contribution (R&amp;D III)]]+Tabelle4[[#This Row],[In-kind Contribution (R&amp;D IV)]]</f>
        <v>0</v>
      </c>
      <c r="DB46" s="158">
        <f>Tabelle4[[#This Row],[Total Budget (FPC)]]+Tabelle4[[#This Row],[Total Volume (Other)]]</f>
        <v>11433.385579937305</v>
      </c>
      <c r="DC46" s="104">
        <f>Tabelle4[[#This Row],[Total Revenues (IPK)]]</f>
        <v>0</v>
      </c>
      <c r="DE46" s="44">
        <f>Tabelle4[[#This Row],[Total Revenues IPK]]*Tabelle4[[#This Row],[Probability of Success]]</f>
        <v>0</v>
      </c>
      <c r="DL46" s="44">
        <f>Tabelle4[[#This Row],[Real Budget IPK]]*Tabelle4[[#This Row],[Acquisition Factor OE810]]</f>
        <v>0</v>
      </c>
      <c r="DN46" s="46">
        <f>Tabelle4[[#This Row],[Acquisition Bonus OE810]]+Tabelle4[[#This Row],[Project Execution OE810]]</f>
        <v>0</v>
      </c>
    </row>
    <row r="47" spans="1:118" ht="41.65" x14ac:dyDescent="0.45">
      <c r="A47" s="42" t="s">
        <v>684</v>
      </c>
      <c r="B47" s="33" t="s">
        <v>685</v>
      </c>
      <c r="C47" s="33" t="s">
        <v>545</v>
      </c>
      <c r="D47" s="33" t="s">
        <v>706</v>
      </c>
      <c r="G47" s="33" t="s">
        <v>2</v>
      </c>
      <c r="H47" s="33" t="s">
        <v>96</v>
      </c>
      <c r="J47" s="59">
        <v>44117</v>
      </c>
      <c r="K47" s="33" t="s">
        <v>243</v>
      </c>
      <c r="L47" s="33" t="s">
        <v>308</v>
      </c>
      <c r="U47" s="59">
        <v>44117</v>
      </c>
      <c r="V47" s="59">
        <v>44225</v>
      </c>
      <c r="Z47" s="42" t="str">
        <f t="shared" si="12"/>
        <v>IPK</v>
      </c>
      <c r="AB47" s="104"/>
      <c r="AC47" s="104"/>
      <c r="AD47" s="104"/>
      <c r="AE47" s="104"/>
      <c r="AF47" s="104"/>
      <c r="AG47" s="42" t="str">
        <f t="shared" si="13"/>
        <v>ITA</v>
      </c>
      <c r="AH47" s="33" t="s">
        <v>423</v>
      </c>
      <c r="AI47" s="33" t="s">
        <v>728</v>
      </c>
      <c r="AO47" s="42"/>
      <c r="AQ47" s="104"/>
      <c r="AR47" s="104"/>
      <c r="AS47" s="104"/>
      <c r="AT47" s="104"/>
      <c r="AU47" s="104"/>
      <c r="AV47" s="42"/>
      <c r="AX47" s="104"/>
      <c r="AY47" s="104"/>
      <c r="AZ47" s="104"/>
      <c r="BA47" s="104"/>
      <c r="BB47" s="104"/>
      <c r="BC47" s="42"/>
      <c r="BE47" s="104"/>
      <c r="BF47" s="101"/>
      <c r="BI47" s="104"/>
      <c r="BJ47" s="101"/>
      <c r="BM47" s="104"/>
      <c r="BN47" s="101"/>
      <c r="BQ47" s="104"/>
      <c r="BR47" s="101"/>
      <c r="BU47" s="101"/>
      <c r="BX47" s="101"/>
      <c r="BY47" s="44">
        <f>Tabelle4[[#This Row],[Industry Funding from DE (IPK)]]+Tabelle4[[#This Row],[Industry Funding from BR (IPK)]]+Tabelle4[[#This Row],[Public Funding from DE (IPK)]]+Tabelle4[[#This Row],[Public Funding from BR (IPK)]]+Tabelle4[[#This Row],[In-kind Contribution (IPK)]]</f>
        <v>0</v>
      </c>
      <c r="BZ47" s="44">
        <f>Tabelle4[[#This Row],[Industry Funding from DE (IPK)]]+Tabelle4[[#This Row],[Industry Funding from BR (IPK)]]+Tabelle4[[#This Row],[Public Funding from DE (IPK)]]+Tabelle4[[#This Row],[Public Funding from BR (IPK)]]</f>
        <v>0</v>
      </c>
      <c r="CA47" s="44">
        <f>Tabelle4[[#This Row],[Industry Funding from DE (IPK)]]+Tabelle4[[#This Row],[Industry Funding from BR (IPK)]]</f>
        <v>0</v>
      </c>
      <c r="CB47" s="44">
        <f>Tabelle4[[#This Row],[Public Funding from DE (IPK)]]+Tabelle4[[#This Row],[Public Funding from BR (IPK)]]</f>
        <v>0</v>
      </c>
      <c r="CC47" s="44">
        <f>Tabelle4[[#This Row],[In-kind Contribution (IPK)]]</f>
        <v>0</v>
      </c>
      <c r="CD47" s="47" t="e">
        <f>(Tabelle4[[#This Row],[Total Industry Funding (IPK)]] + Tabelle4[[#This Row],[Total Public Funding (IPK)]])/Tabelle4[[#This Row],[Total Project Volume (IPK)]]</f>
        <v>#DIV/0!</v>
      </c>
      <c r="CE47" s="47" t="e">
        <f>Tabelle4[[#This Row],[Total Industry Funding (IPK)]] / Tabelle4[[#This Row],[Total Project Volume (IPK)]]</f>
        <v>#DIV/0!</v>
      </c>
      <c r="CF47" s="33" t="str">
        <f>Tabelle4[[#This Row],[Project Funding Classification]]</f>
        <v>Public Funding</v>
      </c>
      <c r="CG47" s="44">
        <f>Tabelle4[[#This Row],[Industry Funding from DE (IPK)]]+Tabelle4[[#This Row],[Public Funding from DE (IPK)]]</f>
        <v>0</v>
      </c>
      <c r="CH47" s="46">
        <f>Tabelle4[[#This Row],[Industry Funding from BR (IPK)]]+Tabelle4[[#This Row],[Public Funding from BR (IPK)]]</f>
        <v>0</v>
      </c>
      <c r="CI47" s="44">
        <f>Tabelle4[[#This Row],[Industry Funding from DE (ITA)]]+Tabelle4[[#This Row],[Industry Funding from BR (ITA)]]+Tabelle4[[#This Row],[Public Funding from DE (ITA)]]+Tabelle4[[#This Row],[Public Funding from BR (ITA)]]</f>
        <v>0</v>
      </c>
      <c r="CJ47" s="44">
        <f>Tabelle4[[#This Row],[Industry Funding from DE (ITA)]]+Tabelle4[[#This Row],[Industry Funding from BR (ITA)]]</f>
        <v>0</v>
      </c>
      <c r="CK47" s="44">
        <f>Tabelle4[[#This Row],[Public Funding from DE (ITA)]]+Tabelle4[[#This Row],[Public Funding from BR (ITA)]]</f>
        <v>0</v>
      </c>
      <c r="CL47" s="47" t="e">
        <f>Tabelle4[[#This Row],[Total Industry Funding (ITA)]]/Tabelle4[[#This Row],[Total Project Volume (ITA)]]</f>
        <v>#DIV/0!</v>
      </c>
      <c r="CM47" s="33" t="e">
        <f>IF(Tabelle4[[#This Row],[Funding Ratio (ITA)]]&lt;0.5,"Public Funding","Industry")</f>
        <v>#DIV/0!</v>
      </c>
      <c r="CN47" s="44">
        <f>Tabelle4[[#This Row],[Industry Funding from DE (ITA)]]+Tabelle4[[#This Row],[Public Funding from DE (ITA)]]</f>
        <v>0</v>
      </c>
      <c r="CO47" s="46">
        <f>Tabelle4[[#This Row],[Industry Funding from BR (ITA)]]+Tabelle4[[#This Row],[Public Funding from BR (ITA)]]</f>
        <v>0</v>
      </c>
      <c r="CP47" s="44">
        <f>Tabelle4[[#This Row],[Total Project Volume (IPK)]]+Tabelle4[[#This Row],[Total Project Volume (ITA)]]</f>
        <v>0</v>
      </c>
      <c r="CQ47" s="44">
        <f>Tabelle4[[#This Row],[Total Industry Funding (IPK)]]+Tabelle4[[#This Row],[Total Industry Funding (ITA)]]</f>
        <v>0</v>
      </c>
      <c r="CR47" s="44">
        <f>Tabelle4[[#This Row],[Industry Funding from DE (IPK)]]+Tabelle4[[#This Row],[Industry Funding from DE (ITA)]]</f>
        <v>0</v>
      </c>
      <c r="CS47" s="44">
        <f>Tabelle4[[#This Row],[Industry Funding from BR (IPK)]]+Tabelle4[[#This Row],[Industry Funding from BR (ITA)]]</f>
        <v>0</v>
      </c>
      <c r="CT47" s="44">
        <f>Tabelle4[[#This Row],[Total Public Funding (IPK)]]+Tabelle4[[#This Row],[Total Public Funding (ITA)]]</f>
        <v>0</v>
      </c>
      <c r="CU47" s="44">
        <f>Tabelle4[[#This Row],[Public Funding from DE (IPK)]]+Tabelle4[[#This Row],[Public Funding from DE (ITA)]]</f>
        <v>0</v>
      </c>
      <c r="CV47" s="44">
        <f>Tabelle4[[#This Row],[Public Funding from BR (IPK)]]+Tabelle4[[#This Row],[Public Funding from BR (ITA)]]</f>
        <v>0</v>
      </c>
      <c r="CW47" s="44">
        <f>Tabelle4[[#This Row],[Industry Funding from DE (FPC)]]+Tabelle4[[#This Row],[Public Funding from DE (FPC)]]</f>
        <v>0</v>
      </c>
      <c r="CX47" s="46">
        <f>Tabelle4[[#This Row],[Industry Funding from BR (FPC)]]+Tabelle4[[#This Row],[Public Funding from BR (FPC)]]</f>
        <v>0</v>
      </c>
      <c r="CY47" s="44">
        <f>Tabelle4[[#This Row],[Total Financial Budget (Other)]]+Tabelle4[[#This Row],[Total In-kind Contribution (Other)]]</f>
        <v>0</v>
      </c>
      <c r="CZ4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47" s="44">
        <f>Tabelle4[[#This Row],[In-kind Contribution (R&amp;D III)]]+Tabelle4[[#This Row],[In-kind Contribution (R&amp;D IV)]]</f>
        <v>0</v>
      </c>
      <c r="DB47" s="158">
        <f>Tabelle4[[#This Row],[Total Budget (FPC)]]+Tabelle4[[#This Row],[Total Volume (Other)]]</f>
        <v>0</v>
      </c>
      <c r="DC47" s="104">
        <f>Tabelle4[[#This Row],[Total Revenues (IPK)]]</f>
        <v>0</v>
      </c>
      <c r="DE47" s="44">
        <f>Tabelle4[[#This Row],[Total Revenues IPK]]*Tabelle4[[#This Row],[Probability of Success]]</f>
        <v>0</v>
      </c>
      <c r="DL47" s="44">
        <f>Tabelle4[[#This Row],[Real Budget IPK]]*Tabelle4[[#This Row],[Acquisition Factor OE810]]</f>
        <v>0</v>
      </c>
      <c r="DN47" s="46">
        <f>Tabelle4[[#This Row],[Acquisition Bonus OE810]]+Tabelle4[[#This Row],[Project Execution OE810]]</f>
        <v>0</v>
      </c>
    </row>
    <row r="48" spans="1:118" ht="27.75" customHeight="1" x14ac:dyDescent="0.45">
      <c r="A48" s="42" t="s">
        <v>681</v>
      </c>
      <c r="C48" s="33" t="s">
        <v>682</v>
      </c>
      <c r="D48" s="33" t="s">
        <v>711</v>
      </c>
      <c r="G48" s="33" t="s">
        <v>2</v>
      </c>
      <c r="H48" s="33" t="s">
        <v>0</v>
      </c>
      <c r="J48" s="59">
        <v>44076</v>
      </c>
      <c r="K48" s="33" t="s">
        <v>246</v>
      </c>
      <c r="L48" s="33" t="s">
        <v>309</v>
      </c>
      <c r="S48" s="59">
        <v>44117</v>
      </c>
      <c r="Y48" s="59">
        <v>44181</v>
      </c>
      <c r="Z48" s="42" t="str">
        <f t="shared" si="12"/>
        <v>IPK</v>
      </c>
      <c r="AB48" s="104"/>
      <c r="AC48" s="104"/>
      <c r="AD48" s="104"/>
      <c r="AE48" s="104"/>
      <c r="AF48" s="104"/>
      <c r="AG48" s="42" t="str">
        <f t="shared" si="13"/>
        <v>ITA</v>
      </c>
      <c r="AH48" s="33" t="s">
        <v>728</v>
      </c>
      <c r="AI48" s="33" t="s">
        <v>728</v>
      </c>
      <c r="AO48" s="42"/>
      <c r="AQ48" s="104"/>
      <c r="AR48" s="104"/>
      <c r="AS48" s="104"/>
      <c r="AT48" s="104"/>
      <c r="AU48" s="104"/>
      <c r="AV48" s="42"/>
      <c r="AX48" s="104"/>
      <c r="AY48" s="104"/>
      <c r="AZ48" s="104"/>
      <c r="BA48" s="104"/>
      <c r="BB48" s="104"/>
      <c r="BC48" s="42"/>
      <c r="BE48" s="104"/>
      <c r="BF48" s="101"/>
      <c r="BI48" s="104"/>
      <c r="BJ48" s="101"/>
      <c r="BM48" s="104"/>
      <c r="BN48" s="101"/>
      <c r="BQ48" s="104"/>
      <c r="BR48" s="101"/>
      <c r="BU48" s="101"/>
      <c r="BX48" s="101"/>
      <c r="BY48" s="44">
        <f>Tabelle4[[#This Row],[Industry Funding from DE (IPK)]]+Tabelle4[[#This Row],[Industry Funding from BR (IPK)]]+Tabelle4[[#This Row],[Public Funding from DE (IPK)]]+Tabelle4[[#This Row],[Public Funding from BR (IPK)]]+Tabelle4[[#This Row],[In-kind Contribution (IPK)]]</f>
        <v>0</v>
      </c>
      <c r="BZ48" s="44">
        <f>Tabelle4[[#This Row],[Industry Funding from DE (IPK)]]+Tabelle4[[#This Row],[Industry Funding from BR (IPK)]]+Tabelle4[[#This Row],[Public Funding from DE (IPK)]]+Tabelle4[[#This Row],[Public Funding from BR (IPK)]]</f>
        <v>0</v>
      </c>
      <c r="CA48" s="44">
        <f>Tabelle4[[#This Row],[Industry Funding from DE (IPK)]]+Tabelle4[[#This Row],[Industry Funding from BR (IPK)]]</f>
        <v>0</v>
      </c>
      <c r="CB48" s="44">
        <f>Tabelle4[[#This Row],[Public Funding from DE (IPK)]]+Tabelle4[[#This Row],[Public Funding from BR (IPK)]]</f>
        <v>0</v>
      </c>
      <c r="CC48" s="44">
        <f>Tabelle4[[#This Row],[In-kind Contribution (IPK)]]</f>
        <v>0</v>
      </c>
      <c r="CD48" s="47" t="e">
        <f>(Tabelle4[[#This Row],[Total Industry Funding (IPK)]] + Tabelle4[[#This Row],[Total Public Funding (IPK)]])/Tabelle4[[#This Row],[Total Project Volume (IPK)]]</f>
        <v>#DIV/0!</v>
      </c>
      <c r="CE48" s="47" t="e">
        <f>Tabelle4[[#This Row],[Total Industry Funding (IPK)]] / Tabelle4[[#This Row],[Total Project Volume (IPK)]]</f>
        <v>#DIV/0!</v>
      </c>
      <c r="CF48" s="33" t="str">
        <f>Tabelle4[[#This Row],[Project Funding Classification]]</f>
        <v>Industry</v>
      </c>
      <c r="CG48" s="44">
        <f>Tabelle4[[#This Row],[Industry Funding from DE (IPK)]]+Tabelle4[[#This Row],[Public Funding from DE (IPK)]]</f>
        <v>0</v>
      </c>
      <c r="CH48" s="46">
        <f>Tabelle4[[#This Row],[Industry Funding from BR (IPK)]]+Tabelle4[[#This Row],[Public Funding from BR (IPK)]]</f>
        <v>0</v>
      </c>
      <c r="CI48" s="44">
        <f>Tabelle4[[#This Row],[Industry Funding from DE (ITA)]]+Tabelle4[[#This Row],[Industry Funding from BR (ITA)]]+Tabelle4[[#This Row],[Public Funding from DE (ITA)]]+Tabelle4[[#This Row],[Public Funding from BR (ITA)]]</f>
        <v>0</v>
      </c>
      <c r="CJ48" s="44">
        <f>Tabelle4[[#This Row],[Industry Funding from DE (ITA)]]+Tabelle4[[#This Row],[Industry Funding from BR (ITA)]]</f>
        <v>0</v>
      </c>
      <c r="CK48" s="44">
        <f>Tabelle4[[#This Row],[Public Funding from DE (ITA)]]+Tabelle4[[#This Row],[Public Funding from BR (ITA)]]</f>
        <v>0</v>
      </c>
      <c r="CL48" s="47" t="e">
        <f>Tabelle4[[#This Row],[Total Industry Funding (ITA)]]/Tabelle4[[#This Row],[Total Project Volume (ITA)]]</f>
        <v>#DIV/0!</v>
      </c>
      <c r="CM48" s="33" t="e">
        <f>IF(Tabelle4[[#This Row],[Funding Ratio (ITA)]]&lt;0.5,"Public Funding","Industry")</f>
        <v>#DIV/0!</v>
      </c>
      <c r="CN48" s="44">
        <f>Tabelle4[[#This Row],[Industry Funding from DE (ITA)]]+Tabelle4[[#This Row],[Public Funding from DE (ITA)]]</f>
        <v>0</v>
      </c>
      <c r="CO48" s="46">
        <f>Tabelle4[[#This Row],[Industry Funding from BR (ITA)]]+Tabelle4[[#This Row],[Public Funding from BR (ITA)]]</f>
        <v>0</v>
      </c>
      <c r="CP48" s="44">
        <f>Tabelle4[[#This Row],[Total Project Volume (IPK)]]+Tabelle4[[#This Row],[Total Project Volume (ITA)]]</f>
        <v>0</v>
      </c>
      <c r="CQ48" s="44">
        <f>Tabelle4[[#This Row],[Total Industry Funding (IPK)]]+Tabelle4[[#This Row],[Total Industry Funding (ITA)]]</f>
        <v>0</v>
      </c>
      <c r="CR48" s="44">
        <f>Tabelle4[[#This Row],[Industry Funding from DE (IPK)]]+Tabelle4[[#This Row],[Industry Funding from DE (ITA)]]</f>
        <v>0</v>
      </c>
      <c r="CS48" s="44">
        <f>Tabelle4[[#This Row],[Industry Funding from BR (IPK)]]+Tabelle4[[#This Row],[Industry Funding from BR (ITA)]]</f>
        <v>0</v>
      </c>
      <c r="CT48" s="44">
        <f>Tabelle4[[#This Row],[Total Public Funding (IPK)]]+Tabelle4[[#This Row],[Total Public Funding (ITA)]]</f>
        <v>0</v>
      </c>
      <c r="CU48" s="44">
        <f>Tabelle4[[#This Row],[Public Funding from DE (IPK)]]+Tabelle4[[#This Row],[Public Funding from DE (ITA)]]</f>
        <v>0</v>
      </c>
      <c r="CV48" s="44">
        <f>Tabelle4[[#This Row],[Public Funding from BR (IPK)]]+Tabelle4[[#This Row],[Public Funding from BR (ITA)]]</f>
        <v>0</v>
      </c>
      <c r="CW48" s="44">
        <f>Tabelle4[[#This Row],[Industry Funding from DE (FPC)]]+Tabelle4[[#This Row],[Public Funding from DE (FPC)]]</f>
        <v>0</v>
      </c>
      <c r="CX48" s="46">
        <f>Tabelle4[[#This Row],[Industry Funding from BR (FPC)]]+Tabelle4[[#This Row],[Public Funding from BR (FPC)]]</f>
        <v>0</v>
      </c>
      <c r="CY48" s="44">
        <f>Tabelle4[[#This Row],[Total Financial Budget (Other)]]+Tabelle4[[#This Row],[Total In-kind Contribution (Other)]]</f>
        <v>0</v>
      </c>
      <c r="CZ4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48" s="44">
        <f>Tabelle4[[#This Row],[In-kind Contribution (R&amp;D III)]]+Tabelle4[[#This Row],[In-kind Contribution (R&amp;D IV)]]</f>
        <v>0</v>
      </c>
      <c r="DB48" s="158">
        <f>Tabelle4[[#This Row],[Total Budget (FPC)]]+Tabelle4[[#This Row],[Total Volume (Other)]]</f>
        <v>0</v>
      </c>
      <c r="DC48" s="104">
        <f>Tabelle4[[#This Row],[Total Revenues (IPK)]]</f>
        <v>0</v>
      </c>
      <c r="DE48" s="44">
        <f>Tabelle4[[#This Row],[Total Revenues IPK]]*Tabelle4[[#This Row],[Probability of Success]]</f>
        <v>0</v>
      </c>
      <c r="DL48" s="44">
        <f>Tabelle4[[#This Row],[Real Budget IPK]]*Tabelle4[[#This Row],[Acquisition Factor OE810]]</f>
        <v>0</v>
      </c>
      <c r="DN48" s="46">
        <f>Tabelle4[[#This Row],[Acquisition Bonus OE810]]+Tabelle4[[#This Row],[Project Execution OE810]]</f>
        <v>0</v>
      </c>
    </row>
    <row r="49" spans="1:118" ht="27.75" customHeight="1" x14ac:dyDescent="0.45">
      <c r="A49" s="42" t="s">
        <v>692</v>
      </c>
      <c r="B49" s="33" t="s">
        <v>839</v>
      </c>
      <c r="C49" s="33" t="s">
        <v>693</v>
      </c>
      <c r="D49" s="33" t="s">
        <v>709</v>
      </c>
      <c r="E49" s="33">
        <v>2</v>
      </c>
      <c r="F49" s="33">
        <v>0</v>
      </c>
      <c r="G49" s="33" t="s">
        <v>2</v>
      </c>
      <c r="H49" s="33" t="s">
        <v>0</v>
      </c>
      <c r="I49" s="33" t="s">
        <v>763</v>
      </c>
      <c r="J49" s="59">
        <v>44117</v>
      </c>
      <c r="K49" s="33" t="s">
        <v>242</v>
      </c>
      <c r="L49" s="33" t="s">
        <v>307</v>
      </c>
      <c r="M49" s="144">
        <v>6.7</v>
      </c>
      <c r="N49" s="33" t="s">
        <v>667</v>
      </c>
      <c r="S49" s="59">
        <v>44117</v>
      </c>
      <c r="U49" s="59">
        <v>44138</v>
      </c>
      <c r="Z49" s="42" t="str">
        <f t="shared" si="12"/>
        <v>IPK</v>
      </c>
      <c r="AB49" s="104"/>
      <c r="AC49" s="104"/>
      <c r="AD49" s="104"/>
      <c r="AE49" s="104"/>
      <c r="AF49" s="104"/>
      <c r="AG49" s="42" t="str">
        <f t="shared" si="13"/>
        <v>ITA</v>
      </c>
      <c r="AH49" s="33" t="s">
        <v>337</v>
      </c>
      <c r="AI49" s="33" t="s">
        <v>438</v>
      </c>
      <c r="AK49" s="104">
        <f>1152000/M49</f>
        <v>171940.29850746269</v>
      </c>
      <c r="AM49" s="104">
        <f>960000/M49</f>
        <v>143283.58208955225</v>
      </c>
      <c r="AO49" s="42"/>
      <c r="AQ49" s="104"/>
      <c r="AR49" s="104"/>
      <c r="AS49" s="104"/>
      <c r="AT49" s="104"/>
      <c r="AU49" s="104"/>
      <c r="AV49" s="42"/>
      <c r="AX49" s="104"/>
      <c r="AY49" s="104"/>
      <c r="AZ49" s="104"/>
      <c r="BA49" s="104"/>
      <c r="BB49" s="104"/>
      <c r="BC49" s="42" t="s">
        <v>764</v>
      </c>
      <c r="BE49" s="104">
        <f>Tabelle4[[#This Row],[Industry Funding from BR (ITA)]]</f>
        <v>171940.29850746269</v>
      </c>
      <c r="BF49" s="101"/>
      <c r="BI49" s="104"/>
      <c r="BJ49" s="101"/>
      <c r="BM49" s="104"/>
      <c r="BN49" s="101"/>
      <c r="BQ49" s="104"/>
      <c r="BR49" s="101"/>
      <c r="BS49" s="33" t="s">
        <v>749</v>
      </c>
      <c r="BU49" s="101">
        <f>Tabelle4[[#This Row],[Public Funding from BR (ITA)]]</f>
        <v>143283.58208955225</v>
      </c>
      <c r="BX49" s="101"/>
      <c r="BY49" s="44">
        <f>Tabelle4[[#This Row],[Industry Funding from DE (IPK)]]+Tabelle4[[#This Row],[Industry Funding from BR (IPK)]]+Tabelle4[[#This Row],[Public Funding from DE (IPK)]]+Tabelle4[[#This Row],[Public Funding from BR (IPK)]]+Tabelle4[[#This Row],[In-kind Contribution (IPK)]]</f>
        <v>0</v>
      </c>
      <c r="BZ49" s="44">
        <f>Tabelle4[[#This Row],[Industry Funding from DE (IPK)]]+Tabelle4[[#This Row],[Industry Funding from BR (IPK)]]+Tabelle4[[#This Row],[Public Funding from DE (IPK)]]+Tabelle4[[#This Row],[Public Funding from BR (IPK)]]</f>
        <v>0</v>
      </c>
      <c r="CA49" s="44">
        <f>Tabelle4[[#This Row],[Industry Funding from DE (IPK)]]+Tabelle4[[#This Row],[Industry Funding from BR (IPK)]]</f>
        <v>0</v>
      </c>
      <c r="CB49" s="44">
        <f>Tabelle4[[#This Row],[Public Funding from DE (IPK)]]+Tabelle4[[#This Row],[Public Funding from BR (IPK)]]</f>
        <v>0</v>
      </c>
      <c r="CC49" s="44">
        <f>Tabelle4[[#This Row],[In-kind Contribution (IPK)]]</f>
        <v>0</v>
      </c>
      <c r="CD49" s="47" t="e">
        <f>(Tabelle4[[#This Row],[Total Industry Funding (IPK)]] + Tabelle4[[#This Row],[Total Public Funding (IPK)]])/Tabelle4[[#This Row],[Total Project Volume (IPK)]]</f>
        <v>#DIV/0!</v>
      </c>
      <c r="CE49" s="47" t="e">
        <f>Tabelle4[[#This Row],[Total Industry Funding (IPK)]] / Tabelle4[[#This Row],[Total Project Volume (IPK)]]</f>
        <v>#DIV/0!</v>
      </c>
      <c r="CF49" s="33" t="str">
        <f>Tabelle4[[#This Row],[Project Funding Classification]]</f>
        <v>Industry</v>
      </c>
      <c r="CG49" s="44">
        <f>Tabelle4[[#This Row],[Industry Funding from DE (IPK)]]+Tabelle4[[#This Row],[Public Funding from DE (IPK)]]</f>
        <v>0</v>
      </c>
      <c r="CH49" s="46">
        <f>Tabelle4[[#This Row],[Industry Funding from BR (IPK)]]+Tabelle4[[#This Row],[Public Funding from BR (IPK)]]</f>
        <v>0</v>
      </c>
      <c r="CI49" s="44">
        <f>Tabelle4[[#This Row],[Industry Funding from DE (ITA)]]+Tabelle4[[#This Row],[Industry Funding from BR (ITA)]]+Tabelle4[[#This Row],[Public Funding from DE (ITA)]]+Tabelle4[[#This Row],[Public Funding from BR (ITA)]]</f>
        <v>315223.88059701491</v>
      </c>
      <c r="CJ49" s="44">
        <f>Tabelle4[[#This Row],[Industry Funding from DE (ITA)]]+Tabelle4[[#This Row],[Industry Funding from BR (ITA)]]</f>
        <v>171940.29850746269</v>
      </c>
      <c r="CK49" s="44">
        <f>Tabelle4[[#This Row],[Public Funding from DE (ITA)]]+Tabelle4[[#This Row],[Public Funding from BR (ITA)]]</f>
        <v>143283.58208955225</v>
      </c>
      <c r="CL49" s="47">
        <f>Tabelle4[[#This Row],[Total Industry Funding (ITA)]]/Tabelle4[[#This Row],[Total Project Volume (ITA)]]</f>
        <v>0.54545454545454553</v>
      </c>
      <c r="CM49" s="33" t="str">
        <f>IF(Tabelle4[[#This Row],[Funding Ratio (ITA)]]&lt;0.5,"Public Funding","Industry")</f>
        <v>Industry</v>
      </c>
      <c r="CN49" s="44">
        <f>Tabelle4[[#This Row],[Industry Funding from DE (ITA)]]+Tabelle4[[#This Row],[Public Funding from DE (ITA)]]</f>
        <v>0</v>
      </c>
      <c r="CO49" s="46">
        <f>Tabelle4[[#This Row],[Industry Funding from BR (ITA)]]+Tabelle4[[#This Row],[Public Funding from BR (ITA)]]</f>
        <v>315223.88059701491</v>
      </c>
      <c r="CP49" s="44">
        <f>Tabelle4[[#This Row],[Total Project Volume (IPK)]]+Tabelle4[[#This Row],[Total Project Volume (ITA)]]</f>
        <v>315223.88059701491</v>
      </c>
      <c r="CQ49" s="44">
        <f>Tabelle4[[#This Row],[Total Industry Funding (IPK)]]+Tabelle4[[#This Row],[Total Industry Funding (ITA)]]</f>
        <v>171940.29850746269</v>
      </c>
      <c r="CR49" s="44">
        <f>Tabelle4[[#This Row],[Industry Funding from DE (IPK)]]+Tabelle4[[#This Row],[Industry Funding from DE (ITA)]]</f>
        <v>0</v>
      </c>
      <c r="CS49" s="44">
        <f>Tabelle4[[#This Row],[Industry Funding from BR (IPK)]]+Tabelle4[[#This Row],[Industry Funding from BR (ITA)]]</f>
        <v>171940.29850746269</v>
      </c>
      <c r="CT49" s="44">
        <f>Tabelle4[[#This Row],[Total Public Funding (IPK)]]+Tabelle4[[#This Row],[Total Public Funding (ITA)]]</f>
        <v>143283.58208955225</v>
      </c>
      <c r="CU49" s="44">
        <f>Tabelle4[[#This Row],[Public Funding from DE (IPK)]]+Tabelle4[[#This Row],[Public Funding from DE (ITA)]]</f>
        <v>0</v>
      </c>
      <c r="CV49" s="44">
        <f>Tabelle4[[#This Row],[Public Funding from BR (IPK)]]+Tabelle4[[#This Row],[Public Funding from BR (ITA)]]</f>
        <v>143283.58208955225</v>
      </c>
      <c r="CW49" s="44">
        <f>Tabelle4[[#This Row],[Industry Funding from DE (FPC)]]+Tabelle4[[#This Row],[Public Funding from DE (FPC)]]</f>
        <v>0</v>
      </c>
      <c r="CX49" s="46">
        <f>Tabelle4[[#This Row],[Industry Funding from BR (FPC)]]+Tabelle4[[#This Row],[Public Funding from BR (FPC)]]</f>
        <v>315223.88059701491</v>
      </c>
      <c r="CY49" s="44">
        <f>Tabelle4[[#This Row],[Total Financial Budget (Other)]]+Tabelle4[[#This Row],[Total In-kind Contribution (Other)]]</f>
        <v>0</v>
      </c>
      <c r="CZ4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49" s="44">
        <f>Tabelle4[[#This Row],[In-kind Contribution (R&amp;D III)]]+Tabelle4[[#This Row],[In-kind Contribution (R&amp;D IV)]]</f>
        <v>0</v>
      </c>
      <c r="DB49" s="158">
        <f>Tabelle4[[#This Row],[Total Budget (FPC)]]+Tabelle4[[#This Row],[Total Volume (Other)]]</f>
        <v>315223.88059701491</v>
      </c>
      <c r="DC49" s="104">
        <f>Tabelle4[[#This Row],[Total Revenues (IPK)]]</f>
        <v>0</v>
      </c>
      <c r="DE49" s="44">
        <f>Tabelle4[[#This Row],[Total Revenues IPK]]*Tabelle4[[#This Row],[Probability of Success]]</f>
        <v>0</v>
      </c>
      <c r="DL49" s="44">
        <f>Tabelle4[[#This Row],[Real Budget IPK]]*Tabelle4[[#This Row],[Acquisition Factor OE810]]</f>
        <v>0</v>
      </c>
      <c r="DN49" s="46">
        <f>Tabelle4[[#This Row],[Acquisition Bonus OE810]]+Tabelle4[[#This Row],[Project Execution OE810]]</f>
        <v>0</v>
      </c>
    </row>
    <row r="50" spans="1:118" ht="27.75" customHeight="1" x14ac:dyDescent="0.45">
      <c r="A50" s="42" t="s">
        <v>663</v>
      </c>
      <c r="C50" s="33" t="s">
        <v>545</v>
      </c>
      <c r="D50" s="33" t="s">
        <v>706</v>
      </c>
      <c r="E50" s="33">
        <v>1</v>
      </c>
      <c r="F50" s="33">
        <v>1</v>
      </c>
      <c r="G50" s="33" t="s">
        <v>2</v>
      </c>
      <c r="H50" s="33" t="s">
        <v>96</v>
      </c>
      <c r="I50" s="33" t="s">
        <v>664</v>
      </c>
      <c r="J50" s="59">
        <v>44063</v>
      </c>
      <c r="K50" s="33" t="s">
        <v>244</v>
      </c>
      <c r="L50" s="33" t="s">
        <v>651</v>
      </c>
      <c r="M50" s="144">
        <v>6.7</v>
      </c>
      <c r="N50" s="33" t="s">
        <v>642</v>
      </c>
      <c r="Q50" s="33">
        <v>5</v>
      </c>
      <c r="U50" s="59">
        <v>44089</v>
      </c>
      <c r="V50" s="59">
        <v>44148</v>
      </c>
      <c r="W50" s="59">
        <v>44291</v>
      </c>
      <c r="Z50" s="42" t="str">
        <f t="shared" si="12"/>
        <v>IPK</v>
      </c>
      <c r="AB50" s="104"/>
      <c r="AC50" s="104"/>
      <c r="AD50" s="104"/>
      <c r="AE50" s="104"/>
      <c r="AF50" s="104"/>
      <c r="AG50" s="42" t="str">
        <f t="shared" si="13"/>
        <v>ITA</v>
      </c>
      <c r="AH50" s="33" t="s">
        <v>638</v>
      </c>
      <c r="AI50" s="33" t="s">
        <v>679</v>
      </c>
      <c r="AM50" s="104">
        <f>138000/M50</f>
        <v>20597.014925373132</v>
      </c>
      <c r="AO50" s="42"/>
      <c r="AQ50" s="104"/>
      <c r="AR50" s="104"/>
      <c r="AS50" s="104"/>
      <c r="AT50" s="104"/>
      <c r="AU50" s="104"/>
      <c r="AV50" s="42"/>
      <c r="AX50" s="104"/>
      <c r="AY50" s="104"/>
      <c r="AZ50" s="104"/>
      <c r="BA50" s="104"/>
      <c r="BB50" s="104"/>
      <c r="BC50" s="42"/>
      <c r="BE50" s="104"/>
      <c r="BF50" s="101"/>
      <c r="BI50" s="104"/>
      <c r="BJ50" s="101"/>
      <c r="BM50" s="104"/>
      <c r="BN50" s="101"/>
      <c r="BQ50" s="104"/>
      <c r="BR50" s="101"/>
      <c r="BU50" s="101"/>
      <c r="BX50" s="101"/>
      <c r="BY50" s="44">
        <f>Tabelle4[[#This Row],[Industry Funding from DE (IPK)]]+Tabelle4[[#This Row],[Industry Funding from BR (IPK)]]+Tabelle4[[#This Row],[Public Funding from DE (IPK)]]+Tabelle4[[#This Row],[Public Funding from BR (IPK)]]+Tabelle4[[#This Row],[In-kind Contribution (IPK)]]</f>
        <v>0</v>
      </c>
      <c r="BZ50" s="44">
        <f>Tabelle4[[#This Row],[Industry Funding from DE (IPK)]]+Tabelle4[[#This Row],[Industry Funding from BR (IPK)]]+Tabelle4[[#This Row],[Public Funding from DE (IPK)]]+Tabelle4[[#This Row],[Public Funding from BR (IPK)]]</f>
        <v>0</v>
      </c>
      <c r="CA50" s="44">
        <f>Tabelle4[[#This Row],[Industry Funding from DE (IPK)]]+Tabelle4[[#This Row],[Industry Funding from BR (IPK)]]</f>
        <v>0</v>
      </c>
      <c r="CB50" s="44">
        <f>Tabelle4[[#This Row],[Public Funding from DE (IPK)]]+Tabelle4[[#This Row],[Public Funding from BR (IPK)]]</f>
        <v>0</v>
      </c>
      <c r="CC50" s="44">
        <f>Tabelle4[[#This Row],[In-kind Contribution (IPK)]]</f>
        <v>0</v>
      </c>
      <c r="CD50" s="47" t="e">
        <f>(Tabelle4[[#This Row],[Total Industry Funding (IPK)]] + Tabelle4[[#This Row],[Total Public Funding (IPK)]])/Tabelle4[[#This Row],[Total Project Volume (IPK)]]</f>
        <v>#DIV/0!</v>
      </c>
      <c r="CE50" s="47" t="e">
        <f>Tabelle4[[#This Row],[Total Industry Funding (IPK)]] / Tabelle4[[#This Row],[Total Project Volume (IPK)]]</f>
        <v>#DIV/0!</v>
      </c>
      <c r="CF50" s="33" t="str">
        <f>Tabelle4[[#This Row],[Project Funding Classification]]</f>
        <v>Public Funding</v>
      </c>
      <c r="CG50" s="44">
        <f>Tabelle4[[#This Row],[Industry Funding from DE (IPK)]]+Tabelle4[[#This Row],[Public Funding from DE (IPK)]]</f>
        <v>0</v>
      </c>
      <c r="CH50" s="46">
        <f>Tabelle4[[#This Row],[Industry Funding from BR (IPK)]]+Tabelle4[[#This Row],[Public Funding from BR (IPK)]]</f>
        <v>0</v>
      </c>
      <c r="CI50" s="44">
        <f>Tabelle4[[#This Row],[Industry Funding from DE (ITA)]]+Tabelle4[[#This Row],[Industry Funding from BR (ITA)]]+Tabelle4[[#This Row],[Public Funding from DE (ITA)]]+Tabelle4[[#This Row],[Public Funding from BR (ITA)]]</f>
        <v>20597.014925373132</v>
      </c>
      <c r="CJ50" s="44">
        <f>Tabelle4[[#This Row],[Industry Funding from DE (ITA)]]+Tabelle4[[#This Row],[Industry Funding from BR (ITA)]]</f>
        <v>0</v>
      </c>
      <c r="CK50" s="44">
        <f>Tabelle4[[#This Row],[Public Funding from DE (ITA)]]+Tabelle4[[#This Row],[Public Funding from BR (ITA)]]</f>
        <v>20597.014925373132</v>
      </c>
      <c r="CL50" s="47">
        <f>Tabelle4[[#This Row],[Total Industry Funding (ITA)]]/Tabelle4[[#This Row],[Total Project Volume (ITA)]]</f>
        <v>0</v>
      </c>
      <c r="CM50" s="33" t="str">
        <f>IF(Tabelle4[[#This Row],[Funding Ratio (ITA)]]&lt;0.5,"Public Funding","Industry")</f>
        <v>Public Funding</v>
      </c>
      <c r="CN50" s="44">
        <f>Tabelle4[[#This Row],[Industry Funding from DE (ITA)]]+Tabelle4[[#This Row],[Public Funding from DE (ITA)]]</f>
        <v>0</v>
      </c>
      <c r="CO50" s="46">
        <f>Tabelle4[[#This Row],[Industry Funding from BR (ITA)]]+Tabelle4[[#This Row],[Public Funding from BR (ITA)]]</f>
        <v>20597.014925373132</v>
      </c>
      <c r="CP50" s="44">
        <f>Tabelle4[[#This Row],[Total Project Volume (IPK)]]+Tabelle4[[#This Row],[Total Project Volume (ITA)]]</f>
        <v>20597.014925373132</v>
      </c>
      <c r="CQ50" s="44">
        <f>Tabelle4[[#This Row],[Total Industry Funding (IPK)]]+Tabelle4[[#This Row],[Total Industry Funding (ITA)]]</f>
        <v>0</v>
      </c>
      <c r="CR50" s="44">
        <f>Tabelle4[[#This Row],[Industry Funding from DE (IPK)]]+Tabelle4[[#This Row],[Industry Funding from DE (ITA)]]</f>
        <v>0</v>
      </c>
      <c r="CS50" s="44">
        <f>Tabelle4[[#This Row],[Industry Funding from BR (IPK)]]+Tabelle4[[#This Row],[Industry Funding from BR (ITA)]]</f>
        <v>0</v>
      </c>
      <c r="CT50" s="44">
        <f>Tabelle4[[#This Row],[Total Public Funding (IPK)]]+Tabelle4[[#This Row],[Total Public Funding (ITA)]]</f>
        <v>20597.014925373132</v>
      </c>
      <c r="CU50" s="44">
        <f>Tabelle4[[#This Row],[Public Funding from DE (IPK)]]+Tabelle4[[#This Row],[Public Funding from DE (ITA)]]</f>
        <v>0</v>
      </c>
      <c r="CV50" s="44">
        <f>Tabelle4[[#This Row],[Public Funding from BR (IPK)]]+Tabelle4[[#This Row],[Public Funding from BR (ITA)]]</f>
        <v>20597.014925373132</v>
      </c>
      <c r="CW50" s="44">
        <f>Tabelle4[[#This Row],[Industry Funding from DE (FPC)]]+Tabelle4[[#This Row],[Public Funding from DE (FPC)]]</f>
        <v>0</v>
      </c>
      <c r="CX50" s="46">
        <f>Tabelle4[[#This Row],[Industry Funding from BR (FPC)]]+Tabelle4[[#This Row],[Public Funding from BR (FPC)]]</f>
        <v>20597.014925373132</v>
      </c>
      <c r="CY50" s="44">
        <f>Tabelle4[[#This Row],[Total Financial Budget (Other)]]+Tabelle4[[#This Row],[Total In-kind Contribution (Other)]]</f>
        <v>0</v>
      </c>
      <c r="CZ5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50" s="44">
        <f>Tabelle4[[#This Row],[In-kind Contribution (R&amp;D III)]]+Tabelle4[[#This Row],[In-kind Contribution (R&amp;D IV)]]</f>
        <v>0</v>
      </c>
      <c r="DB50" s="158">
        <f>Tabelle4[[#This Row],[Total Budget (FPC)]]+Tabelle4[[#This Row],[Total Volume (Other)]]</f>
        <v>20597.014925373132</v>
      </c>
      <c r="DC50" s="104">
        <f>Tabelle4[[#This Row],[Total Revenues (IPK)]]</f>
        <v>0</v>
      </c>
      <c r="DE50" s="44">
        <f>Tabelle4[[#This Row],[Total Revenues IPK]]*Tabelle4[[#This Row],[Probability of Success]]</f>
        <v>0</v>
      </c>
      <c r="DL50" s="44">
        <f>Tabelle4[[#This Row],[Real Budget IPK]]*Tabelle4[[#This Row],[Acquisition Factor OE810]]</f>
        <v>0</v>
      </c>
      <c r="DN50" s="46">
        <f>Tabelle4[[#This Row],[Acquisition Bonus OE810]]+Tabelle4[[#This Row],[Project Execution OE810]]</f>
        <v>0</v>
      </c>
    </row>
    <row r="51" spans="1:118" ht="27.75" x14ac:dyDescent="0.45">
      <c r="A51" s="42" t="s">
        <v>660</v>
      </c>
      <c r="B51" s="33" t="s">
        <v>661</v>
      </c>
      <c r="C51" s="33" t="s">
        <v>662</v>
      </c>
      <c r="D51" s="33" t="s">
        <v>708</v>
      </c>
      <c r="E51" s="33">
        <v>3</v>
      </c>
      <c r="F51" s="33">
        <v>0</v>
      </c>
      <c r="G51" s="33" t="s">
        <v>2</v>
      </c>
      <c r="H51" s="33" t="s">
        <v>96</v>
      </c>
      <c r="I51" s="33" t="s">
        <v>665</v>
      </c>
      <c r="J51" s="59">
        <v>44063</v>
      </c>
      <c r="K51" s="33" t="s">
        <v>246</v>
      </c>
      <c r="L51" s="33" t="s">
        <v>309</v>
      </c>
      <c r="M51" s="144">
        <v>6.7</v>
      </c>
      <c r="N51" s="33" t="s">
        <v>641</v>
      </c>
      <c r="Q51" s="33">
        <v>18</v>
      </c>
      <c r="U51" s="59">
        <v>44076</v>
      </c>
      <c r="V51" s="59">
        <v>44085</v>
      </c>
      <c r="Y51" s="59">
        <v>44166</v>
      </c>
      <c r="Z51" s="42" t="str">
        <f t="shared" si="12"/>
        <v>IPK</v>
      </c>
      <c r="AB51" s="104"/>
      <c r="AC51" s="104"/>
      <c r="AD51" s="104"/>
      <c r="AE51" s="104"/>
      <c r="AF51" s="104"/>
      <c r="AG51" s="42" t="str">
        <f t="shared" si="13"/>
        <v>ITA</v>
      </c>
      <c r="AH51" s="33" t="s">
        <v>337</v>
      </c>
      <c r="AI51" s="33" t="s">
        <v>337</v>
      </c>
      <c r="AM51" s="104">
        <f>794244.94/M51</f>
        <v>118544.02089552238</v>
      </c>
      <c r="AO51" s="42"/>
      <c r="AQ51" s="104"/>
      <c r="AR51" s="104"/>
      <c r="AS51" s="104"/>
      <c r="AT51" s="104"/>
      <c r="AU51" s="104"/>
      <c r="AV51" s="42"/>
      <c r="AX51" s="104"/>
      <c r="AY51" s="104"/>
      <c r="AZ51" s="104"/>
      <c r="BA51" s="104"/>
      <c r="BB51" s="104"/>
      <c r="BC51" s="42"/>
      <c r="BE51" s="104"/>
      <c r="BF51" s="101"/>
      <c r="BI51" s="104"/>
      <c r="BJ51" s="101"/>
      <c r="BM51" s="104"/>
      <c r="BN51" s="101"/>
      <c r="BQ51" s="104"/>
      <c r="BR51" s="101"/>
      <c r="BU51" s="101"/>
      <c r="BX51" s="101"/>
      <c r="BY51" s="44">
        <f>Tabelle4[[#This Row],[Industry Funding from DE (IPK)]]+Tabelle4[[#This Row],[Industry Funding from BR (IPK)]]+Tabelle4[[#This Row],[Public Funding from DE (IPK)]]+Tabelle4[[#This Row],[Public Funding from BR (IPK)]]+Tabelle4[[#This Row],[In-kind Contribution (IPK)]]</f>
        <v>0</v>
      </c>
      <c r="BZ51" s="44">
        <f>Tabelle4[[#This Row],[Industry Funding from DE (IPK)]]+Tabelle4[[#This Row],[Industry Funding from BR (IPK)]]+Tabelle4[[#This Row],[Public Funding from DE (IPK)]]+Tabelle4[[#This Row],[Public Funding from BR (IPK)]]</f>
        <v>0</v>
      </c>
      <c r="CA51" s="44">
        <f>Tabelle4[[#This Row],[Industry Funding from DE (IPK)]]+Tabelle4[[#This Row],[Industry Funding from BR (IPK)]]</f>
        <v>0</v>
      </c>
      <c r="CB51" s="44">
        <f>Tabelle4[[#This Row],[Public Funding from DE (IPK)]]+Tabelle4[[#This Row],[Public Funding from BR (IPK)]]</f>
        <v>0</v>
      </c>
      <c r="CC51" s="44">
        <f>Tabelle4[[#This Row],[In-kind Contribution (IPK)]]</f>
        <v>0</v>
      </c>
      <c r="CD51" s="47" t="e">
        <f>(Tabelle4[[#This Row],[Total Industry Funding (IPK)]] + Tabelle4[[#This Row],[Total Public Funding (IPK)]])/Tabelle4[[#This Row],[Total Project Volume (IPK)]]</f>
        <v>#DIV/0!</v>
      </c>
      <c r="CE51" s="47" t="e">
        <f>Tabelle4[[#This Row],[Total Industry Funding (IPK)]] / Tabelle4[[#This Row],[Total Project Volume (IPK)]]</f>
        <v>#DIV/0!</v>
      </c>
      <c r="CF51" s="33" t="str">
        <f>Tabelle4[[#This Row],[Project Funding Classification]]</f>
        <v>Public Funding</v>
      </c>
      <c r="CG51" s="44">
        <f>Tabelle4[[#This Row],[Industry Funding from DE (IPK)]]+Tabelle4[[#This Row],[Public Funding from DE (IPK)]]</f>
        <v>0</v>
      </c>
      <c r="CH51" s="46">
        <f>Tabelle4[[#This Row],[Industry Funding from BR (IPK)]]+Tabelle4[[#This Row],[Public Funding from BR (IPK)]]</f>
        <v>0</v>
      </c>
      <c r="CI51" s="44">
        <f>Tabelle4[[#This Row],[Industry Funding from DE (ITA)]]+Tabelle4[[#This Row],[Industry Funding from BR (ITA)]]+Tabelle4[[#This Row],[Public Funding from DE (ITA)]]+Tabelle4[[#This Row],[Public Funding from BR (ITA)]]</f>
        <v>118544.02089552238</v>
      </c>
      <c r="CJ51" s="44">
        <f>Tabelle4[[#This Row],[Industry Funding from DE (ITA)]]+Tabelle4[[#This Row],[Industry Funding from BR (ITA)]]</f>
        <v>0</v>
      </c>
      <c r="CK51" s="44">
        <f>Tabelle4[[#This Row],[Public Funding from DE (ITA)]]+Tabelle4[[#This Row],[Public Funding from BR (ITA)]]</f>
        <v>118544.02089552238</v>
      </c>
      <c r="CL51" s="47">
        <f>Tabelle4[[#This Row],[Total Industry Funding (ITA)]]/Tabelle4[[#This Row],[Total Project Volume (ITA)]]</f>
        <v>0</v>
      </c>
      <c r="CM51" s="33" t="str">
        <f>IF(Tabelle4[[#This Row],[Funding Ratio (ITA)]]&lt;0.5,"Public Funding","Industry")</f>
        <v>Public Funding</v>
      </c>
      <c r="CN51" s="44">
        <f>Tabelle4[[#This Row],[Industry Funding from DE (ITA)]]+Tabelle4[[#This Row],[Public Funding from DE (ITA)]]</f>
        <v>0</v>
      </c>
      <c r="CO51" s="46">
        <f>Tabelle4[[#This Row],[Industry Funding from BR (ITA)]]+Tabelle4[[#This Row],[Public Funding from BR (ITA)]]</f>
        <v>118544.02089552238</v>
      </c>
      <c r="CP51" s="44">
        <f>Tabelle4[[#This Row],[Total Project Volume (IPK)]]+Tabelle4[[#This Row],[Total Project Volume (ITA)]]</f>
        <v>118544.02089552238</v>
      </c>
      <c r="CQ51" s="44">
        <f>Tabelle4[[#This Row],[Total Industry Funding (IPK)]]+Tabelle4[[#This Row],[Total Industry Funding (ITA)]]</f>
        <v>0</v>
      </c>
      <c r="CR51" s="44">
        <f>Tabelle4[[#This Row],[Industry Funding from DE (IPK)]]+Tabelle4[[#This Row],[Industry Funding from DE (ITA)]]</f>
        <v>0</v>
      </c>
      <c r="CS51" s="44">
        <f>Tabelle4[[#This Row],[Industry Funding from BR (IPK)]]+Tabelle4[[#This Row],[Industry Funding from BR (ITA)]]</f>
        <v>0</v>
      </c>
      <c r="CT51" s="44">
        <f>Tabelle4[[#This Row],[Total Public Funding (IPK)]]+Tabelle4[[#This Row],[Total Public Funding (ITA)]]</f>
        <v>118544.02089552238</v>
      </c>
      <c r="CU51" s="44">
        <f>Tabelle4[[#This Row],[Public Funding from DE (IPK)]]+Tabelle4[[#This Row],[Public Funding from DE (ITA)]]</f>
        <v>0</v>
      </c>
      <c r="CV51" s="44">
        <f>Tabelle4[[#This Row],[Public Funding from BR (IPK)]]+Tabelle4[[#This Row],[Public Funding from BR (ITA)]]</f>
        <v>118544.02089552238</v>
      </c>
      <c r="CW51" s="44">
        <f>Tabelle4[[#This Row],[Industry Funding from DE (FPC)]]+Tabelle4[[#This Row],[Public Funding from DE (FPC)]]</f>
        <v>0</v>
      </c>
      <c r="CX51" s="46">
        <f>Tabelle4[[#This Row],[Industry Funding from BR (FPC)]]+Tabelle4[[#This Row],[Public Funding from BR (FPC)]]</f>
        <v>118544.02089552238</v>
      </c>
      <c r="CY51" s="44">
        <f>Tabelle4[[#This Row],[Total Financial Budget (Other)]]+Tabelle4[[#This Row],[Total In-kind Contribution (Other)]]</f>
        <v>0</v>
      </c>
      <c r="CZ5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51" s="44">
        <f>Tabelle4[[#This Row],[In-kind Contribution (R&amp;D III)]]+Tabelle4[[#This Row],[In-kind Contribution (R&amp;D IV)]]</f>
        <v>0</v>
      </c>
      <c r="DB51" s="158">
        <f>Tabelle4[[#This Row],[Total Budget (FPC)]]+Tabelle4[[#This Row],[Total Volume (Other)]]</f>
        <v>118544.02089552238</v>
      </c>
      <c r="DC51" s="104">
        <f>Tabelle4[[#This Row],[Total Revenues (IPK)]]</f>
        <v>0</v>
      </c>
      <c r="DE51" s="44">
        <f>Tabelle4[[#This Row],[Total Revenues IPK]]*Tabelle4[[#This Row],[Probability of Success]]</f>
        <v>0</v>
      </c>
      <c r="DL51" s="44">
        <f>Tabelle4[[#This Row],[Real Budget IPK]]*Tabelle4[[#This Row],[Acquisition Factor OE810]]</f>
        <v>0</v>
      </c>
      <c r="DN51" s="46">
        <f>Tabelle4[[#This Row],[Acquisition Bonus OE810]]+Tabelle4[[#This Row],[Project Execution OE810]]</f>
        <v>0</v>
      </c>
    </row>
    <row r="52" spans="1:118" ht="41.65" x14ac:dyDescent="0.45">
      <c r="A52" s="42" t="s">
        <v>720</v>
      </c>
      <c r="B52" s="33" t="s">
        <v>658</v>
      </c>
      <c r="C52" s="33" t="s">
        <v>657</v>
      </c>
      <c r="D52" s="33" t="s">
        <v>704</v>
      </c>
      <c r="E52" s="33">
        <v>1</v>
      </c>
      <c r="F52" s="33">
        <v>1</v>
      </c>
      <c r="G52" s="33" t="s">
        <v>1</v>
      </c>
      <c r="H52" s="33" t="s">
        <v>0</v>
      </c>
      <c r="J52" s="59">
        <v>43895</v>
      </c>
      <c r="K52" s="33" t="s">
        <v>246</v>
      </c>
      <c r="L52" s="33" t="s">
        <v>309</v>
      </c>
      <c r="N52" s="33" t="s">
        <v>643</v>
      </c>
      <c r="Q52" s="33">
        <v>5</v>
      </c>
      <c r="S52" s="59">
        <v>43895</v>
      </c>
      <c r="U52" s="59">
        <v>44044</v>
      </c>
      <c r="Z52" s="42" t="str">
        <f t="shared" si="12"/>
        <v>IPK</v>
      </c>
      <c r="AA52" s="33" t="s">
        <v>141</v>
      </c>
      <c r="AB52" s="104"/>
      <c r="AC52" s="104">
        <v>15000</v>
      </c>
      <c r="AD52" s="104"/>
      <c r="AE52" s="104"/>
      <c r="AF52" s="104"/>
      <c r="AG52" s="42" t="str">
        <f t="shared" si="13"/>
        <v>ITA</v>
      </c>
      <c r="AO52" s="42"/>
      <c r="AQ52" s="104"/>
      <c r="AR52" s="104"/>
      <c r="AS52" s="104"/>
      <c r="AT52" s="104"/>
      <c r="AU52" s="104"/>
      <c r="AV52" s="42"/>
      <c r="AX52" s="104"/>
      <c r="AY52" s="104"/>
      <c r="AZ52" s="104"/>
      <c r="BA52" s="104"/>
      <c r="BB52" s="104"/>
      <c r="BC52" s="42" t="s">
        <v>657</v>
      </c>
      <c r="BD52" s="33" t="s">
        <v>659</v>
      </c>
      <c r="BE52" s="104"/>
      <c r="BF52" s="101"/>
      <c r="BI52" s="104"/>
      <c r="BJ52" s="101"/>
      <c r="BM52" s="104"/>
      <c r="BN52" s="101"/>
      <c r="BQ52" s="104"/>
      <c r="BR52" s="101"/>
      <c r="BU52" s="101"/>
      <c r="BX52" s="101"/>
      <c r="BY52" s="44">
        <f>Tabelle4[[#This Row],[Industry Funding from DE (IPK)]]+Tabelle4[[#This Row],[Industry Funding from BR (IPK)]]+Tabelle4[[#This Row],[Public Funding from DE (IPK)]]+Tabelle4[[#This Row],[Public Funding from BR (IPK)]]+Tabelle4[[#This Row],[In-kind Contribution (IPK)]]</f>
        <v>15000</v>
      </c>
      <c r="BZ52" s="44">
        <f>Tabelle4[[#This Row],[Industry Funding from DE (IPK)]]+Tabelle4[[#This Row],[Industry Funding from BR (IPK)]]+Tabelle4[[#This Row],[Public Funding from DE (IPK)]]+Tabelle4[[#This Row],[Public Funding from BR (IPK)]]</f>
        <v>15000</v>
      </c>
      <c r="CA52" s="44">
        <f>Tabelle4[[#This Row],[Industry Funding from DE (IPK)]]+Tabelle4[[#This Row],[Industry Funding from BR (IPK)]]</f>
        <v>15000</v>
      </c>
      <c r="CB52" s="44">
        <f>Tabelle4[[#This Row],[Public Funding from DE (IPK)]]+Tabelle4[[#This Row],[Public Funding from BR (IPK)]]</f>
        <v>0</v>
      </c>
      <c r="CC52" s="44">
        <f>Tabelle4[[#This Row],[In-kind Contribution (IPK)]]</f>
        <v>0</v>
      </c>
      <c r="CD52" s="47">
        <f>(Tabelle4[[#This Row],[Total Industry Funding (IPK)]] + Tabelle4[[#This Row],[Total Public Funding (IPK)]])/Tabelle4[[#This Row],[Total Project Volume (IPK)]]</f>
        <v>1</v>
      </c>
      <c r="CE52" s="47">
        <f>Tabelle4[[#This Row],[Total Industry Funding (IPK)]] / Tabelle4[[#This Row],[Total Project Volume (IPK)]]</f>
        <v>1</v>
      </c>
      <c r="CF52" s="33" t="str">
        <f>Tabelle4[[#This Row],[Project Funding Classification]]</f>
        <v>Industry</v>
      </c>
      <c r="CG52" s="44">
        <f>Tabelle4[[#This Row],[Industry Funding from DE (IPK)]]+Tabelle4[[#This Row],[Public Funding from DE (IPK)]]</f>
        <v>0</v>
      </c>
      <c r="CH52" s="46">
        <f>Tabelle4[[#This Row],[Industry Funding from BR (IPK)]]+Tabelle4[[#This Row],[Public Funding from BR (IPK)]]</f>
        <v>15000</v>
      </c>
      <c r="CI52" s="44">
        <f>Tabelle4[[#This Row],[Industry Funding from DE (ITA)]]+Tabelle4[[#This Row],[Industry Funding from BR (ITA)]]+Tabelle4[[#This Row],[Public Funding from DE (ITA)]]+Tabelle4[[#This Row],[Public Funding from BR (ITA)]]</f>
        <v>0</v>
      </c>
      <c r="CJ52" s="44">
        <f>Tabelle4[[#This Row],[Industry Funding from DE (ITA)]]+Tabelle4[[#This Row],[Industry Funding from BR (ITA)]]</f>
        <v>0</v>
      </c>
      <c r="CK52" s="44">
        <f>Tabelle4[[#This Row],[Public Funding from DE (ITA)]]+Tabelle4[[#This Row],[Public Funding from BR (ITA)]]</f>
        <v>0</v>
      </c>
      <c r="CL52" s="47" t="e">
        <f>Tabelle4[[#This Row],[Total Industry Funding (ITA)]]/Tabelle4[[#This Row],[Total Project Volume (ITA)]]</f>
        <v>#DIV/0!</v>
      </c>
      <c r="CM52" s="33" t="e">
        <f>IF(Tabelle4[[#This Row],[Funding Ratio (ITA)]]&lt;0.5,"Public Funding","Industry")</f>
        <v>#DIV/0!</v>
      </c>
      <c r="CN52" s="44">
        <f>Tabelle4[[#This Row],[Industry Funding from DE (ITA)]]+Tabelle4[[#This Row],[Public Funding from DE (ITA)]]</f>
        <v>0</v>
      </c>
      <c r="CO52" s="46">
        <f>Tabelle4[[#This Row],[Industry Funding from BR (ITA)]]+Tabelle4[[#This Row],[Public Funding from BR (ITA)]]</f>
        <v>0</v>
      </c>
      <c r="CP52" s="44">
        <f>Tabelle4[[#This Row],[Total Project Volume (IPK)]]+Tabelle4[[#This Row],[Total Project Volume (ITA)]]</f>
        <v>15000</v>
      </c>
      <c r="CQ52" s="44">
        <f>Tabelle4[[#This Row],[Total Industry Funding (IPK)]]+Tabelle4[[#This Row],[Total Industry Funding (ITA)]]</f>
        <v>15000</v>
      </c>
      <c r="CR52" s="44">
        <f>Tabelle4[[#This Row],[Industry Funding from DE (IPK)]]+Tabelle4[[#This Row],[Industry Funding from DE (ITA)]]</f>
        <v>0</v>
      </c>
      <c r="CS52" s="44">
        <f>Tabelle4[[#This Row],[Industry Funding from BR (IPK)]]+Tabelle4[[#This Row],[Industry Funding from BR (ITA)]]</f>
        <v>15000</v>
      </c>
      <c r="CT52" s="44">
        <f>Tabelle4[[#This Row],[Total Public Funding (IPK)]]+Tabelle4[[#This Row],[Total Public Funding (ITA)]]</f>
        <v>0</v>
      </c>
      <c r="CU52" s="44">
        <f>Tabelle4[[#This Row],[Public Funding from DE (IPK)]]+Tabelle4[[#This Row],[Public Funding from DE (ITA)]]</f>
        <v>0</v>
      </c>
      <c r="CV52" s="44">
        <f>Tabelle4[[#This Row],[Public Funding from BR (IPK)]]+Tabelle4[[#This Row],[Public Funding from BR (ITA)]]</f>
        <v>0</v>
      </c>
      <c r="CW52" s="44">
        <f>Tabelle4[[#This Row],[Industry Funding from DE (FPC)]]+Tabelle4[[#This Row],[Public Funding from DE (FPC)]]</f>
        <v>0</v>
      </c>
      <c r="CX52" s="46">
        <f>Tabelle4[[#This Row],[Industry Funding from BR (FPC)]]+Tabelle4[[#This Row],[Public Funding from BR (FPC)]]</f>
        <v>15000</v>
      </c>
      <c r="CY52" s="44">
        <f>Tabelle4[[#This Row],[Total Financial Budget (Other)]]+Tabelle4[[#This Row],[Total In-kind Contribution (Other)]]</f>
        <v>0</v>
      </c>
      <c r="CZ5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52" s="44">
        <f>Tabelle4[[#This Row],[In-kind Contribution (R&amp;D III)]]+Tabelle4[[#This Row],[In-kind Contribution (R&amp;D IV)]]</f>
        <v>0</v>
      </c>
      <c r="DB52" s="158">
        <f>Tabelle4[[#This Row],[Total Budget (FPC)]]+Tabelle4[[#This Row],[Total Volume (Other)]]</f>
        <v>15000</v>
      </c>
      <c r="DC52" s="104">
        <f>Tabelle4[[#This Row],[Total Revenues (IPK)]]</f>
        <v>15000</v>
      </c>
      <c r="DD52" s="47">
        <v>0.1</v>
      </c>
      <c r="DE52" s="44">
        <f>Tabelle4[[#This Row],[Total Revenues IPK]]*Tabelle4[[#This Row],[Probability of Success]]</f>
        <v>1500</v>
      </c>
      <c r="DK52" s="47">
        <v>0.2</v>
      </c>
      <c r="DL52" s="44">
        <f>Tabelle4[[#This Row],[Real Budget IPK]]*Tabelle4[[#This Row],[Acquisition Factor OE810]]</f>
        <v>300</v>
      </c>
      <c r="DM52" s="44">
        <v>0</v>
      </c>
      <c r="DN52" s="46">
        <f>Tabelle4[[#This Row],[Acquisition Bonus OE810]]+Tabelle4[[#This Row],[Project Execution OE810]]</f>
        <v>300</v>
      </c>
    </row>
    <row r="53" spans="1:118" x14ac:dyDescent="0.45">
      <c r="A53" s="42" t="s">
        <v>184</v>
      </c>
      <c r="C53" s="33" t="s">
        <v>185</v>
      </c>
      <c r="D53" s="33" t="s">
        <v>709</v>
      </c>
      <c r="G53" s="33" t="s">
        <v>1</v>
      </c>
      <c r="H53" s="33" t="s">
        <v>96</v>
      </c>
      <c r="J53" s="59">
        <v>43132</v>
      </c>
      <c r="K53" s="33" t="s">
        <v>246</v>
      </c>
      <c r="Y53" s="59">
        <v>44343</v>
      </c>
      <c r="Z53" s="42" t="str">
        <f t="shared" ref="Z53:Z59" si="14">"IPK"</f>
        <v>IPK</v>
      </c>
      <c r="AA53" s="33" t="s">
        <v>277</v>
      </c>
      <c r="AB53" s="104"/>
      <c r="AC53" s="104"/>
      <c r="AD53" s="104">
        <v>400000</v>
      </c>
      <c r="AE53" s="104"/>
      <c r="AF53" s="104"/>
      <c r="AG53" s="42" t="str">
        <f t="shared" ref="AG53:AG59" si="15">"ITA"</f>
        <v>ITA</v>
      </c>
      <c r="AO53" s="42"/>
      <c r="AQ53" s="104"/>
      <c r="AR53" s="104"/>
      <c r="AS53" s="104"/>
      <c r="AT53" s="104"/>
      <c r="AU53" s="104"/>
      <c r="AV53" s="42"/>
      <c r="AX53" s="104"/>
      <c r="AY53" s="104"/>
      <c r="AZ53" s="104"/>
      <c r="BA53" s="104"/>
      <c r="BB53" s="104"/>
      <c r="BC53" s="42" t="s">
        <v>278</v>
      </c>
      <c r="BD53" s="33" t="s">
        <v>279</v>
      </c>
      <c r="BE53" s="104"/>
      <c r="BF53" s="101"/>
      <c r="BI53" s="104"/>
      <c r="BJ53" s="101"/>
      <c r="BM53" s="104"/>
      <c r="BN53" s="101"/>
      <c r="BQ53" s="104"/>
      <c r="BR53" s="101"/>
      <c r="BS53" s="33" t="s">
        <v>280</v>
      </c>
      <c r="BU53" s="101">
        <v>400000</v>
      </c>
      <c r="BX53" s="101"/>
      <c r="BY53" s="44">
        <f>Tabelle4[[#This Row],[Industry Funding from DE (IPK)]]+Tabelle4[[#This Row],[Industry Funding from BR (IPK)]]+Tabelle4[[#This Row],[Public Funding from DE (IPK)]]+Tabelle4[[#This Row],[Public Funding from BR (IPK)]]+Tabelle4[[#This Row],[In-kind Contribution (IPK)]]</f>
        <v>400000</v>
      </c>
      <c r="BZ53" s="44">
        <f>Tabelle4[[#This Row],[Industry Funding from DE (IPK)]]+Tabelle4[[#This Row],[Industry Funding from BR (IPK)]]+Tabelle4[[#This Row],[Public Funding from DE (IPK)]]+Tabelle4[[#This Row],[Public Funding from BR (IPK)]]</f>
        <v>400000</v>
      </c>
      <c r="CA53" s="44">
        <f>Tabelle4[[#This Row],[Industry Funding from DE (IPK)]]+Tabelle4[[#This Row],[Industry Funding from BR (IPK)]]</f>
        <v>0</v>
      </c>
      <c r="CB53" s="44">
        <f>Tabelle4[[#This Row],[Public Funding from DE (IPK)]]+Tabelle4[[#This Row],[Public Funding from BR (IPK)]]</f>
        <v>400000</v>
      </c>
      <c r="CC53" s="44">
        <f>Tabelle4[[#This Row],[In-kind Contribution (IPK)]]</f>
        <v>0</v>
      </c>
      <c r="CD53" s="47">
        <f>(Tabelle4[[#This Row],[Total Industry Funding (IPK)]] + Tabelle4[[#This Row],[Total Public Funding (IPK)]])/Tabelle4[[#This Row],[Total Project Volume (IPK)]]</f>
        <v>1</v>
      </c>
      <c r="CE53" s="47">
        <f>Tabelle4[[#This Row],[Total Industry Funding (IPK)]] / Tabelle4[[#This Row],[Total Project Volume (IPK)]]</f>
        <v>0</v>
      </c>
      <c r="CF53" s="33" t="str">
        <f>Tabelle4[[#This Row],[Project Funding Classification]]</f>
        <v>Public Funding</v>
      </c>
      <c r="CG53" s="44">
        <f>Tabelle4[[#This Row],[Industry Funding from DE (IPK)]]+Tabelle4[[#This Row],[Public Funding from DE (IPK)]]</f>
        <v>400000</v>
      </c>
      <c r="CH53" s="46">
        <f>Tabelle4[[#This Row],[Industry Funding from BR (IPK)]]+Tabelle4[[#This Row],[Public Funding from BR (IPK)]]</f>
        <v>0</v>
      </c>
      <c r="CI53" s="44">
        <f>Tabelle4[[#This Row],[Industry Funding from DE (ITA)]]+Tabelle4[[#This Row],[Industry Funding from BR (ITA)]]+Tabelle4[[#This Row],[Public Funding from DE (ITA)]]+Tabelle4[[#This Row],[Public Funding from BR (ITA)]]</f>
        <v>0</v>
      </c>
      <c r="CJ53" s="44">
        <f>Tabelle4[[#This Row],[Industry Funding from DE (ITA)]]+Tabelle4[[#This Row],[Industry Funding from BR (ITA)]]</f>
        <v>0</v>
      </c>
      <c r="CK53" s="44">
        <f>Tabelle4[[#This Row],[Public Funding from DE (ITA)]]+Tabelle4[[#This Row],[Public Funding from BR (ITA)]]</f>
        <v>0</v>
      </c>
      <c r="CL53" s="47" t="e">
        <f>Tabelle4[[#This Row],[Total Industry Funding (ITA)]]/Tabelle4[[#This Row],[Total Project Volume (ITA)]]</f>
        <v>#DIV/0!</v>
      </c>
      <c r="CM53" s="33" t="e">
        <f>IF(Tabelle4[[#This Row],[Funding Ratio (ITA)]]&lt;0.5,"Public Funding","Industry")</f>
        <v>#DIV/0!</v>
      </c>
      <c r="CN53" s="44">
        <f>Tabelle4[[#This Row],[Industry Funding from DE (ITA)]]+Tabelle4[[#This Row],[Public Funding from DE (ITA)]]</f>
        <v>0</v>
      </c>
      <c r="CO53" s="46">
        <f>Tabelle4[[#This Row],[Industry Funding from BR (ITA)]]+Tabelle4[[#This Row],[Public Funding from BR (ITA)]]</f>
        <v>0</v>
      </c>
      <c r="CP53" s="44">
        <f>Tabelle4[[#This Row],[Total Project Volume (IPK)]]+Tabelle4[[#This Row],[Total Project Volume (ITA)]]</f>
        <v>400000</v>
      </c>
      <c r="CQ53" s="44">
        <f>Tabelle4[[#This Row],[Total Industry Funding (IPK)]]+Tabelle4[[#This Row],[Total Industry Funding (ITA)]]</f>
        <v>0</v>
      </c>
      <c r="CR53" s="44">
        <f>Tabelle4[[#This Row],[Industry Funding from DE (IPK)]]+Tabelle4[[#This Row],[Industry Funding from DE (ITA)]]</f>
        <v>0</v>
      </c>
      <c r="CS53" s="44">
        <f>Tabelle4[[#This Row],[Industry Funding from BR (IPK)]]+Tabelle4[[#This Row],[Industry Funding from BR (ITA)]]</f>
        <v>0</v>
      </c>
      <c r="CT53" s="44">
        <f>Tabelle4[[#This Row],[Total Public Funding (IPK)]]+Tabelle4[[#This Row],[Total Public Funding (ITA)]]</f>
        <v>400000</v>
      </c>
      <c r="CU53" s="44">
        <f>Tabelle4[[#This Row],[Public Funding from DE (IPK)]]+Tabelle4[[#This Row],[Public Funding from DE (ITA)]]</f>
        <v>400000</v>
      </c>
      <c r="CV53" s="44">
        <f>Tabelle4[[#This Row],[Public Funding from BR (IPK)]]+Tabelle4[[#This Row],[Public Funding from BR (ITA)]]</f>
        <v>0</v>
      </c>
      <c r="CW53" s="44">
        <f>Tabelle4[[#This Row],[Industry Funding from DE (FPC)]]+Tabelle4[[#This Row],[Public Funding from DE (FPC)]]</f>
        <v>400000</v>
      </c>
      <c r="CX53" s="46">
        <f>Tabelle4[[#This Row],[Industry Funding from BR (FPC)]]+Tabelle4[[#This Row],[Public Funding from BR (FPC)]]</f>
        <v>0</v>
      </c>
      <c r="CY53" s="44">
        <f>Tabelle4[[#This Row],[Total Financial Budget (Other)]]+Tabelle4[[#This Row],[Total In-kind Contribution (Other)]]</f>
        <v>0</v>
      </c>
      <c r="CZ5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53" s="44">
        <f>Tabelle4[[#This Row],[In-kind Contribution (R&amp;D III)]]+Tabelle4[[#This Row],[In-kind Contribution (R&amp;D IV)]]</f>
        <v>0</v>
      </c>
      <c r="DB53" s="158">
        <f>Tabelle4[[#This Row],[Total Budget (FPC)]]+Tabelle4[[#This Row],[Total Volume (Other)]]</f>
        <v>400000</v>
      </c>
      <c r="DC53" s="104">
        <f>Tabelle4[[#This Row],[Total Revenues (IPK)]]</f>
        <v>400000</v>
      </c>
      <c r="DD53" s="47">
        <v>0.01</v>
      </c>
      <c r="DE53" s="44">
        <f>Tabelle4[[#This Row],[Total Revenues IPK]]*Tabelle4[[#This Row],[Probability of Success]]</f>
        <v>4000</v>
      </c>
      <c r="DK53" s="47">
        <v>0.2</v>
      </c>
      <c r="DL53" s="44">
        <f>Tabelle4[[#This Row],[Real Budget IPK]]*Tabelle4[[#This Row],[Acquisition Factor OE810]]</f>
        <v>800</v>
      </c>
      <c r="DM53" s="44">
        <v>0</v>
      </c>
      <c r="DN53" s="46">
        <f>Tabelle4[[#This Row],[Acquisition Bonus OE810]]+Tabelle4[[#This Row],[Project Execution OE810]]</f>
        <v>800</v>
      </c>
    </row>
    <row r="54" spans="1:118" ht="27.75" x14ac:dyDescent="0.45">
      <c r="A54" s="70" t="s">
        <v>551</v>
      </c>
      <c r="B54" s="33" t="s">
        <v>552</v>
      </c>
      <c r="C54" s="57" t="s">
        <v>554</v>
      </c>
      <c r="D54" s="57" t="s">
        <v>705</v>
      </c>
      <c r="G54" s="33" t="s">
        <v>2</v>
      </c>
      <c r="H54" s="33" t="s">
        <v>96</v>
      </c>
      <c r="K54" s="33" t="s">
        <v>246</v>
      </c>
      <c r="L54" s="59" t="s">
        <v>309</v>
      </c>
      <c r="N54" s="33" t="s">
        <v>671</v>
      </c>
      <c r="Q54" s="58"/>
      <c r="V54" s="59">
        <v>43944</v>
      </c>
      <c r="Y54" s="59">
        <v>44267</v>
      </c>
      <c r="Z54" s="42" t="str">
        <f t="shared" si="14"/>
        <v>IPK</v>
      </c>
      <c r="AG54" s="42" t="str">
        <f t="shared" si="15"/>
        <v>ITA</v>
      </c>
      <c r="AH54" s="33" t="s">
        <v>395</v>
      </c>
      <c r="AI54" s="33" t="s">
        <v>717</v>
      </c>
      <c r="AK54" s="64"/>
      <c r="AM54" s="64"/>
      <c r="AO54" s="42"/>
      <c r="AV54" s="42"/>
      <c r="BC54" s="42"/>
      <c r="BE54" s="64"/>
      <c r="BF54" s="65"/>
      <c r="BI54" s="104"/>
      <c r="BU54" s="67"/>
      <c r="BY54" s="44">
        <f>Tabelle4[[#This Row],[Industry Funding from DE (IPK)]]+Tabelle4[[#This Row],[Industry Funding from BR (IPK)]]+Tabelle4[[#This Row],[Public Funding from DE (IPK)]]+Tabelle4[[#This Row],[Public Funding from BR (IPK)]]+Tabelle4[[#This Row],[In-kind Contribution (IPK)]]</f>
        <v>0</v>
      </c>
      <c r="BZ54" s="44">
        <f>Tabelle4[[#This Row],[Industry Funding from DE (IPK)]]+Tabelle4[[#This Row],[Industry Funding from BR (IPK)]]+Tabelle4[[#This Row],[Public Funding from DE (IPK)]]+Tabelle4[[#This Row],[Public Funding from BR (IPK)]]</f>
        <v>0</v>
      </c>
      <c r="CA54" s="44">
        <f>Tabelle4[[#This Row],[Industry Funding from DE (IPK)]]+Tabelle4[[#This Row],[Industry Funding from BR (IPK)]]</f>
        <v>0</v>
      </c>
      <c r="CB54" s="44">
        <f>Tabelle4[[#This Row],[Public Funding from DE (IPK)]]+Tabelle4[[#This Row],[Public Funding from BR (IPK)]]</f>
        <v>0</v>
      </c>
      <c r="CC54" s="44">
        <f>Tabelle4[[#This Row],[In-kind Contribution (IPK)]]</f>
        <v>0</v>
      </c>
      <c r="CD54" s="47" t="e">
        <f>(Tabelle4[[#This Row],[Total Industry Funding (IPK)]] + Tabelle4[[#This Row],[Total Public Funding (IPK)]])/Tabelle4[[#This Row],[Total Project Volume (IPK)]]</f>
        <v>#DIV/0!</v>
      </c>
      <c r="CE54" s="47" t="e">
        <f>Tabelle4[[#This Row],[Total Industry Funding (IPK)]] / Tabelle4[[#This Row],[Total Project Volume (IPK)]]</f>
        <v>#DIV/0!</v>
      </c>
      <c r="CF54" s="33" t="str">
        <f>Tabelle4[[#This Row],[Project Funding Classification]]</f>
        <v>Public Funding</v>
      </c>
      <c r="CG54" s="44">
        <f>Tabelle4[[#This Row],[Industry Funding from DE (IPK)]]+Tabelle4[[#This Row],[Public Funding from DE (IPK)]]</f>
        <v>0</v>
      </c>
      <c r="CH54" s="46">
        <f>Tabelle4[[#This Row],[Industry Funding from BR (IPK)]]+Tabelle4[[#This Row],[Public Funding from BR (IPK)]]</f>
        <v>0</v>
      </c>
      <c r="CI54" s="44">
        <f>Tabelle4[[#This Row],[Industry Funding from DE (ITA)]]+Tabelle4[[#This Row],[Industry Funding from BR (ITA)]]+Tabelle4[[#This Row],[Public Funding from DE (ITA)]]+Tabelle4[[#This Row],[Public Funding from BR (ITA)]]</f>
        <v>0</v>
      </c>
      <c r="CJ54" s="44">
        <f>Tabelle4[[#This Row],[Industry Funding from DE (ITA)]]+Tabelle4[[#This Row],[Industry Funding from BR (ITA)]]</f>
        <v>0</v>
      </c>
      <c r="CK54" s="44">
        <f>Tabelle4[[#This Row],[Public Funding from DE (ITA)]]+Tabelle4[[#This Row],[Public Funding from BR (ITA)]]</f>
        <v>0</v>
      </c>
      <c r="CL54" s="47" t="e">
        <f>Tabelle4[[#This Row],[Total Industry Funding (ITA)]]/Tabelle4[[#This Row],[Total Project Volume (ITA)]]</f>
        <v>#DIV/0!</v>
      </c>
      <c r="CM54" s="33" t="e">
        <f>IF(Tabelle4[[#This Row],[Funding Ratio (ITA)]]&lt;0.5,"Public Funding","Industry")</f>
        <v>#DIV/0!</v>
      </c>
      <c r="CN54" s="44">
        <f>Tabelle4[[#This Row],[Industry Funding from DE (ITA)]]+Tabelle4[[#This Row],[Public Funding from DE (ITA)]]</f>
        <v>0</v>
      </c>
      <c r="CO54" s="46">
        <f>Tabelle4[[#This Row],[Industry Funding from BR (ITA)]]+Tabelle4[[#This Row],[Public Funding from BR (ITA)]]</f>
        <v>0</v>
      </c>
      <c r="CP54" s="44">
        <f>Tabelle4[[#This Row],[Total Project Volume (IPK)]]+Tabelle4[[#This Row],[Total Project Volume (ITA)]]</f>
        <v>0</v>
      </c>
      <c r="CQ54" s="44">
        <f>Tabelle4[[#This Row],[Total Industry Funding (IPK)]]+Tabelle4[[#This Row],[Total Industry Funding (ITA)]]</f>
        <v>0</v>
      </c>
      <c r="CR54" s="44">
        <f>Tabelle4[[#This Row],[Industry Funding from DE (IPK)]]+Tabelle4[[#This Row],[Industry Funding from DE (ITA)]]</f>
        <v>0</v>
      </c>
      <c r="CS54" s="44">
        <f>Tabelle4[[#This Row],[Industry Funding from BR (IPK)]]+Tabelle4[[#This Row],[Industry Funding from BR (ITA)]]</f>
        <v>0</v>
      </c>
      <c r="CT54" s="44">
        <f>Tabelle4[[#This Row],[Total Public Funding (IPK)]]+Tabelle4[[#This Row],[Total Public Funding (ITA)]]</f>
        <v>0</v>
      </c>
      <c r="CU54" s="44">
        <f>Tabelle4[[#This Row],[Public Funding from DE (IPK)]]+Tabelle4[[#This Row],[Public Funding from DE (ITA)]]</f>
        <v>0</v>
      </c>
      <c r="CV54" s="44">
        <f>Tabelle4[[#This Row],[Public Funding from BR (IPK)]]+Tabelle4[[#This Row],[Public Funding from BR (ITA)]]</f>
        <v>0</v>
      </c>
      <c r="CW54" s="44">
        <f>Tabelle4[[#This Row],[Industry Funding from DE (FPC)]]+Tabelle4[[#This Row],[Public Funding from DE (FPC)]]</f>
        <v>0</v>
      </c>
      <c r="CX54" s="46">
        <f>Tabelle4[[#This Row],[Industry Funding from BR (FPC)]]+Tabelle4[[#This Row],[Public Funding from BR (FPC)]]</f>
        <v>0</v>
      </c>
      <c r="CY54" s="44">
        <f>Tabelle4[[#This Row],[Total Financial Budget (Other)]]+Tabelle4[[#This Row],[Total In-kind Contribution (Other)]]</f>
        <v>0</v>
      </c>
      <c r="CZ5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54" s="44">
        <f>Tabelle4[[#This Row],[In-kind Contribution (R&amp;D III)]]+Tabelle4[[#This Row],[In-kind Contribution (R&amp;D IV)]]</f>
        <v>0</v>
      </c>
      <c r="DB54" s="158">
        <f>Tabelle4[[#This Row],[Total Budget (FPC)]]+Tabelle4[[#This Row],[Total Volume (Other)]]</f>
        <v>0</v>
      </c>
      <c r="DC54" s="104">
        <f>Tabelle4[[#This Row],[Total Revenues (IPK)]]</f>
        <v>0</v>
      </c>
      <c r="DE54" s="44">
        <f>Tabelle4[[#This Row],[Total Revenues IPK]]*Tabelle4[[#This Row],[Probability of Success]]</f>
        <v>0</v>
      </c>
      <c r="DL54" s="44">
        <f>Tabelle4[[#This Row],[Real Budget IPK]]*Tabelle4[[#This Row],[Acquisition Factor OE810]]</f>
        <v>0</v>
      </c>
      <c r="DN54" s="46">
        <f>Tabelle4[[#This Row],[Acquisition Bonus OE810]]+Tabelle4[[#This Row],[Project Execution OE810]]</f>
        <v>0</v>
      </c>
    </row>
    <row r="55" spans="1:118" ht="27.75" x14ac:dyDescent="0.45">
      <c r="A55" s="70" t="s">
        <v>418</v>
      </c>
      <c r="B55" s="33" t="s">
        <v>137</v>
      </c>
      <c r="C55" s="33" t="s">
        <v>138</v>
      </c>
      <c r="D55" s="33" t="s">
        <v>705</v>
      </c>
      <c r="G55" s="33" t="s">
        <v>2</v>
      </c>
      <c r="H55" s="33" t="s">
        <v>0</v>
      </c>
      <c r="K55" s="33" t="s">
        <v>246</v>
      </c>
      <c r="L55" s="33" t="s">
        <v>309</v>
      </c>
      <c r="Q55" s="33">
        <v>12</v>
      </c>
      <c r="Y55" s="59">
        <v>43745</v>
      </c>
      <c r="Z55" s="42" t="str">
        <f t="shared" si="14"/>
        <v>IPK</v>
      </c>
      <c r="AA55" s="33" t="s">
        <v>116</v>
      </c>
      <c r="AB55" s="61">
        <v>0</v>
      </c>
      <c r="AC55" s="61">
        <v>0</v>
      </c>
      <c r="AD55" s="61">
        <v>0</v>
      </c>
      <c r="AE55" s="61">
        <v>0</v>
      </c>
      <c r="AF55" s="61">
        <v>0</v>
      </c>
      <c r="AG55" s="42" t="str">
        <f t="shared" si="15"/>
        <v>ITA</v>
      </c>
      <c r="AH55" s="33" t="s">
        <v>395</v>
      </c>
      <c r="AI55" s="33" t="s">
        <v>331</v>
      </c>
      <c r="AJ55" s="104">
        <v>0</v>
      </c>
      <c r="AL55" s="104">
        <v>0</v>
      </c>
      <c r="AM55" s="104">
        <v>71429</v>
      </c>
      <c r="AN55" s="104">
        <v>0</v>
      </c>
      <c r="AO55" s="42" t="s">
        <v>116</v>
      </c>
      <c r="AP55" s="33" t="s">
        <v>116</v>
      </c>
      <c r="AQ55" s="61">
        <v>0</v>
      </c>
      <c r="AR55" s="61">
        <v>0</v>
      </c>
      <c r="AS55" s="61">
        <v>0</v>
      </c>
      <c r="AT55" s="61">
        <v>0</v>
      </c>
      <c r="AU55" s="61">
        <v>0</v>
      </c>
      <c r="AV55" s="42" t="s">
        <v>116</v>
      </c>
      <c r="AW55" s="33" t="s">
        <v>116</v>
      </c>
      <c r="AX55" s="61">
        <v>0</v>
      </c>
      <c r="AY55" s="61">
        <v>0</v>
      </c>
      <c r="AZ55" s="61">
        <v>0</v>
      </c>
      <c r="BA55" s="61">
        <v>0</v>
      </c>
      <c r="BB55" s="61">
        <v>0</v>
      </c>
      <c r="BC55" s="42" t="s">
        <v>138</v>
      </c>
      <c r="BE55" s="104">
        <v>71429</v>
      </c>
      <c r="BF55" s="65">
        <v>0</v>
      </c>
      <c r="BG55" s="33" t="s">
        <v>116</v>
      </c>
      <c r="BH55" s="33" t="s">
        <v>116</v>
      </c>
      <c r="BI55" s="104">
        <v>0</v>
      </c>
      <c r="BJ55" s="65">
        <v>0</v>
      </c>
      <c r="BK55" s="33" t="s">
        <v>116</v>
      </c>
      <c r="BL55" s="33" t="s">
        <v>116</v>
      </c>
      <c r="BM55" s="61">
        <v>0</v>
      </c>
      <c r="BN55" s="65">
        <v>0</v>
      </c>
      <c r="BO55" s="33" t="s">
        <v>116</v>
      </c>
      <c r="BP55" s="33" t="s">
        <v>116</v>
      </c>
      <c r="BQ55" s="61">
        <v>0</v>
      </c>
      <c r="BR55" s="65">
        <v>0</v>
      </c>
      <c r="BS55" s="33" t="s">
        <v>116</v>
      </c>
      <c r="BT55" s="33" t="s">
        <v>116</v>
      </c>
      <c r="BU55" s="65">
        <v>0</v>
      </c>
      <c r="BV55" s="33" t="s">
        <v>116</v>
      </c>
      <c r="BW55" s="33" t="s">
        <v>116</v>
      </c>
      <c r="BX55" s="65">
        <v>0</v>
      </c>
      <c r="BY55" s="44">
        <f>Tabelle4[[#This Row],[Industry Funding from DE (IPK)]]+Tabelle4[[#This Row],[Industry Funding from BR (IPK)]]+Tabelle4[[#This Row],[Public Funding from DE (IPK)]]+Tabelle4[[#This Row],[Public Funding from BR (IPK)]]+Tabelle4[[#This Row],[In-kind Contribution (IPK)]]</f>
        <v>0</v>
      </c>
      <c r="BZ55" s="44">
        <f>Tabelle4[[#This Row],[Industry Funding from DE (IPK)]]+Tabelle4[[#This Row],[Industry Funding from BR (IPK)]]+Tabelle4[[#This Row],[Public Funding from DE (IPK)]]+Tabelle4[[#This Row],[Public Funding from BR (IPK)]]</f>
        <v>0</v>
      </c>
      <c r="CA55" s="44">
        <f>Tabelle4[[#This Row],[Industry Funding from DE (IPK)]]+Tabelle4[[#This Row],[Industry Funding from BR (IPK)]]</f>
        <v>0</v>
      </c>
      <c r="CB55" s="44">
        <f>Tabelle4[[#This Row],[Public Funding from DE (IPK)]]+Tabelle4[[#This Row],[Public Funding from BR (IPK)]]</f>
        <v>0</v>
      </c>
      <c r="CC55" s="44">
        <f>Tabelle4[[#This Row],[In-kind Contribution (IPK)]]</f>
        <v>0</v>
      </c>
      <c r="CD55" s="47" t="e">
        <f>(Tabelle4[[#This Row],[Total Industry Funding (IPK)]] + Tabelle4[[#This Row],[Total Public Funding (IPK)]])/Tabelle4[[#This Row],[Total Project Volume (IPK)]]</f>
        <v>#DIV/0!</v>
      </c>
      <c r="CE55" s="47" t="e">
        <f>Tabelle4[[#This Row],[Total Industry Funding (IPK)]] / Tabelle4[[#This Row],[Total Project Volume (IPK)]]</f>
        <v>#DIV/0!</v>
      </c>
      <c r="CF55" s="33" t="str">
        <f>Tabelle4[[#This Row],[Project Funding Classification]]</f>
        <v>Industry</v>
      </c>
      <c r="CG55" s="44">
        <f>Tabelle4[[#This Row],[Industry Funding from DE (IPK)]]+Tabelle4[[#This Row],[Public Funding from DE (IPK)]]</f>
        <v>0</v>
      </c>
      <c r="CH55" s="46">
        <f>Tabelle4[[#This Row],[Industry Funding from BR (IPK)]]+Tabelle4[[#This Row],[Public Funding from BR (IPK)]]</f>
        <v>0</v>
      </c>
      <c r="CI55" s="44">
        <f>Tabelle4[[#This Row],[Industry Funding from DE (ITA)]]+Tabelle4[[#This Row],[Industry Funding from BR (ITA)]]+Tabelle4[[#This Row],[Public Funding from DE (ITA)]]+Tabelle4[[#This Row],[Public Funding from BR (ITA)]]</f>
        <v>71429</v>
      </c>
      <c r="CJ55" s="44">
        <f>Tabelle4[[#This Row],[Industry Funding from DE (ITA)]]+Tabelle4[[#This Row],[Industry Funding from BR (ITA)]]</f>
        <v>0</v>
      </c>
      <c r="CK55" s="44">
        <f>Tabelle4[[#This Row],[Public Funding from DE (ITA)]]+Tabelle4[[#This Row],[Public Funding from BR (ITA)]]</f>
        <v>71429</v>
      </c>
      <c r="CL55" s="47">
        <f>Tabelle4[[#This Row],[Total Industry Funding (ITA)]]/Tabelle4[[#This Row],[Total Project Volume (ITA)]]</f>
        <v>0</v>
      </c>
      <c r="CM55" s="33" t="str">
        <f>IF(Tabelle4[[#This Row],[Funding Ratio (ITA)]]&lt;0.5,"Public Funding","Industry")</f>
        <v>Public Funding</v>
      </c>
      <c r="CN55" s="44">
        <f>Tabelle4[[#This Row],[Industry Funding from DE (ITA)]]+Tabelle4[[#This Row],[Public Funding from DE (ITA)]]</f>
        <v>0</v>
      </c>
      <c r="CO55" s="46">
        <f>Tabelle4[[#This Row],[Industry Funding from BR (ITA)]]+Tabelle4[[#This Row],[Public Funding from BR (ITA)]]</f>
        <v>71429</v>
      </c>
      <c r="CP55" s="44">
        <f>Tabelle4[[#This Row],[Total Project Volume (IPK)]]+Tabelle4[[#This Row],[Total Project Volume (ITA)]]</f>
        <v>71429</v>
      </c>
      <c r="CQ55" s="44">
        <f>Tabelle4[[#This Row],[Total Industry Funding (IPK)]]+Tabelle4[[#This Row],[Total Industry Funding (ITA)]]</f>
        <v>0</v>
      </c>
      <c r="CR55" s="44">
        <f>Tabelle4[[#This Row],[Industry Funding from DE (IPK)]]+Tabelle4[[#This Row],[Industry Funding from DE (ITA)]]</f>
        <v>0</v>
      </c>
      <c r="CS55" s="44">
        <f>Tabelle4[[#This Row],[Industry Funding from BR (IPK)]]+Tabelle4[[#This Row],[Industry Funding from BR (ITA)]]</f>
        <v>0</v>
      </c>
      <c r="CT55" s="44">
        <f>Tabelle4[[#This Row],[Total Public Funding (IPK)]]+Tabelle4[[#This Row],[Total Public Funding (ITA)]]</f>
        <v>71429</v>
      </c>
      <c r="CU55" s="44">
        <f>Tabelle4[[#This Row],[Public Funding from DE (IPK)]]+Tabelle4[[#This Row],[Public Funding from DE (ITA)]]</f>
        <v>0</v>
      </c>
      <c r="CV55" s="44">
        <f>Tabelle4[[#This Row],[Public Funding from BR (IPK)]]+Tabelle4[[#This Row],[Public Funding from BR (ITA)]]</f>
        <v>71429</v>
      </c>
      <c r="CW55" s="44">
        <f>Tabelle4[[#This Row],[Industry Funding from DE (FPC)]]+Tabelle4[[#This Row],[Public Funding from DE (FPC)]]</f>
        <v>0</v>
      </c>
      <c r="CX55" s="46">
        <f>Tabelle4[[#This Row],[Industry Funding from BR (FPC)]]+Tabelle4[[#This Row],[Public Funding from BR (FPC)]]</f>
        <v>71429</v>
      </c>
      <c r="CY55" s="44">
        <f>Tabelle4[[#This Row],[Total Financial Budget (Other)]]+Tabelle4[[#This Row],[Total In-kind Contribution (Other)]]</f>
        <v>0</v>
      </c>
      <c r="CZ5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55" s="44">
        <f>Tabelle4[[#This Row],[In-kind Contribution (R&amp;D III)]]+Tabelle4[[#This Row],[In-kind Contribution (R&amp;D IV)]]</f>
        <v>0</v>
      </c>
      <c r="DB55" s="158">
        <f>Tabelle4[[#This Row],[Total Budget (FPC)]]+Tabelle4[[#This Row],[Total Volume (Other)]]</f>
        <v>71429</v>
      </c>
      <c r="DC55" s="104">
        <f>Tabelle4[[#This Row],[Total Revenues (IPK)]]</f>
        <v>0</v>
      </c>
      <c r="DD55" s="47">
        <v>0</v>
      </c>
      <c r="DE55" s="44">
        <f>Tabelle4[[#This Row],[Total Revenues IPK]]*Tabelle4[[#This Row],[Probability of Success]]</f>
        <v>0</v>
      </c>
      <c r="DK55" s="47">
        <v>0</v>
      </c>
      <c r="DL55" s="44">
        <f>Tabelle4[[#This Row],[Real Budget IPK]]*Tabelle4[[#This Row],[Acquisition Factor OE810]]</f>
        <v>0</v>
      </c>
      <c r="DM55" s="44">
        <v>0</v>
      </c>
      <c r="DN55" s="46">
        <f>Tabelle4[[#This Row],[Acquisition Bonus OE810]]+Tabelle4[[#This Row],[Project Execution OE810]]</f>
        <v>0</v>
      </c>
    </row>
    <row r="56" spans="1:118" ht="27.75" x14ac:dyDescent="0.45">
      <c r="A56" s="42" t="s">
        <v>182</v>
      </c>
      <c r="C56" s="33" t="s">
        <v>183</v>
      </c>
      <c r="D56" s="33" t="s">
        <v>706</v>
      </c>
      <c r="G56" s="33" t="s">
        <v>97</v>
      </c>
      <c r="H56" s="33" t="s">
        <v>0</v>
      </c>
      <c r="K56" s="33" t="s">
        <v>246</v>
      </c>
      <c r="L56" s="33" t="s">
        <v>309</v>
      </c>
      <c r="Y56" s="59">
        <v>43657</v>
      </c>
      <c r="Z56" s="42" t="str">
        <f t="shared" si="14"/>
        <v>IPK</v>
      </c>
      <c r="AG56" s="42" t="str">
        <f t="shared" si="15"/>
        <v>ITA</v>
      </c>
      <c r="AH56" s="33" t="s">
        <v>408</v>
      </c>
      <c r="AI56" s="33" t="s">
        <v>324</v>
      </c>
      <c r="AO56" s="42"/>
      <c r="AV56" s="42"/>
      <c r="BC56" s="42"/>
      <c r="BE56" s="104"/>
      <c r="BF56" s="65"/>
      <c r="BI56" s="104"/>
      <c r="BY56" s="44">
        <f>Tabelle4[[#This Row],[Industry Funding from DE (IPK)]]+Tabelle4[[#This Row],[Industry Funding from BR (IPK)]]+Tabelle4[[#This Row],[Public Funding from DE (IPK)]]+Tabelle4[[#This Row],[Public Funding from BR (IPK)]]+Tabelle4[[#This Row],[In-kind Contribution (IPK)]]</f>
        <v>0</v>
      </c>
      <c r="BZ56" s="44">
        <f>Tabelle4[[#This Row],[Industry Funding from DE (IPK)]]+Tabelle4[[#This Row],[Industry Funding from BR (IPK)]]+Tabelle4[[#This Row],[Public Funding from DE (IPK)]]+Tabelle4[[#This Row],[Public Funding from BR (IPK)]]</f>
        <v>0</v>
      </c>
      <c r="CA56" s="44">
        <f>Tabelle4[[#This Row],[Industry Funding from DE (IPK)]]+Tabelle4[[#This Row],[Industry Funding from BR (IPK)]]</f>
        <v>0</v>
      </c>
      <c r="CB56" s="44">
        <f>Tabelle4[[#This Row],[Public Funding from DE (IPK)]]+Tabelle4[[#This Row],[Public Funding from BR (IPK)]]</f>
        <v>0</v>
      </c>
      <c r="CC56" s="44">
        <f>Tabelle4[[#This Row],[In-kind Contribution (IPK)]]</f>
        <v>0</v>
      </c>
      <c r="CD56" s="47" t="e">
        <f>(Tabelle4[[#This Row],[Total Industry Funding (IPK)]] + Tabelle4[[#This Row],[Total Public Funding (IPK)]])/Tabelle4[[#This Row],[Total Project Volume (IPK)]]</f>
        <v>#DIV/0!</v>
      </c>
      <c r="CE56" s="47" t="e">
        <f>Tabelle4[[#This Row],[Total Industry Funding (IPK)]] / Tabelle4[[#This Row],[Total Project Volume (IPK)]]</f>
        <v>#DIV/0!</v>
      </c>
      <c r="CF56" s="33" t="str">
        <f>Tabelle4[[#This Row],[Project Funding Classification]]</f>
        <v>Industry</v>
      </c>
      <c r="CG56" s="44">
        <f>Tabelle4[[#This Row],[Industry Funding from DE (IPK)]]+Tabelle4[[#This Row],[Public Funding from DE (IPK)]]</f>
        <v>0</v>
      </c>
      <c r="CH56" s="46">
        <f>Tabelle4[[#This Row],[Industry Funding from BR (IPK)]]+Tabelle4[[#This Row],[Public Funding from BR (IPK)]]</f>
        <v>0</v>
      </c>
      <c r="CI56" s="44">
        <f>Tabelle4[[#This Row],[Industry Funding from DE (ITA)]]+Tabelle4[[#This Row],[Industry Funding from BR (ITA)]]+Tabelle4[[#This Row],[Public Funding from DE (ITA)]]+Tabelle4[[#This Row],[Public Funding from BR (ITA)]]</f>
        <v>0</v>
      </c>
      <c r="CJ56" s="44">
        <f>Tabelle4[[#This Row],[Industry Funding from DE (ITA)]]+Tabelle4[[#This Row],[Industry Funding from BR (ITA)]]</f>
        <v>0</v>
      </c>
      <c r="CK56" s="44">
        <f>Tabelle4[[#This Row],[Public Funding from DE (ITA)]]+Tabelle4[[#This Row],[Public Funding from BR (ITA)]]</f>
        <v>0</v>
      </c>
      <c r="CL56" s="47" t="e">
        <f>Tabelle4[[#This Row],[Total Industry Funding (ITA)]]/Tabelle4[[#This Row],[Total Project Volume (ITA)]]</f>
        <v>#DIV/0!</v>
      </c>
      <c r="CM56" s="33" t="e">
        <f>IF(Tabelle4[[#This Row],[Funding Ratio (ITA)]]&lt;0.5,"Public Funding","Industry")</f>
        <v>#DIV/0!</v>
      </c>
      <c r="CN56" s="44">
        <f>Tabelle4[[#This Row],[Industry Funding from DE (ITA)]]+Tabelle4[[#This Row],[Public Funding from DE (ITA)]]</f>
        <v>0</v>
      </c>
      <c r="CO56" s="46">
        <f>Tabelle4[[#This Row],[Industry Funding from BR (ITA)]]+Tabelle4[[#This Row],[Public Funding from BR (ITA)]]</f>
        <v>0</v>
      </c>
      <c r="CP56" s="44">
        <f>Tabelle4[[#This Row],[Total Project Volume (IPK)]]+Tabelle4[[#This Row],[Total Project Volume (ITA)]]</f>
        <v>0</v>
      </c>
      <c r="CQ56" s="44">
        <f>Tabelle4[[#This Row],[Total Industry Funding (IPK)]]+Tabelle4[[#This Row],[Total Industry Funding (ITA)]]</f>
        <v>0</v>
      </c>
      <c r="CR56" s="44">
        <f>Tabelle4[[#This Row],[Industry Funding from DE (IPK)]]+Tabelle4[[#This Row],[Industry Funding from DE (ITA)]]</f>
        <v>0</v>
      </c>
      <c r="CS56" s="44">
        <f>Tabelle4[[#This Row],[Industry Funding from BR (IPK)]]+Tabelle4[[#This Row],[Industry Funding from BR (ITA)]]</f>
        <v>0</v>
      </c>
      <c r="CT56" s="44">
        <f>Tabelle4[[#This Row],[Total Public Funding (IPK)]]+Tabelle4[[#This Row],[Total Public Funding (ITA)]]</f>
        <v>0</v>
      </c>
      <c r="CU56" s="44">
        <f>Tabelle4[[#This Row],[Public Funding from DE (IPK)]]+Tabelle4[[#This Row],[Public Funding from DE (ITA)]]</f>
        <v>0</v>
      </c>
      <c r="CV56" s="44">
        <f>Tabelle4[[#This Row],[Public Funding from BR (IPK)]]+Tabelle4[[#This Row],[Public Funding from BR (ITA)]]</f>
        <v>0</v>
      </c>
      <c r="CW56" s="44">
        <f>Tabelle4[[#This Row],[Industry Funding from DE (FPC)]]+Tabelle4[[#This Row],[Public Funding from DE (FPC)]]</f>
        <v>0</v>
      </c>
      <c r="CX56" s="46">
        <f>Tabelle4[[#This Row],[Industry Funding from BR (FPC)]]+Tabelle4[[#This Row],[Public Funding from BR (FPC)]]</f>
        <v>0</v>
      </c>
      <c r="CY56" s="44">
        <f>Tabelle4[[#This Row],[Total Financial Budget (Other)]]+Tabelle4[[#This Row],[Total In-kind Contribution (Other)]]</f>
        <v>0</v>
      </c>
      <c r="CZ5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56" s="44">
        <f>Tabelle4[[#This Row],[In-kind Contribution (R&amp;D III)]]+Tabelle4[[#This Row],[In-kind Contribution (R&amp;D IV)]]</f>
        <v>0</v>
      </c>
      <c r="DB56" s="158">
        <f>Tabelle4[[#This Row],[Total Budget (FPC)]]+Tabelle4[[#This Row],[Total Volume (Other)]]</f>
        <v>0</v>
      </c>
      <c r="DC56" s="104">
        <f>Tabelle4[[#This Row],[Total Revenues (IPK)]]</f>
        <v>0</v>
      </c>
      <c r="DE56" s="44">
        <f>Tabelle4[[#This Row],[Total Revenues IPK]]*Tabelle4[[#This Row],[Probability of Success]]</f>
        <v>0</v>
      </c>
      <c r="DL56" s="44">
        <f>Tabelle4[[#This Row],[Real Budget IPK]]*Tabelle4[[#This Row],[Acquisition Factor OE810]]</f>
        <v>0</v>
      </c>
      <c r="DM56" s="44">
        <v>0</v>
      </c>
      <c r="DN56" s="46">
        <f>Tabelle4[[#This Row],[Acquisition Bonus OE810]]+Tabelle4[[#This Row],[Project Execution OE810]]</f>
        <v>0</v>
      </c>
    </row>
    <row r="57" spans="1:118" ht="41.65" x14ac:dyDescent="0.45">
      <c r="A57" s="48" t="s">
        <v>196</v>
      </c>
      <c r="B57" s="49"/>
      <c r="C57" s="49" t="s">
        <v>193</v>
      </c>
      <c r="D57" s="49" t="s">
        <v>711</v>
      </c>
      <c r="E57" s="49"/>
      <c r="F57" s="49"/>
      <c r="G57" s="49" t="s">
        <v>1</v>
      </c>
      <c r="H57" s="49" t="s">
        <v>96</v>
      </c>
      <c r="I57" s="49"/>
      <c r="J57" s="50"/>
      <c r="K57" s="49" t="s">
        <v>246</v>
      </c>
      <c r="L57" s="49"/>
      <c r="M57" s="146"/>
      <c r="N57" s="49"/>
      <c r="O57" s="50"/>
      <c r="P57" s="50"/>
      <c r="Q57" s="49"/>
      <c r="R57" s="50"/>
      <c r="S57" s="50"/>
      <c r="T57" s="50"/>
      <c r="U57" s="50"/>
      <c r="V57" s="50"/>
      <c r="W57" s="50"/>
      <c r="X57" s="50"/>
      <c r="Y57" s="50"/>
      <c r="Z57" s="48" t="str">
        <f t="shared" si="14"/>
        <v>IPK</v>
      </c>
      <c r="AA57" s="49"/>
      <c r="AB57" s="105"/>
      <c r="AC57" s="105"/>
      <c r="AD57" s="105">
        <v>900000</v>
      </c>
      <c r="AE57" s="105"/>
      <c r="AF57" s="105"/>
      <c r="AG57" s="48" t="str">
        <f t="shared" si="15"/>
        <v>ITA</v>
      </c>
      <c r="AH57" s="49"/>
      <c r="AI57" s="49"/>
      <c r="AO57" s="48"/>
      <c r="AP57" s="49"/>
      <c r="AQ57" s="105"/>
      <c r="AR57" s="105"/>
      <c r="AS57" s="105"/>
      <c r="AT57" s="105"/>
      <c r="AU57" s="105"/>
      <c r="AV57" s="48"/>
      <c r="AW57" s="49"/>
      <c r="AX57" s="105"/>
      <c r="AY57" s="105"/>
      <c r="AZ57" s="105"/>
      <c r="BA57" s="105"/>
      <c r="BB57" s="105"/>
      <c r="BC57" s="48"/>
      <c r="BD57" s="49"/>
      <c r="BE57" s="105"/>
      <c r="BF57" s="102"/>
      <c r="BG57" s="49"/>
      <c r="BH57" s="49"/>
      <c r="BI57" s="105"/>
      <c r="BJ57" s="102"/>
      <c r="BK57" s="49"/>
      <c r="BL57" s="49"/>
      <c r="BM57" s="105"/>
      <c r="BN57" s="102"/>
      <c r="BO57" s="49"/>
      <c r="BP57" s="49"/>
      <c r="BQ57" s="105"/>
      <c r="BR57" s="102"/>
      <c r="BS57" s="49" t="s">
        <v>193</v>
      </c>
      <c r="BT57" s="49"/>
      <c r="BU57" s="102">
        <v>900000</v>
      </c>
      <c r="BV57" s="49"/>
      <c r="BW57" s="49"/>
      <c r="BX57" s="102"/>
      <c r="BY57" s="51">
        <f>Tabelle4[[#This Row],[Industry Funding from DE (IPK)]]+Tabelle4[[#This Row],[Industry Funding from BR (IPK)]]+Tabelle4[[#This Row],[Public Funding from DE (IPK)]]+Tabelle4[[#This Row],[Public Funding from BR (IPK)]]+Tabelle4[[#This Row],[In-kind Contribution (IPK)]]</f>
        <v>900000</v>
      </c>
      <c r="BZ57" s="51">
        <f>Tabelle4[[#This Row],[Industry Funding from DE (IPK)]]+Tabelle4[[#This Row],[Industry Funding from BR (IPK)]]+Tabelle4[[#This Row],[Public Funding from DE (IPK)]]+Tabelle4[[#This Row],[Public Funding from BR (IPK)]]</f>
        <v>900000</v>
      </c>
      <c r="CA57" s="51">
        <f>Tabelle4[[#This Row],[Industry Funding from DE (IPK)]]+Tabelle4[[#This Row],[Industry Funding from BR (IPK)]]</f>
        <v>0</v>
      </c>
      <c r="CB57" s="51">
        <f>Tabelle4[[#This Row],[Public Funding from DE (IPK)]]+Tabelle4[[#This Row],[Public Funding from BR (IPK)]]</f>
        <v>900000</v>
      </c>
      <c r="CC57" s="51">
        <f>Tabelle4[[#This Row],[In-kind Contribution (IPK)]]</f>
        <v>0</v>
      </c>
      <c r="CD57" s="53">
        <f>(Tabelle4[[#This Row],[Total Industry Funding (IPK)]] + Tabelle4[[#This Row],[Total Public Funding (IPK)]])/Tabelle4[[#This Row],[Total Project Volume (IPK)]]</f>
        <v>1</v>
      </c>
      <c r="CE57" s="53">
        <f>Tabelle4[[#This Row],[Total Industry Funding (IPK)]] / Tabelle4[[#This Row],[Total Project Volume (IPK)]]</f>
        <v>0</v>
      </c>
      <c r="CF57" s="49" t="str">
        <f>Tabelle4[[#This Row],[Project Funding Classification]]</f>
        <v>Public Funding</v>
      </c>
      <c r="CG57" s="51">
        <f>Tabelle4[[#This Row],[Industry Funding from DE (IPK)]]+Tabelle4[[#This Row],[Public Funding from DE (IPK)]]</f>
        <v>900000</v>
      </c>
      <c r="CH57" s="52">
        <f>Tabelle4[[#This Row],[Industry Funding from BR (IPK)]]+Tabelle4[[#This Row],[Public Funding from BR (IPK)]]</f>
        <v>0</v>
      </c>
      <c r="CI57" s="51">
        <f>Tabelle4[[#This Row],[Industry Funding from DE (ITA)]]+Tabelle4[[#This Row],[Industry Funding from BR (ITA)]]+Tabelle4[[#This Row],[Public Funding from DE (ITA)]]+Tabelle4[[#This Row],[Public Funding from BR (ITA)]]</f>
        <v>0</v>
      </c>
      <c r="CJ57" s="51">
        <f>Tabelle4[[#This Row],[Industry Funding from DE (ITA)]]+Tabelle4[[#This Row],[Industry Funding from BR (ITA)]]</f>
        <v>0</v>
      </c>
      <c r="CK57" s="51">
        <f>Tabelle4[[#This Row],[Public Funding from DE (ITA)]]+Tabelle4[[#This Row],[Public Funding from BR (ITA)]]</f>
        <v>0</v>
      </c>
      <c r="CL57" s="53" t="e">
        <f>Tabelle4[[#This Row],[Total Industry Funding (ITA)]]/Tabelle4[[#This Row],[Total Project Volume (ITA)]]</f>
        <v>#DIV/0!</v>
      </c>
      <c r="CM57" s="49" t="e">
        <f>IF(Tabelle4[[#This Row],[Funding Ratio (ITA)]]&lt;0.5,"Public Funding","Industry")</f>
        <v>#DIV/0!</v>
      </c>
      <c r="CN57" s="51">
        <f>Tabelle4[[#This Row],[Industry Funding from DE (ITA)]]+Tabelle4[[#This Row],[Public Funding from DE (ITA)]]</f>
        <v>0</v>
      </c>
      <c r="CO57" s="52">
        <f>Tabelle4[[#This Row],[Industry Funding from BR (ITA)]]+Tabelle4[[#This Row],[Public Funding from BR (ITA)]]</f>
        <v>0</v>
      </c>
      <c r="CP57" s="51">
        <f>Tabelle4[[#This Row],[Total Project Volume (IPK)]]+Tabelle4[[#This Row],[Total Project Volume (ITA)]]</f>
        <v>900000</v>
      </c>
      <c r="CQ57" s="51">
        <f>Tabelle4[[#This Row],[Total Industry Funding (IPK)]]+Tabelle4[[#This Row],[Total Industry Funding (ITA)]]</f>
        <v>0</v>
      </c>
      <c r="CR57" s="51">
        <f>Tabelle4[[#This Row],[Industry Funding from DE (IPK)]]+Tabelle4[[#This Row],[Industry Funding from DE (ITA)]]</f>
        <v>0</v>
      </c>
      <c r="CS57" s="51">
        <f>Tabelle4[[#This Row],[Industry Funding from BR (IPK)]]+Tabelle4[[#This Row],[Industry Funding from BR (ITA)]]</f>
        <v>0</v>
      </c>
      <c r="CT57" s="51">
        <f>Tabelle4[[#This Row],[Total Public Funding (IPK)]]+Tabelle4[[#This Row],[Total Public Funding (ITA)]]</f>
        <v>900000</v>
      </c>
      <c r="CU57" s="51">
        <f>Tabelle4[[#This Row],[Public Funding from DE (IPK)]]+Tabelle4[[#This Row],[Public Funding from DE (ITA)]]</f>
        <v>900000</v>
      </c>
      <c r="CV57" s="51">
        <f>Tabelle4[[#This Row],[Public Funding from BR (IPK)]]+Tabelle4[[#This Row],[Public Funding from BR (ITA)]]</f>
        <v>0</v>
      </c>
      <c r="CW57" s="51">
        <f>Tabelle4[[#This Row],[Industry Funding from DE (FPC)]]+Tabelle4[[#This Row],[Public Funding from DE (FPC)]]</f>
        <v>900000</v>
      </c>
      <c r="CX57" s="52">
        <f>Tabelle4[[#This Row],[Industry Funding from BR (FPC)]]+Tabelle4[[#This Row],[Public Funding from BR (FPC)]]</f>
        <v>0</v>
      </c>
      <c r="CY57" s="51">
        <f>Tabelle4[[#This Row],[Total Financial Budget (Other)]]+Tabelle4[[#This Row],[Total In-kind Contribution (Other)]]</f>
        <v>0</v>
      </c>
      <c r="CZ57"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57" s="44">
        <f>Tabelle4[[#This Row],[In-kind Contribution (R&amp;D III)]]+Tabelle4[[#This Row],[In-kind Contribution (R&amp;D IV)]]</f>
        <v>0</v>
      </c>
      <c r="DB57" s="158">
        <f>Tabelle4[[#This Row],[Total Budget (FPC)]]+Tabelle4[[#This Row],[Total Volume (Other)]]</f>
        <v>900000</v>
      </c>
      <c r="DC57" s="105">
        <f>Tabelle4[[#This Row],[Total Revenues (IPK)]]</f>
        <v>900000</v>
      </c>
      <c r="DD57" s="53">
        <v>0</v>
      </c>
      <c r="DE57" s="51">
        <f>Tabelle4[[#This Row],[Total Revenues IPK]]*Tabelle4[[#This Row],[Probability of Success]]</f>
        <v>0</v>
      </c>
      <c r="DF57" s="51"/>
      <c r="DG57" s="51"/>
      <c r="DH57" s="51"/>
      <c r="DI57" s="51"/>
      <c r="DJ57" s="51"/>
      <c r="DK57" s="53"/>
      <c r="DL57" s="51">
        <f>Tabelle4[[#This Row],[Real Budget IPK]]*Tabelle4[[#This Row],[Acquisition Factor OE810]]</f>
        <v>0</v>
      </c>
      <c r="DM57" s="51">
        <v>0</v>
      </c>
      <c r="DN57" s="52">
        <f>Tabelle4[[#This Row],[Acquisition Bonus OE810]]+Tabelle4[[#This Row],[Project Execution OE810]]</f>
        <v>0</v>
      </c>
    </row>
    <row r="58" spans="1:118" x14ac:dyDescent="0.45">
      <c r="A58" s="70" t="s">
        <v>221</v>
      </c>
      <c r="B58" s="49"/>
      <c r="C58" s="49" t="s">
        <v>222</v>
      </c>
      <c r="D58" s="49" t="s">
        <v>711</v>
      </c>
      <c r="E58" s="49"/>
      <c r="F58" s="49"/>
      <c r="G58" s="49" t="s">
        <v>2</v>
      </c>
      <c r="H58" s="49" t="s">
        <v>96</v>
      </c>
      <c r="I58" s="49"/>
      <c r="J58" s="50"/>
      <c r="K58" s="49" t="s">
        <v>246</v>
      </c>
      <c r="L58" s="49" t="s">
        <v>309</v>
      </c>
      <c r="M58" s="146"/>
      <c r="N58" s="49"/>
      <c r="O58" s="50"/>
      <c r="P58" s="50"/>
      <c r="Q58" s="49"/>
      <c r="R58" s="50"/>
      <c r="S58" s="50"/>
      <c r="T58" s="50"/>
      <c r="U58" s="50"/>
      <c r="V58" s="50"/>
      <c r="W58" s="50"/>
      <c r="X58" s="50"/>
      <c r="Y58" s="50">
        <v>43745</v>
      </c>
      <c r="Z58" s="48" t="str">
        <f t="shared" si="14"/>
        <v>IPK</v>
      </c>
      <c r="AA58" s="49"/>
      <c r="AB58" s="105"/>
      <c r="AC58" s="105"/>
      <c r="AD58" s="105"/>
      <c r="AE58" s="105"/>
      <c r="AF58" s="105"/>
      <c r="AG58" s="48" t="str">
        <f t="shared" si="15"/>
        <v>ITA</v>
      </c>
      <c r="AH58" s="33" t="s">
        <v>423</v>
      </c>
      <c r="AI58" s="33" t="s">
        <v>130</v>
      </c>
      <c r="AM58" s="104">
        <v>65000</v>
      </c>
      <c r="AO58" s="48"/>
      <c r="AP58" s="49"/>
      <c r="AQ58" s="105"/>
      <c r="AR58" s="105"/>
      <c r="AS58" s="105"/>
      <c r="AT58" s="105"/>
      <c r="AU58" s="105"/>
      <c r="AV58" s="48"/>
      <c r="AW58" s="49"/>
      <c r="AX58" s="105"/>
      <c r="AY58" s="105"/>
      <c r="AZ58" s="105"/>
      <c r="BA58" s="105"/>
      <c r="BB58" s="105"/>
      <c r="BC58" s="48"/>
      <c r="BD58" s="49"/>
      <c r="BE58" s="105"/>
      <c r="BF58" s="102"/>
      <c r="BG58" s="49"/>
      <c r="BH58" s="49"/>
      <c r="BI58" s="105"/>
      <c r="BJ58" s="102"/>
      <c r="BK58" s="49"/>
      <c r="BL58" s="49"/>
      <c r="BM58" s="105"/>
      <c r="BN58" s="102"/>
      <c r="BO58" s="49"/>
      <c r="BP58" s="49"/>
      <c r="BQ58" s="105"/>
      <c r="BR58" s="102"/>
      <c r="BS58" s="49" t="s">
        <v>222</v>
      </c>
      <c r="BT58" s="49"/>
      <c r="BU58" s="102">
        <v>65000</v>
      </c>
      <c r="BV58" s="49"/>
      <c r="BW58" s="49"/>
      <c r="BX58" s="102"/>
      <c r="BY58" s="51">
        <f>Tabelle4[[#This Row],[Industry Funding from DE (IPK)]]+Tabelle4[[#This Row],[Industry Funding from BR (IPK)]]+Tabelle4[[#This Row],[Public Funding from DE (IPK)]]+Tabelle4[[#This Row],[Public Funding from BR (IPK)]]+Tabelle4[[#This Row],[In-kind Contribution (IPK)]]</f>
        <v>0</v>
      </c>
      <c r="BZ58" s="51">
        <f>Tabelle4[[#This Row],[Industry Funding from DE (IPK)]]+Tabelle4[[#This Row],[Industry Funding from BR (IPK)]]+Tabelle4[[#This Row],[Public Funding from DE (IPK)]]+Tabelle4[[#This Row],[Public Funding from BR (IPK)]]</f>
        <v>0</v>
      </c>
      <c r="CA58" s="51">
        <f>Tabelle4[[#This Row],[Industry Funding from DE (IPK)]]+Tabelle4[[#This Row],[Industry Funding from BR (IPK)]]</f>
        <v>0</v>
      </c>
      <c r="CB58" s="51">
        <f>Tabelle4[[#This Row],[Public Funding from DE (IPK)]]+Tabelle4[[#This Row],[Public Funding from BR (IPK)]]</f>
        <v>0</v>
      </c>
      <c r="CC58" s="51">
        <f>Tabelle4[[#This Row],[In-kind Contribution (IPK)]]</f>
        <v>0</v>
      </c>
      <c r="CD58" s="53" t="e">
        <f>(Tabelle4[[#This Row],[Total Industry Funding (IPK)]] + Tabelle4[[#This Row],[Total Public Funding (IPK)]])/Tabelle4[[#This Row],[Total Project Volume (IPK)]]</f>
        <v>#DIV/0!</v>
      </c>
      <c r="CE58" s="53" t="e">
        <f>Tabelle4[[#This Row],[Total Industry Funding (IPK)]] / Tabelle4[[#This Row],[Total Project Volume (IPK)]]</f>
        <v>#DIV/0!</v>
      </c>
      <c r="CF58" s="49" t="str">
        <f>Tabelle4[[#This Row],[Project Funding Classification]]</f>
        <v>Public Funding</v>
      </c>
      <c r="CG58" s="51">
        <f>Tabelle4[[#This Row],[Industry Funding from DE (IPK)]]+Tabelle4[[#This Row],[Public Funding from DE (IPK)]]</f>
        <v>0</v>
      </c>
      <c r="CH58" s="52">
        <f>Tabelle4[[#This Row],[Industry Funding from BR (IPK)]]+Tabelle4[[#This Row],[Public Funding from BR (IPK)]]</f>
        <v>0</v>
      </c>
      <c r="CI58" s="51">
        <f>Tabelle4[[#This Row],[Industry Funding from DE (ITA)]]+Tabelle4[[#This Row],[Industry Funding from BR (ITA)]]+Tabelle4[[#This Row],[Public Funding from DE (ITA)]]+Tabelle4[[#This Row],[Public Funding from BR (ITA)]]</f>
        <v>65000</v>
      </c>
      <c r="CJ58" s="51">
        <f>Tabelle4[[#This Row],[Industry Funding from DE (ITA)]]+Tabelle4[[#This Row],[Industry Funding from BR (ITA)]]</f>
        <v>0</v>
      </c>
      <c r="CK58" s="51">
        <f>Tabelle4[[#This Row],[Public Funding from DE (ITA)]]+Tabelle4[[#This Row],[Public Funding from BR (ITA)]]</f>
        <v>65000</v>
      </c>
      <c r="CL58" s="53">
        <f>Tabelle4[[#This Row],[Total Industry Funding (ITA)]]/Tabelle4[[#This Row],[Total Project Volume (ITA)]]</f>
        <v>0</v>
      </c>
      <c r="CM58" s="49" t="str">
        <f>IF(Tabelle4[[#This Row],[Funding Ratio (ITA)]]&lt;0.5,"Public Funding","Industry")</f>
        <v>Public Funding</v>
      </c>
      <c r="CN58" s="51">
        <f>Tabelle4[[#This Row],[Industry Funding from DE (ITA)]]+Tabelle4[[#This Row],[Public Funding from DE (ITA)]]</f>
        <v>0</v>
      </c>
      <c r="CO58" s="52">
        <f>Tabelle4[[#This Row],[Industry Funding from BR (ITA)]]+Tabelle4[[#This Row],[Public Funding from BR (ITA)]]</f>
        <v>65000</v>
      </c>
      <c r="CP58" s="51">
        <f>Tabelle4[[#This Row],[Total Project Volume (IPK)]]+Tabelle4[[#This Row],[Total Project Volume (ITA)]]</f>
        <v>65000</v>
      </c>
      <c r="CQ58" s="51">
        <f>Tabelle4[[#This Row],[Total Industry Funding (IPK)]]+Tabelle4[[#This Row],[Total Industry Funding (ITA)]]</f>
        <v>0</v>
      </c>
      <c r="CR58" s="51">
        <f>Tabelle4[[#This Row],[Industry Funding from DE (IPK)]]+Tabelle4[[#This Row],[Industry Funding from DE (ITA)]]</f>
        <v>0</v>
      </c>
      <c r="CS58" s="51">
        <f>Tabelle4[[#This Row],[Industry Funding from BR (IPK)]]+Tabelle4[[#This Row],[Industry Funding from BR (ITA)]]</f>
        <v>0</v>
      </c>
      <c r="CT58" s="51">
        <f>Tabelle4[[#This Row],[Total Public Funding (IPK)]]+Tabelle4[[#This Row],[Total Public Funding (ITA)]]</f>
        <v>65000</v>
      </c>
      <c r="CU58" s="51">
        <f>Tabelle4[[#This Row],[Public Funding from DE (IPK)]]+Tabelle4[[#This Row],[Public Funding from DE (ITA)]]</f>
        <v>0</v>
      </c>
      <c r="CV58" s="51">
        <f>Tabelle4[[#This Row],[Public Funding from BR (IPK)]]+Tabelle4[[#This Row],[Public Funding from BR (ITA)]]</f>
        <v>65000</v>
      </c>
      <c r="CW58" s="51">
        <f>Tabelle4[[#This Row],[Industry Funding from DE (FPC)]]+Tabelle4[[#This Row],[Public Funding from DE (FPC)]]</f>
        <v>0</v>
      </c>
      <c r="CX58" s="52">
        <f>Tabelle4[[#This Row],[Industry Funding from BR (FPC)]]+Tabelle4[[#This Row],[Public Funding from BR (FPC)]]</f>
        <v>65000</v>
      </c>
      <c r="CY58" s="51">
        <f>Tabelle4[[#This Row],[Total Financial Budget (Other)]]+Tabelle4[[#This Row],[Total In-kind Contribution (Other)]]</f>
        <v>0</v>
      </c>
      <c r="CZ58"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58" s="44">
        <f>Tabelle4[[#This Row],[In-kind Contribution (R&amp;D III)]]+Tabelle4[[#This Row],[In-kind Contribution (R&amp;D IV)]]</f>
        <v>0</v>
      </c>
      <c r="DB58" s="158">
        <f>Tabelle4[[#This Row],[Total Budget (FPC)]]+Tabelle4[[#This Row],[Total Volume (Other)]]</f>
        <v>65000</v>
      </c>
      <c r="DC58" s="105">
        <f>Tabelle4[[#This Row],[Total Revenues (IPK)]]</f>
        <v>0</v>
      </c>
      <c r="DD58" s="53"/>
      <c r="DE58" s="51">
        <f>Tabelle4[[#This Row],[Total Revenues IPK]]*Tabelle4[[#This Row],[Probability of Success]]</f>
        <v>0</v>
      </c>
      <c r="DF58" s="51"/>
      <c r="DG58" s="51"/>
      <c r="DH58" s="51"/>
      <c r="DI58" s="51"/>
      <c r="DJ58" s="51"/>
      <c r="DK58" s="53"/>
      <c r="DL58" s="51">
        <f>Tabelle4[[#This Row],[Real Budget IPK]]*Tabelle4[[#This Row],[Acquisition Factor OE810]]</f>
        <v>0</v>
      </c>
      <c r="DM58" s="51">
        <v>0</v>
      </c>
      <c r="DN58" s="52">
        <f>Tabelle4[[#This Row],[Acquisition Bonus OE810]]+Tabelle4[[#This Row],[Project Execution OE810]]</f>
        <v>0</v>
      </c>
    </row>
    <row r="59" spans="1:118" ht="27.75" x14ac:dyDescent="0.45">
      <c r="A59" s="70" t="s">
        <v>388</v>
      </c>
      <c r="B59" s="33" t="s">
        <v>389</v>
      </c>
      <c r="C59" s="57" t="s">
        <v>453</v>
      </c>
      <c r="D59" s="57" t="s">
        <v>710</v>
      </c>
      <c r="E59" s="33">
        <v>1</v>
      </c>
      <c r="F59" s="33">
        <v>0</v>
      </c>
      <c r="G59" s="33" t="s">
        <v>2</v>
      </c>
      <c r="H59" s="33" t="s">
        <v>96</v>
      </c>
      <c r="K59" s="33" t="s">
        <v>244</v>
      </c>
      <c r="L59" s="59" t="s">
        <v>651</v>
      </c>
      <c r="Q59" s="58">
        <v>30</v>
      </c>
      <c r="R59" s="60"/>
      <c r="S59" s="60"/>
      <c r="T59" s="60"/>
      <c r="U59" s="60"/>
      <c r="W59" s="59">
        <v>43719</v>
      </c>
      <c r="Z59" s="42" t="str">
        <f t="shared" si="14"/>
        <v>IPK</v>
      </c>
      <c r="AG59" s="42" t="str">
        <f t="shared" si="15"/>
        <v>ITA</v>
      </c>
      <c r="AH59" s="33" t="s">
        <v>386</v>
      </c>
      <c r="AI59" s="33" t="s">
        <v>331</v>
      </c>
      <c r="AM59" s="64">
        <f>(4700000/4.3111)</f>
        <v>1090208.9953840089</v>
      </c>
      <c r="AO59" s="42"/>
      <c r="AV59" s="42"/>
      <c r="BC59" s="42" t="s">
        <v>353</v>
      </c>
      <c r="BE59" s="64"/>
      <c r="BF59" s="65"/>
      <c r="BS59" s="33" t="s">
        <v>452</v>
      </c>
      <c r="BU59" s="101"/>
      <c r="BY59" s="44">
        <f>Tabelle4[[#This Row],[Industry Funding from DE (IPK)]]+Tabelle4[[#This Row],[Industry Funding from BR (IPK)]]+Tabelle4[[#This Row],[Public Funding from DE (IPK)]]+Tabelle4[[#This Row],[Public Funding from BR (IPK)]]+Tabelle4[[#This Row],[In-kind Contribution (IPK)]]</f>
        <v>0</v>
      </c>
      <c r="BZ59" s="44">
        <f>Tabelle4[[#This Row],[Industry Funding from DE (IPK)]]+Tabelle4[[#This Row],[Industry Funding from BR (IPK)]]+Tabelle4[[#This Row],[Public Funding from DE (IPK)]]+Tabelle4[[#This Row],[Public Funding from BR (IPK)]]</f>
        <v>0</v>
      </c>
      <c r="CA59" s="44">
        <f>Tabelle4[[#This Row],[Industry Funding from DE (IPK)]]+Tabelle4[[#This Row],[Industry Funding from BR (IPK)]]</f>
        <v>0</v>
      </c>
      <c r="CB59" s="44">
        <f>Tabelle4[[#This Row],[Public Funding from DE (IPK)]]+Tabelle4[[#This Row],[Public Funding from BR (IPK)]]</f>
        <v>0</v>
      </c>
      <c r="CC59" s="44">
        <f>Tabelle4[[#This Row],[In-kind Contribution (IPK)]]</f>
        <v>0</v>
      </c>
      <c r="CD59" s="47" t="e">
        <f>(Tabelle4[[#This Row],[Total Industry Funding (IPK)]] + Tabelle4[[#This Row],[Total Public Funding (IPK)]])/Tabelle4[[#This Row],[Total Project Volume (IPK)]]</f>
        <v>#DIV/0!</v>
      </c>
      <c r="CE59" s="47" t="e">
        <f>Tabelle4[[#This Row],[Total Industry Funding (IPK)]] / Tabelle4[[#This Row],[Total Project Volume (IPK)]]</f>
        <v>#DIV/0!</v>
      </c>
      <c r="CF59" s="33" t="str">
        <f>Tabelle4[[#This Row],[Project Funding Classification]]</f>
        <v>Public Funding</v>
      </c>
      <c r="CG59" s="44">
        <f>Tabelle4[[#This Row],[Industry Funding from DE (IPK)]]+Tabelle4[[#This Row],[Public Funding from DE (IPK)]]</f>
        <v>0</v>
      </c>
      <c r="CH59" s="46">
        <f>Tabelle4[[#This Row],[Industry Funding from BR (IPK)]]+Tabelle4[[#This Row],[Public Funding from BR (IPK)]]</f>
        <v>0</v>
      </c>
      <c r="CI59" s="44">
        <f>Tabelle4[[#This Row],[Industry Funding from DE (ITA)]]+Tabelle4[[#This Row],[Industry Funding from BR (ITA)]]+Tabelle4[[#This Row],[Public Funding from DE (ITA)]]+Tabelle4[[#This Row],[Public Funding from BR (ITA)]]</f>
        <v>1090208.9953840089</v>
      </c>
      <c r="CJ59" s="44">
        <f>Tabelle4[[#This Row],[Industry Funding from DE (ITA)]]+Tabelle4[[#This Row],[Industry Funding from BR (ITA)]]</f>
        <v>0</v>
      </c>
      <c r="CK59" s="44">
        <f>Tabelle4[[#This Row],[Public Funding from DE (ITA)]]+Tabelle4[[#This Row],[Public Funding from BR (ITA)]]</f>
        <v>1090208.9953840089</v>
      </c>
      <c r="CL59" s="47">
        <f>Tabelle4[[#This Row],[Total Industry Funding (ITA)]]/Tabelle4[[#This Row],[Total Project Volume (ITA)]]</f>
        <v>0</v>
      </c>
      <c r="CM59" s="33" t="str">
        <f>IF(Tabelle4[[#This Row],[Funding Ratio (ITA)]]&lt;0.5,"Public Funding","Industry")</f>
        <v>Public Funding</v>
      </c>
      <c r="CN59" s="44">
        <f>Tabelle4[[#This Row],[Industry Funding from DE (ITA)]]+Tabelle4[[#This Row],[Public Funding from DE (ITA)]]</f>
        <v>0</v>
      </c>
      <c r="CO59" s="46">
        <f>Tabelle4[[#This Row],[Industry Funding from BR (ITA)]]+Tabelle4[[#This Row],[Public Funding from BR (ITA)]]</f>
        <v>1090208.9953840089</v>
      </c>
      <c r="CP59" s="44">
        <f>Tabelle4[[#This Row],[Total Project Volume (IPK)]]+Tabelle4[[#This Row],[Total Project Volume (ITA)]]</f>
        <v>1090208.9953840089</v>
      </c>
      <c r="CQ59" s="44">
        <f>Tabelle4[[#This Row],[Total Industry Funding (IPK)]]+Tabelle4[[#This Row],[Total Industry Funding (ITA)]]</f>
        <v>0</v>
      </c>
      <c r="CR59" s="44">
        <f>Tabelle4[[#This Row],[Industry Funding from DE (IPK)]]+Tabelle4[[#This Row],[Industry Funding from DE (ITA)]]</f>
        <v>0</v>
      </c>
      <c r="CS59" s="44">
        <f>Tabelle4[[#This Row],[Industry Funding from BR (IPK)]]+Tabelle4[[#This Row],[Industry Funding from BR (ITA)]]</f>
        <v>0</v>
      </c>
      <c r="CT59" s="44">
        <f>Tabelle4[[#This Row],[Total Public Funding (IPK)]]+Tabelle4[[#This Row],[Total Public Funding (ITA)]]</f>
        <v>1090208.9953840089</v>
      </c>
      <c r="CU59" s="44">
        <f>Tabelle4[[#This Row],[Public Funding from DE (IPK)]]+Tabelle4[[#This Row],[Public Funding from DE (ITA)]]</f>
        <v>0</v>
      </c>
      <c r="CV59" s="44">
        <f>Tabelle4[[#This Row],[Public Funding from BR (IPK)]]+Tabelle4[[#This Row],[Public Funding from BR (ITA)]]</f>
        <v>1090208.9953840089</v>
      </c>
      <c r="CW59" s="44">
        <f>Tabelle4[[#This Row],[Industry Funding from DE (FPC)]]+Tabelle4[[#This Row],[Public Funding from DE (FPC)]]</f>
        <v>0</v>
      </c>
      <c r="CX59" s="46">
        <f>Tabelle4[[#This Row],[Industry Funding from BR (FPC)]]+Tabelle4[[#This Row],[Public Funding from BR (FPC)]]</f>
        <v>1090208.9953840089</v>
      </c>
      <c r="CY59" s="51">
        <f>Tabelle4[[#This Row],[Total Financial Budget (Other)]]+Tabelle4[[#This Row],[Total In-kind Contribution (Other)]]</f>
        <v>0</v>
      </c>
      <c r="CZ5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59" s="44">
        <f>Tabelle4[[#This Row],[In-kind Contribution (R&amp;D III)]]+Tabelle4[[#This Row],[In-kind Contribution (R&amp;D IV)]]</f>
        <v>0</v>
      </c>
      <c r="DB59" s="158">
        <f>Tabelle4[[#This Row],[Total Budget (FPC)]]+Tabelle4[[#This Row],[Total Volume (Other)]]</f>
        <v>1090208.9953840089</v>
      </c>
      <c r="DC59" s="104">
        <f>Tabelle4[[#This Row],[Total Revenues (IPK)]]</f>
        <v>0</v>
      </c>
      <c r="DE59" s="44">
        <f>Tabelle4[[#This Row],[Total Revenues IPK]]*Tabelle4[[#This Row],[Probability of Success]]</f>
        <v>0</v>
      </c>
      <c r="DL59" s="44">
        <f>Tabelle4[[#This Row],[Real Budget IPK]]*Tabelle4[[#This Row],[Acquisition Factor OE810]]</f>
        <v>0</v>
      </c>
      <c r="DN59" s="46">
        <f>Tabelle4[[#This Row],[Acquisition Bonus OE810]]+Tabelle4[[#This Row],[Project Execution OE810]]</f>
        <v>0</v>
      </c>
    </row>
    <row r="60" spans="1:118" ht="27.75" x14ac:dyDescent="0.45">
      <c r="A60" s="70" t="s">
        <v>321</v>
      </c>
      <c r="B60" s="33" t="s">
        <v>440</v>
      </c>
      <c r="C60" s="57" t="s">
        <v>321</v>
      </c>
      <c r="D60" s="57" t="s">
        <v>704</v>
      </c>
      <c r="E60" s="33">
        <v>1</v>
      </c>
      <c r="F60" s="33">
        <v>0</v>
      </c>
      <c r="G60" s="33" t="s">
        <v>2</v>
      </c>
      <c r="H60" s="33" t="s">
        <v>0</v>
      </c>
      <c r="J60" s="59">
        <v>43696</v>
      </c>
      <c r="K60" s="33" t="s">
        <v>246</v>
      </c>
      <c r="L60" s="59" t="s">
        <v>309</v>
      </c>
      <c r="Q60" s="58"/>
      <c r="R60" s="60"/>
      <c r="S60" s="60">
        <v>43745</v>
      </c>
      <c r="T60" s="60"/>
      <c r="U60" s="60"/>
      <c r="Y60" s="59">
        <v>43951</v>
      </c>
      <c r="Z60" s="42" t="s">
        <v>1</v>
      </c>
      <c r="AG60" s="42" t="s">
        <v>2</v>
      </c>
      <c r="AH60" s="33" t="s">
        <v>441</v>
      </c>
      <c r="AI60" s="33" t="s">
        <v>331</v>
      </c>
      <c r="AJ60" s="104">
        <v>0</v>
      </c>
      <c r="AK60" s="104">
        <v>0</v>
      </c>
      <c r="AL60" s="64"/>
      <c r="AO60" s="42"/>
      <c r="AV60" s="42"/>
      <c r="BC60" s="42"/>
      <c r="BE60" s="104"/>
      <c r="BF60" s="65"/>
      <c r="BU60" s="101"/>
      <c r="BY60" s="44">
        <f>Tabelle4[[#This Row],[Industry Funding from DE (IPK)]]+Tabelle4[[#This Row],[Industry Funding from BR (IPK)]]+Tabelle4[[#This Row],[Public Funding from DE (IPK)]]+Tabelle4[[#This Row],[Public Funding from BR (IPK)]]+Tabelle4[[#This Row],[In-kind Contribution (IPK)]]</f>
        <v>0</v>
      </c>
      <c r="BZ60" s="44">
        <f>Tabelle4[[#This Row],[Industry Funding from DE (IPK)]]+Tabelle4[[#This Row],[Industry Funding from BR (IPK)]]+Tabelle4[[#This Row],[Public Funding from DE (IPK)]]+Tabelle4[[#This Row],[Public Funding from BR (IPK)]]</f>
        <v>0</v>
      </c>
      <c r="CA60" s="44">
        <f>Tabelle4[[#This Row],[Industry Funding from DE (IPK)]]+Tabelle4[[#This Row],[Industry Funding from BR (IPK)]]</f>
        <v>0</v>
      </c>
      <c r="CB60" s="44">
        <f>Tabelle4[[#This Row],[Public Funding from DE (IPK)]]+Tabelle4[[#This Row],[Public Funding from BR (IPK)]]</f>
        <v>0</v>
      </c>
      <c r="CC60" s="44">
        <f>Tabelle4[[#This Row],[In-kind Contribution (IPK)]]</f>
        <v>0</v>
      </c>
      <c r="CD60" s="47" t="e">
        <f>(Tabelle4[[#This Row],[Total Industry Funding (IPK)]] + Tabelle4[[#This Row],[Total Public Funding (IPK)]])/Tabelle4[[#This Row],[Total Project Volume (IPK)]]</f>
        <v>#DIV/0!</v>
      </c>
      <c r="CE60" s="47" t="e">
        <f>Tabelle4[[#This Row],[Total Industry Funding (IPK)]] / Tabelle4[[#This Row],[Total Project Volume (IPK)]]</f>
        <v>#DIV/0!</v>
      </c>
      <c r="CF60" s="33" t="str">
        <f>Tabelle4[[#This Row],[Project Funding Classification]]</f>
        <v>Industry</v>
      </c>
      <c r="CG60" s="44">
        <f>Tabelle4[[#This Row],[Industry Funding from DE (IPK)]]+Tabelle4[[#This Row],[Public Funding from DE (IPK)]]</f>
        <v>0</v>
      </c>
      <c r="CH60" s="46">
        <f>Tabelle4[[#This Row],[Industry Funding from BR (IPK)]]+Tabelle4[[#This Row],[Public Funding from BR (IPK)]]</f>
        <v>0</v>
      </c>
      <c r="CI60" s="44">
        <f>Tabelle4[[#This Row],[Industry Funding from DE (ITA)]]+Tabelle4[[#This Row],[Industry Funding from BR (ITA)]]+Tabelle4[[#This Row],[Public Funding from DE (ITA)]]+Tabelle4[[#This Row],[Public Funding from BR (ITA)]]</f>
        <v>0</v>
      </c>
      <c r="CJ60" s="44">
        <f>Tabelle4[[#This Row],[Industry Funding from DE (ITA)]]+Tabelle4[[#This Row],[Industry Funding from BR (ITA)]]</f>
        <v>0</v>
      </c>
      <c r="CK60" s="44">
        <f>Tabelle4[[#This Row],[Public Funding from DE (ITA)]]+Tabelle4[[#This Row],[Public Funding from BR (ITA)]]</f>
        <v>0</v>
      </c>
      <c r="CL60" s="47" t="e">
        <f>Tabelle4[[#This Row],[Total Industry Funding (ITA)]]/Tabelle4[[#This Row],[Total Project Volume (ITA)]]</f>
        <v>#DIV/0!</v>
      </c>
      <c r="CM60" s="33" t="e">
        <f>IF(Tabelle4[[#This Row],[Funding Ratio (ITA)]]&lt;0.5,"Public Funding","Industry")</f>
        <v>#DIV/0!</v>
      </c>
      <c r="CN60" s="44">
        <f>Tabelle4[[#This Row],[Industry Funding from DE (ITA)]]+Tabelle4[[#This Row],[Public Funding from DE (ITA)]]</f>
        <v>0</v>
      </c>
      <c r="CO60" s="46">
        <f>Tabelle4[[#This Row],[Industry Funding from BR (ITA)]]+Tabelle4[[#This Row],[Public Funding from BR (ITA)]]</f>
        <v>0</v>
      </c>
      <c r="CP60" s="44">
        <f>Tabelle4[[#This Row],[Total Project Volume (IPK)]]+Tabelle4[[#This Row],[Total Project Volume (ITA)]]</f>
        <v>0</v>
      </c>
      <c r="CQ60" s="44">
        <f>Tabelle4[[#This Row],[Total Industry Funding (IPK)]]+Tabelle4[[#This Row],[Total Industry Funding (ITA)]]</f>
        <v>0</v>
      </c>
      <c r="CR60" s="44">
        <f>Tabelle4[[#This Row],[Industry Funding from DE (IPK)]]+Tabelle4[[#This Row],[Industry Funding from DE (ITA)]]</f>
        <v>0</v>
      </c>
      <c r="CS60" s="44">
        <f>Tabelle4[[#This Row],[Industry Funding from BR (IPK)]]+Tabelle4[[#This Row],[Industry Funding from BR (ITA)]]</f>
        <v>0</v>
      </c>
      <c r="CT60" s="44">
        <f>Tabelle4[[#This Row],[Total Public Funding (IPK)]]+Tabelle4[[#This Row],[Total Public Funding (ITA)]]</f>
        <v>0</v>
      </c>
      <c r="CU60" s="44">
        <f>Tabelle4[[#This Row],[Public Funding from DE (IPK)]]+Tabelle4[[#This Row],[Public Funding from DE (ITA)]]</f>
        <v>0</v>
      </c>
      <c r="CV60" s="44">
        <f>Tabelle4[[#This Row],[Public Funding from BR (IPK)]]+Tabelle4[[#This Row],[Public Funding from BR (ITA)]]</f>
        <v>0</v>
      </c>
      <c r="CW60" s="44">
        <f>Tabelle4[[#This Row],[Industry Funding from DE (FPC)]]+Tabelle4[[#This Row],[Public Funding from DE (FPC)]]</f>
        <v>0</v>
      </c>
      <c r="CX60" s="46">
        <f>Tabelle4[[#This Row],[Industry Funding from BR (FPC)]]+Tabelle4[[#This Row],[Public Funding from BR (FPC)]]</f>
        <v>0</v>
      </c>
      <c r="CY60" s="51">
        <f>Tabelle4[[#This Row],[Total Financial Budget (Other)]]+Tabelle4[[#This Row],[Total In-kind Contribution (Other)]]</f>
        <v>0</v>
      </c>
      <c r="CZ6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60" s="44">
        <f>Tabelle4[[#This Row],[In-kind Contribution (R&amp;D III)]]+Tabelle4[[#This Row],[In-kind Contribution (R&amp;D IV)]]</f>
        <v>0</v>
      </c>
      <c r="DB60" s="158">
        <f>Tabelle4[[#This Row],[Total Budget (FPC)]]+Tabelle4[[#This Row],[Total Volume (Other)]]</f>
        <v>0</v>
      </c>
      <c r="DC60" s="104">
        <f>Tabelle4[[#This Row],[Total Revenues (IPK)]]</f>
        <v>0</v>
      </c>
      <c r="DE60" s="44">
        <f>Tabelle4[[#This Row],[Total Revenues IPK]]*Tabelle4[[#This Row],[Probability of Success]]</f>
        <v>0</v>
      </c>
      <c r="DL60" s="44">
        <f>Tabelle4[[#This Row],[Real Budget IPK]]*Tabelle4[[#This Row],[Acquisition Factor OE810]]</f>
        <v>0</v>
      </c>
      <c r="DN60" s="46">
        <f>Tabelle4[[#This Row],[Acquisition Bonus OE810]]+Tabelle4[[#This Row],[Project Execution OE810]]</f>
        <v>0</v>
      </c>
    </row>
    <row r="61" spans="1:118" ht="42" customHeight="1" x14ac:dyDescent="0.45">
      <c r="A61" s="70" t="s">
        <v>396</v>
      </c>
      <c r="B61" s="33" t="s">
        <v>397</v>
      </c>
      <c r="C61" s="57" t="s">
        <v>453</v>
      </c>
      <c r="D61" s="57" t="s">
        <v>710</v>
      </c>
      <c r="E61" s="33">
        <v>1</v>
      </c>
      <c r="F61" s="33">
        <v>0</v>
      </c>
      <c r="G61" s="33" t="s">
        <v>2</v>
      </c>
      <c r="H61" s="33" t="s">
        <v>96</v>
      </c>
      <c r="K61" s="33" t="s">
        <v>246</v>
      </c>
      <c r="L61" s="59" t="s">
        <v>309</v>
      </c>
      <c r="M61" s="144">
        <v>4.3110999999999997</v>
      </c>
      <c r="Q61" s="33">
        <v>12</v>
      </c>
      <c r="Y61" s="59">
        <v>44117</v>
      </c>
      <c r="Z61" s="42" t="str">
        <f t="shared" ref="Z61:Z92" si="16">"IPK"</f>
        <v>IPK</v>
      </c>
      <c r="AG61" s="42" t="str">
        <f t="shared" ref="AG61:AG72" si="17">"ITA"</f>
        <v>ITA</v>
      </c>
      <c r="AH61" s="33" t="s">
        <v>386</v>
      </c>
      <c r="AI61" s="33" t="s">
        <v>331</v>
      </c>
      <c r="AM61" s="64">
        <f>(1000000/M61)</f>
        <v>231959.36072000186</v>
      </c>
      <c r="AO61" s="42"/>
      <c r="AV61" s="42"/>
      <c r="BC61" s="42" t="s">
        <v>353</v>
      </c>
      <c r="BE61" s="64"/>
      <c r="BF61" s="65"/>
      <c r="BS61" s="33" t="s">
        <v>452</v>
      </c>
      <c r="BU61" s="101"/>
      <c r="BY61" s="44">
        <f>Tabelle4[[#This Row],[Industry Funding from DE (IPK)]]+Tabelle4[[#This Row],[Industry Funding from BR (IPK)]]+Tabelle4[[#This Row],[Public Funding from DE (IPK)]]+Tabelle4[[#This Row],[Public Funding from BR (IPK)]]+Tabelle4[[#This Row],[In-kind Contribution (IPK)]]</f>
        <v>0</v>
      </c>
      <c r="BZ61" s="44">
        <f>Tabelle4[[#This Row],[Industry Funding from DE (IPK)]]+Tabelle4[[#This Row],[Industry Funding from BR (IPK)]]+Tabelle4[[#This Row],[Public Funding from DE (IPK)]]+Tabelle4[[#This Row],[Public Funding from BR (IPK)]]</f>
        <v>0</v>
      </c>
      <c r="CA61" s="44">
        <f>Tabelle4[[#This Row],[Industry Funding from DE (IPK)]]+Tabelle4[[#This Row],[Industry Funding from BR (IPK)]]</f>
        <v>0</v>
      </c>
      <c r="CB61" s="44">
        <f>Tabelle4[[#This Row],[Public Funding from DE (IPK)]]+Tabelle4[[#This Row],[Public Funding from BR (IPK)]]</f>
        <v>0</v>
      </c>
      <c r="CC61" s="44">
        <f>Tabelle4[[#This Row],[In-kind Contribution (IPK)]]</f>
        <v>0</v>
      </c>
      <c r="CD61" s="47" t="e">
        <f>(Tabelle4[[#This Row],[Total Industry Funding (IPK)]] + Tabelle4[[#This Row],[Total Public Funding (IPK)]])/Tabelle4[[#This Row],[Total Project Volume (IPK)]]</f>
        <v>#DIV/0!</v>
      </c>
      <c r="CE61" s="47" t="e">
        <f>Tabelle4[[#This Row],[Total Industry Funding (IPK)]] / Tabelle4[[#This Row],[Total Project Volume (IPK)]]</f>
        <v>#DIV/0!</v>
      </c>
      <c r="CF61" s="33" t="str">
        <f>Tabelle4[[#This Row],[Project Funding Classification]]</f>
        <v>Public Funding</v>
      </c>
      <c r="CG61" s="44">
        <f>Tabelle4[[#This Row],[Industry Funding from DE (IPK)]]+Tabelle4[[#This Row],[Public Funding from DE (IPK)]]</f>
        <v>0</v>
      </c>
      <c r="CH61" s="46">
        <f>Tabelle4[[#This Row],[Industry Funding from BR (IPK)]]+Tabelle4[[#This Row],[Public Funding from BR (IPK)]]</f>
        <v>0</v>
      </c>
      <c r="CI61" s="44">
        <f>Tabelle4[[#This Row],[Industry Funding from DE (ITA)]]+Tabelle4[[#This Row],[Industry Funding from BR (ITA)]]+Tabelle4[[#This Row],[Public Funding from DE (ITA)]]+Tabelle4[[#This Row],[Public Funding from BR (ITA)]]</f>
        <v>231959.36072000186</v>
      </c>
      <c r="CJ61" s="44">
        <f>Tabelle4[[#This Row],[Industry Funding from DE (ITA)]]+Tabelle4[[#This Row],[Industry Funding from BR (ITA)]]</f>
        <v>0</v>
      </c>
      <c r="CK61" s="44">
        <f>Tabelle4[[#This Row],[Public Funding from DE (ITA)]]+Tabelle4[[#This Row],[Public Funding from BR (ITA)]]</f>
        <v>231959.36072000186</v>
      </c>
      <c r="CL61" s="47">
        <f>Tabelle4[[#This Row],[Total Industry Funding (ITA)]]/Tabelle4[[#This Row],[Total Project Volume (ITA)]]</f>
        <v>0</v>
      </c>
      <c r="CM61" s="33" t="str">
        <f>IF(Tabelle4[[#This Row],[Funding Ratio (ITA)]]&lt;0.5,"Public Funding","Industry")</f>
        <v>Public Funding</v>
      </c>
      <c r="CN61" s="44">
        <f>Tabelle4[[#This Row],[Industry Funding from DE (ITA)]]+Tabelle4[[#This Row],[Public Funding from DE (ITA)]]</f>
        <v>0</v>
      </c>
      <c r="CO61" s="46">
        <f>Tabelle4[[#This Row],[Industry Funding from BR (ITA)]]+Tabelle4[[#This Row],[Public Funding from BR (ITA)]]</f>
        <v>231959.36072000186</v>
      </c>
      <c r="CP61" s="44">
        <f>Tabelle4[[#This Row],[Total Project Volume (IPK)]]+Tabelle4[[#This Row],[Total Project Volume (ITA)]]</f>
        <v>231959.36072000186</v>
      </c>
      <c r="CQ61" s="44">
        <f>Tabelle4[[#This Row],[Total Industry Funding (IPK)]]+Tabelle4[[#This Row],[Total Industry Funding (ITA)]]</f>
        <v>0</v>
      </c>
      <c r="CR61" s="44">
        <f>Tabelle4[[#This Row],[Industry Funding from DE (IPK)]]+Tabelle4[[#This Row],[Industry Funding from DE (ITA)]]</f>
        <v>0</v>
      </c>
      <c r="CS61" s="44">
        <f>Tabelle4[[#This Row],[Industry Funding from BR (IPK)]]+Tabelle4[[#This Row],[Industry Funding from BR (ITA)]]</f>
        <v>0</v>
      </c>
      <c r="CT61" s="44">
        <f>Tabelle4[[#This Row],[Total Public Funding (IPK)]]+Tabelle4[[#This Row],[Total Public Funding (ITA)]]</f>
        <v>231959.36072000186</v>
      </c>
      <c r="CU61" s="44">
        <f>Tabelle4[[#This Row],[Public Funding from DE (IPK)]]+Tabelle4[[#This Row],[Public Funding from DE (ITA)]]</f>
        <v>0</v>
      </c>
      <c r="CV61" s="44">
        <f>Tabelle4[[#This Row],[Public Funding from BR (IPK)]]+Tabelle4[[#This Row],[Public Funding from BR (ITA)]]</f>
        <v>231959.36072000186</v>
      </c>
      <c r="CW61" s="44">
        <f>Tabelle4[[#This Row],[Industry Funding from DE (FPC)]]+Tabelle4[[#This Row],[Public Funding from DE (FPC)]]</f>
        <v>0</v>
      </c>
      <c r="CX61" s="46">
        <f>Tabelle4[[#This Row],[Industry Funding from BR (FPC)]]+Tabelle4[[#This Row],[Public Funding from BR (FPC)]]</f>
        <v>231959.36072000186</v>
      </c>
      <c r="CY61" s="51">
        <f>Tabelle4[[#This Row],[Total Financial Budget (Other)]]+Tabelle4[[#This Row],[Total In-kind Contribution (Other)]]</f>
        <v>0</v>
      </c>
      <c r="CZ6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61" s="44">
        <f>Tabelle4[[#This Row],[In-kind Contribution (R&amp;D III)]]+Tabelle4[[#This Row],[In-kind Contribution (R&amp;D IV)]]</f>
        <v>0</v>
      </c>
      <c r="DB61" s="158">
        <f>Tabelle4[[#This Row],[Total Budget (FPC)]]+Tabelle4[[#This Row],[Total Volume (Other)]]</f>
        <v>231959.36072000186</v>
      </c>
      <c r="DC61" s="104">
        <f>Tabelle4[[#This Row],[Total Revenues (IPK)]]</f>
        <v>0</v>
      </c>
      <c r="DE61" s="44">
        <f>Tabelle4[[#This Row],[Total Revenues IPK]]*Tabelle4[[#This Row],[Probability of Success]]</f>
        <v>0</v>
      </c>
      <c r="DL61" s="44">
        <f>Tabelle4[[#This Row],[Real Budget IPK]]*Tabelle4[[#This Row],[Acquisition Factor OE810]]</f>
        <v>0</v>
      </c>
      <c r="DN61" s="46">
        <f>Tabelle4[[#This Row],[Acquisition Bonus OE810]]+Tabelle4[[#This Row],[Project Execution OE810]]</f>
        <v>0</v>
      </c>
    </row>
    <row r="62" spans="1:118" ht="42" customHeight="1" x14ac:dyDescent="0.45">
      <c r="A62" s="70" t="s">
        <v>377</v>
      </c>
      <c r="B62" s="33" t="s">
        <v>376</v>
      </c>
      <c r="C62" s="33" t="s">
        <v>156</v>
      </c>
      <c r="D62" s="33" t="s">
        <v>705</v>
      </c>
      <c r="E62" s="33">
        <v>1</v>
      </c>
      <c r="F62" s="33">
        <v>0</v>
      </c>
      <c r="G62" s="33" t="s">
        <v>2</v>
      </c>
      <c r="H62" s="33" t="s">
        <v>0</v>
      </c>
      <c r="I62" s="33" t="s">
        <v>454</v>
      </c>
      <c r="K62" s="33" t="s">
        <v>630</v>
      </c>
      <c r="L62" s="59" t="s">
        <v>651</v>
      </c>
      <c r="M62" s="144">
        <v>4.3099999999999996</v>
      </c>
      <c r="Q62" s="58">
        <v>18</v>
      </c>
      <c r="R62" s="60"/>
      <c r="S62" s="60"/>
      <c r="T62" s="60"/>
      <c r="U62" s="60"/>
      <c r="Z62" s="42" t="str">
        <f t="shared" si="16"/>
        <v>IPK</v>
      </c>
      <c r="AG62" s="42" t="str">
        <f t="shared" si="17"/>
        <v>ITA</v>
      </c>
      <c r="AH62" s="33" t="s">
        <v>374</v>
      </c>
      <c r="AI62" s="33" t="s">
        <v>378</v>
      </c>
      <c r="AK62" s="64">
        <f>(750000/M65)</f>
        <v>166297.11751662972</v>
      </c>
      <c r="AL62" s="64"/>
      <c r="AO62" s="42"/>
      <c r="AV62" s="42"/>
      <c r="BC62" s="42" t="s">
        <v>156</v>
      </c>
      <c r="BE62" s="104">
        <f>(750000/4.3111)</f>
        <v>173969.52054000139</v>
      </c>
      <c r="BF62" s="65"/>
      <c r="BU62" s="101"/>
      <c r="BY62" s="44">
        <f>Tabelle4[[#This Row],[Industry Funding from DE (IPK)]]+Tabelle4[[#This Row],[Industry Funding from BR (IPK)]]+Tabelle4[[#This Row],[Public Funding from DE (IPK)]]+Tabelle4[[#This Row],[Public Funding from BR (IPK)]]+Tabelle4[[#This Row],[In-kind Contribution (IPK)]]</f>
        <v>0</v>
      </c>
      <c r="BZ62" s="44">
        <f>Tabelle4[[#This Row],[Industry Funding from DE (IPK)]]+Tabelle4[[#This Row],[Industry Funding from BR (IPK)]]+Tabelle4[[#This Row],[Public Funding from DE (IPK)]]+Tabelle4[[#This Row],[Public Funding from BR (IPK)]]</f>
        <v>0</v>
      </c>
      <c r="CA62" s="44">
        <f>Tabelle4[[#This Row],[Industry Funding from DE (IPK)]]+Tabelle4[[#This Row],[Industry Funding from BR (IPK)]]</f>
        <v>0</v>
      </c>
      <c r="CB62" s="44">
        <f>Tabelle4[[#This Row],[Public Funding from DE (IPK)]]+Tabelle4[[#This Row],[Public Funding from BR (IPK)]]</f>
        <v>0</v>
      </c>
      <c r="CC62" s="44">
        <f>Tabelle4[[#This Row],[In-kind Contribution (IPK)]]</f>
        <v>0</v>
      </c>
      <c r="CD62" s="47" t="e">
        <f>(Tabelle4[[#This Row],[Total Industry Funding (IPK)]] + Tabelle4[[#This Row],[Total Public Funding (IPK)]])/Tabelle4[[#This Row],[Total Project Volume (IPK)]]</f>
        <v>#DIV/0!</v>
      </c>
      <c r="CE62" s="47" t="e">
        <f>Tabelle4[[#This Row],[Total Industry Funding (IPK)]] / Tabelle4[[#This Row],[Total Project Volume (IPK)]]</f>
        <v>#DIV/0!</v>
      </c>
      <c r="CF62" s="33" t="str">
        <f>Tabelle4[[#This Row],[Project Funding Classification]]</f>
        <v>Industry</v>
      </c>
      <c r="CG62" s="44">
        <f>Tabelle4[[#This Row],[Industry Funding from DE (IPK)]]+Tabelle4[[#This Row],[Public Funding from DE (IPK)]]</f>
        <v>0</v>
      </c>
      <c r="CH62" s="46">
        <f>Tabelle4[[#This Row],[Industry Funding from BR (IPK)]]+Tabelle4[[#This Row],[Public Funding from BR (IPK)]]</f>
        <v>0</v>
      </c>
      <c r="CI62" s="44">
        <f>Tabelle4[[#This Row],[Industry Funding from DE (ITA)]]+Tabelle4[[#This Row],[Industry Funding from BR (ITA)]]+Tabelle4[[#This Row],[Public Funding from DE (ITA)]]+Tabelle4[[#This Row],[Public Funding from BR (ITA)]]</f>
        <v>166297.11751662972</v>
      </c>
      <c r="CJ62" s="44">
        <f>Tabelle4[[#This Row],[Industry Funding from DE (ITA)]]+Tabelle4[[#This Row],[Industry Funding from BR (ITA)]]</f>
        <v>166297.11751662972</v>
      </c>
      <c r="CK62" s="44">
        <f>Tabelle4[[#This Row],[Public Funding from DE (ITA)]]+Tabelle4[[#This Row],[Public Funding from BR (ITA)]]</f>
        <v>0</v>
      </c>
      <c r="CL62" s="47">
        <f>Tabelle4[[#This Row],[Total Industry Funding (ITA)]]/Tabelle4[[#This Row],[Total Project Volume (ITA)]]</f>
        <v>1</v>
      </c>
      <c r="CM62" s="33" t="str">
        <f>IF(Tabelle4[[#This Row],[Funding Ratio (ITA)]]&lt;0.5,"Public Funding","Industry")</f>
        <v>Industry</v>
      </c>
      <c r="CN62" s="44">
        <f>Tabelle4[[#This Row],[Industry Funding from DE (ITA)]]+Tabelle4[[#This Row],[Public Funding from DE (ITA)]]</f>
        <v>0</v>
      </c>
      <c r="CO62" s="46">
        <f>Tabelle4[[#This Row],[Industry Funding from BR (ITA)]]+Tabelle4[[#This Row],[Public Funding from BR (ITA)]]</f>
        <v>166297.11751662972</v>
      </c>
      <c r="CP62" s="44">
        <f>Tabelle4[[#This Row],[Total Project Volume (IPK)]]+Tabelle4[[#This Row],[Total Project Volume (ITA)]]</f>
        <v>166297.11751662972</v>
      </c>
      <c r="CQ62" s="44">
        <f>Tabelle4[[#This Row],[Total Industry Funding (IPK)]]+Tabelle4[[#This Row],[Total Industry Funding (ITA)]]</f>
        <v>166297.11751662972</v>
      </c>
      <c r="CR62" s="44">
        <f>Tabelle4[[#This Row],[Industry Funding from DE (IPK)]]+Tabelle4[[#This Row],[Industry Funding from DE (ITA)]]</f>
        <v>0</v>
      </c>
      <c r="CS62" s="44">
        <f>Tabelle4[[#This Row],[Industry Funding from BR (IPK)]]+Tabelle4[[#This Row],[Industry Funding from BR (ITA)]]</f>
        <v>166297.11751662972</v>
      </c>
      <c r="CT62" s="44">
        <f>Tabelle4[[#This Row],[Total Public Funding (IPK)]]+Tabelle4[[#This Row],[Total Public Funding (ITA)]]</f>
        <v>0</v>
      </c>
      <c r="CU62" s="44">
        <f>Tabelle4[[#This Row],[Public Funding from DE (IPK)]]+Tabelle4[[#This Row],[Public Funding from DE (ITA)]]</f>
        <v>0</v>
      </c>
      <c r="CV62" s="44">
        <f>Tabelle4[[#This Row],[Public Funding from BR (IPK)]]+Tabelle4[[#This Row],[Public Funding from BR (ITA)]]</f>
        <v>0</v>
      </c>
      <c r="CW62" s="44">
        <f>Tabelle4[[#This Row],[Industry Funding from DE (FPC)]]+Tabelle4[[#This Row],[Public Funding from DE (FPC)]]</f>
        <v>0</v>
      </c>
      <c r="CX62" s="46">
        <f>Tabelle4[[#This Row],[Industry Funding from BR (FPC)]]+Tabelle4[[#This Row],[Public Funding from BR (FPC)]]</f>
        <v>166297.11751662972</v>
      </c>
      <c r="CY62" s="51">
        <f>Tabelle4[[#This Row],[Total Financial Budget (Other)]]+Tabelle4[[#This Row],[Total In-kind Contribution (Other)]]</f>
        <v>0</v>
      </c>
      <c r="CZ6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62" s="44">
        <f>Tabelle4[[#This Row],[In-kind Contribution (R&amp;D III)]]+Tabelle4[[#This Row],[In-kind Contribution (R&amp;D IV)]]</f>
        <v>0</v>
      </c>
      <c r="DB62" s="158">
        <f>Tabelle4[[#This Row],[Total Budget (FPC)]]+Tabelle4[[#This Row],[Total Volume (Other)]]</f>
        <v>166297.11751662972</v>
      </c>
      <c r="DC62" s="104">
        <f>Tabelle4[[#This Row],[Total Revenues (IPK)]]</f>
        <v>0</v>
      </c>
      <c r="DE62" s="44">
        <f>Tabelle4[[#This Row],[Total Revenues IPK]]*Tabelle4[[#This Row],[Probability of Success]]</f>
        <v>0</v>
      </c>
      <c r="DL62" s="44">
        <f>Tabelle4[[#This Row],[Real Budget IPK]]*Tabelle4[[#This Row],[Acquisition Factor OE810]]</f>
        <v>0</v>
      </c>
      <c r="DN62" s="46">
        <f>Tabelle4[[#This Row],[Acquisition Bonus OE810]]+Tabelle4[[#This Row],[Project Execution OE810]]</f>
        <v>0</v>
      </c>
    </row>
    <row r="63" spans="1:118" ht="42" customHeight="1" x14ac:dyDescent="0.45">
      <c r="A63" s="42" t="s">
        <v>283</v>
      </c>
      <c r="B63" s="33" t="s">
        <v>284</v>
      </c>
      <c r="C63" s="33" t="s">
        <v>286</v>
      </c>
      <c r="D63" s="33" t="s">
        <v>711</v>
      </c>
      <c r="E63" s="33">
        <v>2</v>
      </c>
      <c r="G63" s="33" t="s">
        <v>1</v>
      </c>
      <c r="H63" s="33" t="s">
        <v>96</v>
      </c>
      <c r="I63" s="33" t="s">
        <v>287</v>
      </c>
      <c r="J63" s="59">
        <v>43009</v>
      </c>
      <c r="K63" s="33" t="s">
        <v>246</v>
      </c>
      <c r="Z63" s="42" t="str">
        <f t="shared" si="16"/>
        <v>IPK</v>
      </c>
      <c r="AA63" s="33" t="s">
        <v>141</v>
      </c>
      <c r="AD63" s="61">
        <v>400000</v>
      </c>
      <c r="AG63" s="42" t="str">
        <f t="shared" si="17"/>
        <v>ITA</v>
      </c>
      <c r="AO63" s="42"/>
      <c r="AV63" s="42"/>
      <c r="BC63" s="42" t="s">
        <v>285</v>
      </c>
      <c r="BD63" s="33" t="s">
        <v>288</v>
      </c>
      <c r="BE63" s="104"/>
      <c r="BF63" s="65"/>
      <c r="BS63" s="33" t="s">
        <v>289</v>
      </c>
      <c r="BU63" s="101">
        <v>400000</v>
      </c>
      <c r="BY63" s="44">
        <f>Tabelle4[[#This Row],[Industry Funding from DE (IPK)]]+Tabelle4[[#This Row],[Industry Funding from BR (IPK)]]+Tabelle4[[#This Row],[Public Funding from DE (IPK)]]+Tabelle4[[#This Row],[Public Funding from BR (IPK)]]+Tabelle4[[#This Row],[In-kind Contribution (IPK)]]</f>
        <v>400000</v>
      </c>
      <c r="BZ63" s="44">
        <f>Tabelle4[[#This Row],[Industry Funding from DE (IPK)]]+Tabelle4[[#This Row],[Industry Funding from BR (IPK)]]+Tabelle4[[#This Row],[Public Funding from DE (IPK)]]+Tabelle4[[#This Row],[Public Funding from BR (IPK)]]</f>
        <v>400000</v>
      </c>
      <c r="CA63" s="44">
        <f>Tabelle4[[#This Row],[Industry Funding from DE (IPK)]]+Tabelle4[[#This Row],[Industry Funding from BR (IPK)]]</f>
        <v>0</v>
      </c>
      <c r="CB63" s="44">
        <f>Tabelle4[[#This Row],[Public Funding from DE (IPK)]]+Tabelle4[[#This Row],[Public Funding from BR (IPK)]]</f>
        <v>400000</v>
      </c>
      <c r="CC63" s="44">
        <f>Tabelle4[[#This Row],[In-kind Contribution (IPK)]]</f>
        <v>0</v>
      </c>
      <c r="CD63" s="47">
        <f>(Tabelle4[[#This Row],[Total Industry Funding (IPK)]] + Tabelle4[[#This Row],[Total Public Funding (IPK)]])/Tabelle4[[#This Row],[Total Project Volume (IPK)]]</f>
        <v>1</v>
      </c>
      <c r="CE63" s="47">
        <f>Tabelle4[[#This Row],[Total Industry Funding (IPK)]] / Tabelle4[[#This Row],[Total Project Volume (IPK)]]</f>
        <v>0</v>
      </c>
      <c r="CF63" s="33" t="str">
        <f>Tabelle4[[#This Row],[Project Funding Classification]]</f>
        <v>Public Funding</v>
      </c>
      <c r="CG63" s="44">
        <f>Tabelle4[[#This Row],[Industry Funding from DE (IPK)]]+Tabelle4[[#This Row],[Public Funding from DE (IPK)]]</f>
        <v>400000</v>
      </c>
      <c r="CH63" s="46">
        <f>Tabelle4[[#This Row],[Industry Funding from BR (IPK)]]+Tabelle4[[#This Row],[Public Funding from BR (IPK)]]</f>
        <v>0</v>
      </c>
      <c r="CI63" s="44">
        <f>Tabelle4[[#This Row],[Industry Funding from DE (ITA)]]+Tabelle4[[#This Row],[Industry Funding from BR (ITA)]]+Tabelle4[[#This Row],[Public Funding from DE (ITA)]]+Tabelle4[[#This Row],[Public Funding from BR (ITA)]]</f>
        <v>0</v>
      </c>
      <c r="CJ63" s="44">
        <f>Tabelle4[[#This Row],[Industry Funding from DE (ITA)]]+Tabelle4[[#This Row],[Industry Funding from BR (ITA)]]</f>
        <v>0</v>
      </c>
      <c r="CK63" s="44">
        <f>Tabelle4[[#This Row],[Public Funding from DE (ITA)]]+Tabelle4[[#This Row],[Public Funding from BR (ITA)]]</f>
        <v>0</v>
      </c>
      <c r="CL63" s="47" t="e">
        <f>Tabelle4[[#This Row],[Total Industry Funding (ITA)]]/Tabelle4[[#This Row],[Total Project Volume (ITA)]]</f>
        <v>#DIV/0!</v>
      </c>
      <c r="CM63" s="33" t="e">
        <f>IF(Tabelle4[[#This Row],[Funding Ratio (ITA)]]&lt;0.5,"Public Funding","Industry")</f>
        <v>#DIV/0!</v>
      </c>
      <c r="CN63" s="44">
        <f>Tabelle4[[#This Row],[Industry Funding from DE (ITA)]]+Tabelle4[[#This Row],[Public Funding from DE (ITA)]]</f>
        <v>0</v>
      </c>
      <c r="CO63" s="46">
        <f>Tabelle4[[#This Row],[Industry Funding from BR (ITA)]]+Tabelle4[[#This Row],[Public Funding from BR (ITA)]]</f>
        <v>0</v>
      </c>
      <c r="CP63" s="44">
        <f>Tabelle4[[#This Row],[Total Project Volume (IPK)]]+Tabelle4[[#This Row],[Total Project Volume (ITA)]]</f>
        <v>400000</v>
      </c>
      <c r="CQ63" s="44">
        <f>Tabelle4[[#This Row],[Total Industry Funding (IPK)]]+Tabelle4[[#This Row],[Total Industry Funding (ITA)]]</f>
        <v>0</v>
      </c>
      <c r="CR63" s="44">
        <f>Tabelle4[[#This Row],[Industry Funding from DE (IPK)]]+Tabelle4[[#This Row],[Industry Funding from DE (ITA)]]</f>
        <v>0</v>
      </c>
      <c r="CS63" s="44">
        <f>Tabelle4[[#This Row],[Industry Funding from BR (IPK)]]+Tabelle4[[#This Row],[Industry Funding from BR (ITA)]]</f>
        <v>0</v>
      </c>
      <c r="CT63" s="44">
        <f>Tabelle4[[#This Row],[Total Public Funding (IPK)]]+Tabelle4[[#This Row],[Total Public Funding (ITA)]]</f>
        <v>400000</v>
      </c>
      <c r="CU63" s="44">
        <f>Tabelle4[[#This Row],[Public Funding from DE (IPK)]]+Tabelle4[[#This Row],[Public Funding from DE (ITA)]]</f>
        <v>400000</v>
      </c>
      <c r="CV63" s="44">
        <f>Tabelle4[[#This Row],[Public Funding from BR (IPK)]]+Tabelle4[[#This Row],[Public Funding from BR (ITA)]]</f>
        <v>0</v>
      </c>
      <c r="CW63" s="44">
        <f>Tabelle4[[#This Row],[Industry Funding from DE (FPC)]]+Tabelle4[[#This Row],[Public Funding from DE (FPC)]]</f>
        <v>400000</v>
      </c>
      <c r="CX63" s="46">
        <f>Tabelle4[[#This Row],[Industry Funding from BR (FPC)]]+Tabelle4[[#This Row],[Public Funding from BR (FPC)]]</f>
        <v>0</v>
      </c>
      <c r="CY63" s="51">
        <f>Tabelle4[[#This Row],[Total Financial Budget (Other)]]+Tabelle4[[#This Row],[Total In-kind Contribution (Other)]]</f>
        <v>0</v>
      </c>
      <c r="CZ6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63" s="44">
        <f>Tabelle4[[#This Row],[In-kind Contribution (R&amp;D III)]]+Tabelle4[[#This Row],[In-kind Contribution (R&amp;D IV)]]</f>
        <v>0</v>
      </c>
      <c r="DB63" s="158">
        <f>Tabelle4[[#This Row],[Total Budget (FPC)]]+Tabelle4[[#This Row],[Total Volume (Other)]]</f>
        <v>400000</v>
      </c>
      <c r="DC63" s="104">
        <f>Tabelle4[[#This Row],[Total Revenues (IPK)]]</f>
        <v>400000</v>
      </c>
      <c r="DD63" s="47">
        <v>0</v>
      </c>
      <c r="DE63" s="44">
        <f>Tabelle4[[#This Row],[Total Revenues IPK]]*Tabelle4[[#This Row],[Probability of Success]]</f>
        <v>0</v>
      </c>
      <c r="DK63" s="47">
        <v>0.2</v>
      </c>
      <c r="DL63" s="44">
        <f>Tabelle4[[#This Row],[Real Budget IPK]]*Tabelle4[[#This Row],[Acquisition Factor OE810]]</f>
        <v>0</v>
      </c>
      <c r="DN63" s="46">
        <f>Tabelle4[[#This Row],[Acquisition Bonus OE810]]+Tabelle4[[#This Row],[Project Execution OE810]]</f>
        <v>0</v>
      </c>
    </row>
    <row r="64" spans="1:118" ht="42" customHeight="1" x14ac:dyDescent="0.45">
      <c r="A64" s="70" t="s">
        <v>750</v>
      </c>
      <c r="B64" s="33" t="s">
        <v>612</v>
      </c>
      <c r="C64" s="57" t="s">
        <v>545</v>
      </c>
      <c r="D64" s="57" t="s">
        <v>706</v>
      </c>
      <c r="E64" s="33">
        <v>30</v>
      </c>
      <c r="F64" s="33">
        <v>1</v>
      </c>
      <c r="G64" s="33" t="s">
        <v>97</v>
      </c>
      <c r="H64" s="33" t="s">
        <v>0</v>
      </c>
      <c r="I64" s="33" t="s">
        <v>751</v>
      </c>
      <c r="J64" s="59">
        <v>43497</v>
      </c>
      <c r="K64" s="33" t="s">
        <v>244</v>
      </c>
      <c r="L64" s="59" t="s">
        <v>651</v>
      </c>
      <c r="M64" s="144">
        <v>6.19</v>
      </c>
      <c r="N64" s="33" t="s">
        <v>641</v>
      </c>
      <c r="Q64" s="58">
        <v>36</v>
      </c>
      <c r="U64" s="59">
        <v>43941</v>
      </c>
      <c r="V64" s="59">
        <v>44060</v>
      </c>
      <c r="W64" s="59">
        <v>44180</v>
      </c>
      <c r="Z64" s="42" t="str">
        <f t="shared" si="16"/>
        <v>IPK</v>
      </c>
      <c r="AA64" s="33" t="s">
        <v>459</v>
      </c>
      <c r="AC64" s="61">
        <v>150000</v>
      </c>
      <c r="AG64" s="42" t="str">
        <f t="shared" si="17"/>
        <v>ITA</v>
      </c>
      <c r="AH64" s="33" t="s">
        <v>130</v>
      </c>
      <c r="AI64" s="33" t="s">
        <v>337</v>
      </c>
      <c r="AK64" s="64"/>
      <c r="AL64" s="64"/>
      <c r="AM64" s="64">
        <f>1495000/Tabelle4[[#This Row],[EUR exchange rate against BRL]]</f>
        <v>241518.57835218092</v>
      </c>
      <c r="AO64" s="42" t="s">
        <v>119</v>
      </c>
      <c r="AP64" s="33" t="s">
        <v>596</v>
      </c>
      <c r="AT64" s="61">
        <f>1500000/Tabelle4[[#This Row],[EUR exchange rate against BRL]]</f>
        <v>242326.33279483035</v>
      </c>
      <c r="AV64" s="42" t="s">
        <v>163</v>
      </c>
      <c r="AW64" s="33" t="s">
        <v>598</v>
      </c>
      <c r="BA64" s="61">
        <f>1500000/Tabelle4[[#This Row],[EUR exchange rate against BRL]]</f>
        <v>242326.33279483035</v>
      </c>
      <c r="BC64" s="42" t="s">
        <v>499</v>
      </c>
      <c r="BE64" s="64"/>
      <c r="BF64" s="65"/>
      <c r="BS64" s="33" t="s">
        <v>573</v>
      </c>
      <c r="BU64" s="67">
        <f>6000000/Tabelle4[[#This Row],[EUR exchange rate against BRL]]</f>
        <v>969305.33117932139</v>
      </c>
      <c r="BY64" s="44">
        <f>Tabelle4[[#This Row],[Industry Funding from DE (IPK)]]+Tabelle4[[#This Row],[Industry Funding from BR (IPK)]]+Tabelle4[[#This Row],[Public Funding from DE (IPK)]]+Tabelle4[[#This Row],[Public Funding from BR (IPK)]]+Tabelle4[[#This Row],[In-kind Contribution (IPK)]]</f>
        <v>150000</v>
      </c>
      <c r="BZ64" s="44">
        <f>Tabelle4[[#This Row],[Industry Funding from DE (IPK)]]+Tabelle4[[#This Row],[Industry Funding from BR (IPK)]]+Tabelle4[[#This Row],[Public Funding from DE (IPK)]]+Tabelle4[[#This Row],[Public Funding from BR (IPK)]]</f>
        <v>150000</v>
      </c>
      <c r="CA64" s="44">
        <f>Tabelle4[[#This Row],[Industry Funding from DE (IPK)]]+Tabelle4[[#This Row],[Industry Funding from BR (IPK)]]</f>
        <v>150000</v>
      </c>
      <c r="CB64" s="44">
        <f>Tabelle4[[#This Row],[Public Funding from DE (IPK)]]+Tabelle4[[#This Row],[Public Funding from BR (IPK)]]</f>
        <v>0</v>
      </c>
      <c r="CC64" s="44">
        <f>Tabelle4[[#This Row],[In-kind Contribution (IPK)]]</f>
        <v>0</v>
      </c>
      <c r="CD64" s="47">
        <f>(Tabelle4[[#This Row],[Total Industry Funding (IPK)]] + Tabelle4[[#This Row],[Total Public Funding (IPK)]])/Tabelle4[[#This Row],[Total Project Volume (IPK)]]</f>
        <v>1</v>
      </c>
      <c r="CE64" s="47">
        <f>Tabelle4[[#This Row],[Total Industry Funding (IPK)]] / Tabelle4[[#This Row],[Total Project Volume (IPK)]]</f>
        <v>1</v>
      </c>
      <c r="CF64" s="33" t="str">
        <f>Tabelle4[[#This Row],[Project Funding Classification]]</f>
        <v>Industry</v>
      </c>
      <c r="CG64" s="44">
        <f>Tabelle4[[#This Row],[Industry Funding from DE (IPK)]]+Tabelle4[[#This Row],[Public Funding from DE (IPK)]]</f>
        <v>0</v>
      </c>
      <c r="CH64" s="46">
        <f>Tabelle4[[#This Row],[Industry Funding from BR (IPK)]]+Tabelle4[[#This Row],[Public Funding from BR (IPK)]]</f>
        <v>150000</v>
      </c>
      <c r="CI64" s="44">
        <f>Tabelle4[[#This Row],[Industry Funding from DE (ITA)]]+Tabelle4[[#This Row],[Industry Funding from BR (ITA)]]+Tabelle4[[#This Row],[Public Funding from DE (ITA)]]+Tabelle4[[#This Row],[Public Funding from BR (ITA)]]</f>
        <v>241518.57835218092</v>
      </c>
      <c r="CJ64" s="44">
        <f>Tabelle4[[#This Row],[Industry Funding from DE (ITA)]]+Tabelle4[[#This Row],[Industry Funding from BR (ITA)]]</f>
        <v>0</v>
      </c>
      <c r="CK64" s="44">
        <f>Tabelle4[[#This Row],[Public Funding from DE (ITA)]]+Tabelle4[[#This Row],[Public Funding from BR (ITA)]]</f>
        <v>241518.57835218092</v>
      </c>
      <c r="CL64" s="47">
        <f>Tabelle4[[#This Row],[Total Industry Funding (ITA)]]/Tabelle4[[#This Row],[Total Project Volume (ITA)]]</f>
        <v>0</v>
      </c>
      <c r="CM64" s="33" t="str">
        <f>IF(Tabelle4[[#This Row],[Funding Ratio (ITA)]]&lt;0.5,"Public Funding","Industry")</f>
        <v>Public Funding</v>
      </c>
      <c r="CN64" s="44">
        <f>Tabelle4[[#This Row],[Industry Funding from DE (ITA)]]+Tabelle4[[#This Row],[Public Funding from DE (ITA)]]</f>
        <v>0</v>
      </c>
      <c r="CO64" s="46">
        <f>Tabelle4[[#This Row],[Industry Funding from BR (ITA)]]+Tabelle4[[#This Row],[Public Funding from BR (ITA)]]</f>
        <v>241518.57835218092</v>
      </c>
      <c r="CP64" s="44">
        <f>Tabelle4[[#This Row],[Total Project Volume (IPK)]]+Tabelle4[[#This Row],[Total Project Volume (ITA)]]</f>
        <v>391518.57835218089</v>
      </c>
      <c r="CQ64" s="44">
        <f>Tabelle4[[#This Row],[Total Industry Funding (IPK)]]+Tabelle4[[#This Row],[Total Industry Funding (ITA)]]</f>
        <v>150000</v>
      </c>
      <c r="CR64" s="44">
        <f>Tabelle4[[#This Row],[Industry Funding from DE (IPK)]]+Tabelle4[[#This Row],[Industry Funding from DE (ITA)]]</f>
        <v>0</v>
      </c>
      <c r="CS64" s="44">
        <f>Tabelle4[[#This Row],[Industry Funding from BR (IPK)]]+Tabelle4[[#This Row],[Industry Funding from BR (ITA)]]</f>
        <v>150000</v>
      </c>
      <c r="CT64" s="44">
        <f>Tabelle4[[#This Row],[Total Public Funding (IPK)]]+Tabelle4[[#This Row],[Total Public Funding (ITA)]]</f>
        <v>241518.57835218092</v>
      </c>
      <c r="CU64" s="44">
        <f>Tabelle4[[#This Row],[Public Funding from DE (IPK)]]+Tabelle4[[#This Row],[Public Funding from DE (ITA)]]</f>
        <v>0</v>
      </c>
      <c r="CV64" s="44">
        <f>Tabelle4[[#This Row],[Public Funding from BR (IPK)]]+Tabelle4[[#This Row],[Public Funding from BR (ITA)]]</f>
        <v>241518.57835218092</v>
      </c>
      <c r="CW64" s="44">
        <f>Tabelle4[[#This Row],[Industry Funding from DE (FPC)]]+Tabelle4[[#This Row],[Public Funding from DE (FPC)]]</f>
        <v>0</v>
      </c>
      <c r="CX64" s="46">
        <f>Tabelle4[[#This Row],[Industry Funding from BR (FPC)]]+Tabelle4[[#This Row],[Public Funding from BR (FPC)]]</f>
        <v>391518.57835218089</v>
      </c>
      <c r="CY64" s="51">
        <f>Tabelle4[[#This Row],[Total Financial Budget (Other)]]+Tabelle4[[#This Row],[Total In-kind Contribution (Other)]]</f>
        <v>484652.6655896607</v>
      </c>
      <c r="CZ6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484652.6655896607</v>
      </c>
      <c r="DA64" s="44">
        <f>Tabelle4[[#This Row],[In-kind Contribution (R&amp;D III)]]+Tabelle4[[#This Row],[In-kind Contribution (R&amp;D IV)]]</f>
        <v>0</v>
      </c>
      <c r="DB64" s="158">
        <f>Tabelle4[[#This Row],[Total Budget (FPC)]]+Tabelle4[[#This Row],[Total Volume (Other)]]</f>
        <v>876171.24394184165</v>
      </c>
      <c r="DC64" s="104">
        <f>Tabelle4[[#This Row],[Total Revenues (IPK)]]</f>
        <v>150000</v>
      </c>
      <c r="DD64" s="47">
        <v>1</v>
      </c>
      <c r="DE64" s="44">
        <f>Tabelle4[[#This Row],[Total Revenues IPK]]*Tabelle4[[#This Row],[Probability of Success]]</f>
        <v>150000</v>
      </c>
      <c r="DK64" s="47">
        <v>0.2</v>
      </c>
      <c r="DL64" s="44">
        <f>Tabelle4[[#This Row],[Real Budget IPK]]*Tabelle4[[#This Row],[Acquisition Factor OE810]]</f>
        <v>30000</v>
      </c>
      <c r="DN64" s="46">
        <f>Tabelle4[[#This Row],[Acquisition Bonus OE810]]+Tabelle4[[#This Row],[Project Execution OE810]]</f>
        <v>30000</v>
      </c>
    </row>
    <row r="65" spans="1:118" ht="42" customHeight="1" x14ac:dyDescent="0.45">
      <c r="A65" s="70" t="s">
        <v>379</v>
      </c>
      <c r="B65" s="33" t="s">
        <v>380</v>
      </c>
      <c r="C65" s="33" t="s">
        <v>555</v>
      </c>
      <c r="D65" s="33" t="s">
        <v>709</v>
      </c>
      <c r="E65" s="33">
        <v>3</v>
      </c>
      <c r="F65" s="33">
        <v>0</v>
      </c>
      <c r="G65" s="33" t="s">
        <v>2</v>
      </c>
      <c r="H65" s="33" t="s">
        <v>0</v>
      </c>
      <c r="I65" s="33" t="s">
        <v>449</v>
      </c>
      <c r="K65" s="33" t="s">
        <v>244</v>
      </c>
      <c r="L65" s="59" t="s">
        <v>651</v>
      </c>
      <c r="M65" s="144">
        <v>4.51</v>
      </c>
      <c r="Q65" s="58">
        <v>14</v>
      </c>
      <c r="R65" s="60"/>
      <c r="S65" s="60"/>
      <c r="T65" s="60"/>
      <c r="U65" s="60"/>
      <c r="W65" s="59">
        <v>43717</v>
      </c>
      <c r="Z65" s="42" t="str">
        <f t="shared" si="16"/>
        <v>IPK</v>
      </c>
      <c r="AG65" s="42" t="str">
        <f t="shared" si="17"/>
        <v>ITA</v>
      </c>
      <c r="AH65" s="33" t="s">
        <v>337</v>
      </c>
      <c r="AI65" s="33" t="s">
        <v>337</v>
      </c>
      <c r="AK65" s="64">
        <f>(350000/M65)</f>
        <v>77605.321507760542</v>
      </c>
      <c r="AL65" s="64"/>
      <c r="AO65" s="42"/>
      <c r="AV65" s="42"/>
      <c r="BC65" s="42" t="s">
        <v>155</v>
      </c>
      <c r="BE65" s="104">
        <f>Tabelle4[[#This Row],[Industry Funding from BR (ITA)]]</f>
        <v>77605.321507760542</v>
      </c>
      <c r="BF65" s="65"/>
      <c r="BG65" s="117" t="s">
        <v>426</v>
      </c>
      <c r="BU65" s="101"/>
      <c r="BY65" s="44">
        <f>Tabelle4[[#This Row],[Industry Funding from DE (IPK)]]+Tabelle4[[#This Row],[Industry Funding from BR (IPK)]]+Tabelle4[[#This Row],[Public Funding from DE (IPK)]]+Tabelle4[[#This Row],[Public Funding from BR (IPK)]]+Tabelle4[[#This Row],[In-kind Contribution (IPK)]]</f>
        <v>0</v>
      </c>
      <c r="BZ65" s="44">
        <f>Tabelle4[[#This Row],[Industry Funding from DE (IPK)]]+Tabelle4[[#This Row],[Industry Funding from BR (IPK)]]+Tabelle4[[#This Row],[Public Funding from DE (IPK)]]+Tabelle4[[#This Row],[Public Funding from BR (IPK)]]</f>
        <v>0</v>
      </c>
      <c r="CA65" s="44">
        <f>Tabelle4[[#This Row],[Industry Funding from DE (IPK)]]+Tabelle4[[#This Row],[Industry Funding from BR (IPK)]]</f>
        <v>0</v>
      </c>
      <c r="CB65" s="44">
        <f>Tabelle4[[#This Row],[Public Funding from DE (IPK)]]+Tabelle4[[#This Row],[Public Funding from BR (IPK)]]</f>
        <v>0</v>
      </c>
      <c r="CC65" s="44">
        <f>Tabelle4[[#This Row],[In-kind Contribution (IPK)]]</f>
        <v>0</v>
      </c>
      <c r="CD65" s="47" t="e">
        <f>(Tabelle4[[#This Row],[Total Industry Funding (IPK)]] + Tabelle4[[#This Row],[Total Public Funding (IPK)]])/Tabelle4[[#This Row],[Total Project Volume (IPK)]]</f>
        <v>#DIV/0!</v>
      </c>
      <c r="CE65" s="47" t="e">
        <f>Tabelle4[[#This Row],[Total Industry Funding (IPK)]] / Tabelle4[[#This Row],[Total Project Volume (IPK)]]</f>
        <v>#DIV/0!</v>
      </c>
      <c r="CF65" s="33" t="str">
        <f>Tabelle4[[#This Row],[Project Funding Classification]]</f>
        <v>Industry</v>
      </c>
      <c r="CG65" s="44">
        <f>Tabelle4[[#This Row],[Industry Funding from DE (IPK)]]+Tabelle4[[#This Row],[Public Funding from DE (IPK)]]</f>
        <v>0</v>
      </c>
      <c r="CH65" s="46">
        <f>Tabelle4[[#This Row],[Industry Funding from BR (IPK)]]+Tabelle4[[#This Row],[Public Funding from BR (IPK)]]</f>
        <v>0</v>
      </c>
      <c r="CI65" s="44">
        <f>Tabelle4[[#This Row],[Industry Funding from DE (ITA)]]+Tabelle4[[#This Row],[Industry Funding from BR (ITA)]]+Tabelle4[[#This Row],[Public Funding from DE (ITA)]]+Tabelle4[[#This Row],[Public Funding from BR (ITA)]]</f>
        <v>77605.321507760542</v>
      </c>
      <c r="CJ65" s="44">
        <f>Tabelle4[[#This Row],[Industry Funding from DE (ITA)]]+Tabelle4[[#This Row],[Industry Funding from BR (ITA)]]</f>
        <v>77605.321507760542</v>
      </c>
      <c r="CK65" s="44">
        <f>Tabelle4[[#This Row],[Public Funding from DE (ITA)]]+Tabelle4[[#This Row],[Public Funding from BR (ITA)]]</f>
        <v>0</v>
      </c>
      <c r="CL65" s="47">
        <f>Tabelle4[[#This Row],[Total Industry Funding (ITA)]]/Tabelle4[[#This Row],[Total Project Volume (ITA)]]</f>
        <v>1</v>
      </c>
      <c r="CM65" s="33" t="str">
        <f>IF(Tabelle4[[#This Row],[Funding Ratio (ITA)]]&lt;0.5,"Public Funding","Industry")</f>
        <v>Industry</v>
      </c>
      <c r="CN65" s="44">
        <f>Tabelle4[[#This Row],[Industry Funding from DE (ITA)]]+Tabelle4[[#This Row],[Public Funding from DE (ITA)]]</f>
        <v>0</v>
      </c>
      <c r="CO65" s="46">
        <f>Tabelle4[[#This Row],[Industry Funding from BR (ITA)]]+Tabelle4[[#This Row],[Public Funding from BR (ITA)]]</f>
        <v>77605.321507760542</v>
      </c>
      <c r="CP65" s="44">
        <f>Tabelle4[[#This Row],[Total Project Volume (IPK)]]+Tabelle4[[#This Row],[Total Project Volume (ITA)]]</f>
        <v>77605.321507760542</v>
      </c>
      <c r="CQ65" s="44">
        <f>Tabelle4[[#This Row],[Total Industry Funding (IPK)]]+Tabelle4[[#This Row],[Total Industry Funding (ITA)]]</f>
        <v>77605.321507760542</v>
      </c>
      <c r="CR65" s="44">
        <f>Tabelle4[[#This Row],[Industry Funding from DE (IPK)]]+Tabelle4[[#This Row],[Industry Funding from DE (ITA)]]</f>
        <v>0</v>
      </c>
      <c r="CS65" s="44">
        <f>Tabelle4[[#This Row],[Industry Funding from BR (IPK)]]+Tabelle4[[#This Row],[Industry Funding from BR (ITA)]]</f>
        <v>77605.321507760542</v>
      </c>
      <c r="CT65" s="44">
        <f>Tabelle4[[#This Row],[Total Public Funding (IPK)]]+Tabelle4[[#This Row],[Total Public Funding (ITA)]]</f>
        <v>0</v>
      </c>
      <c r="CU65" s="44">
        <f>Tabelle4[[#This Row],[Public Funding from DE (IPK)]]+Tabelle4[[#This Row],[Public Funding from DE (ITA)]]</f>
        <v>0</v>
      </c>
      <c r="CV65" s="44">
        <f>Tabelle4[[#This Row],[Public Funding from BR (IPK)]]+Tabelle4[[#This Row],[Public Funding from BR (ITA)]]</f>
        <v>0</v>
      </c>
      <c r="CW65" s="44">
        <f>Tabelle4[[#This Row],[Industry Funding from DE (FPC)]]+Tabelle4[[#This Row],[Public Funding from DE (FPC)]]</f>
        <v>0</v>
      </c>
      <c r="CX65" s="46">
        <f>Tabelle4[[#This Row],[Industry Funding from BR (FPC)]]+Tabelle4[[#This Row],[Public Funding from BR (FPC)]]</f>
        <v>77605.321507760542</v>
      </c>
      <c r="CY65" s="51">
        <f>Tabelle4[[#This Row],[Total Financial Budget (Other)]]+Tabelle4[[#This Row],[Total In-kind Contribution (Other)]]</f>
        <v>0</v>
      </c>
      <c r="CZ6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65" s="44">
        <f>Tabelle4[[#This Row],[In-kind Contribution (R&amp;D III)]]+Tabelle4[[#This Row],[In-kind Contribution (R&amp;D IV)]]</f>
        <v>0</v>
      </c>
      <c r="DB65" s="158">
        <f>Tabelle4[[#This Row],[Total Budget (FPC)]]+Tabelle4[[#This Row],[Total Volume (Other)]]</f>
        <v>77605.321507760542</v>
      </c>
      <c r="DC65" s="104">
        <f>Tabelle4[[#This Row],[Total Revenues (IPK)]]</f>
        <v>0</v>
      </c>
      <c r="DE65" s="44">
        <f>Tabelle4[[#This Row],[Total Revenues IPK]]*Tabelle4[[#This Row],[Probability of Success]]</f>
        <v>0</v>
      </c>
      <c r="DL65" s="44">
        <f>Tabelle4[[#This Row],[Real Budget IPK]]*Tabelle4[[#This Row],[Acquisition Factor OE810]]</f>
        <v>0</v>
      </c>
      <c r="DN65" s="46">
        <f>Tabelle4[[#This Row],[Acquisition Bonus OE810]]+Tabelle4[[#This Row],[Project Execution OE810]]</f>
        <v>0</v>
      </c>
    </row>
    <row r="66" spans="1:118" ht="42" customHeight="1" x14ac:dyDescent="0.45">
      <c r="A66" s="70" t="s">
        <v>410</v>
      </c>
      <c r="B66" s="33" t="s">
        <v>411</v>
      </c>
      <c r="C66" s="33" t="s">
        <v>186</v>
      </c>
      <c r="D66" s="33" t="s">
        <v>709</v>
      </c>
      <c r="E66" s="33">
        <v>1</v>
      </c>
      <c r="F66" s="33">
        <v>0</v>
      </c>
      <c r="G66" s="33" t="s">
        <v>2</v>
      </c>
      <c r="H66" s="33" t="s">
        <v>0</v>
      </c>
      <c r="K66" s="33" t="s">
        <v>246</v>
      </c>
      <c r="L66" s="59" t="s">
        <v>309</v>
      </c>
      <c r="Q66" s="33">
        <v>4</v>
      </c>
      <c r="V66" s="59">
        <v>43717</v>
      </c>
      <c r="Y66" s="59">
        <v>43857</v>
      </c>
      <c r="Z66" s="42" t="str">
        <f t="shared" si="16"/>
        <v>IPK</v>
      </c>
      <c r="AG66" s="42" t="str">
        <f t="shared" si="17"/>
        <v>ITA</v>
      </c>
      <c r="AH66" s="33" t="s">
        <v>408</v>
      </c>
      <c r="AI66" s="33" t="s">
        <v>324</v>
      </c>
      <c r="AM66" s="64">
        <f>(174945.31/4.3111)</f>
        <v>40580.202268562549</v>
      </c>
      <c r="AO66" s="42"/>
      <c r="AV66" s="42"/>
      <c r="BC66" s="42" t="s">
        <v>186</v>
      </c>
      <c r="BE66" s="104">
        <f>(174945.31/4.3111)</f>
        <v>40580.202268562549</v>
      </c>
      <c r="BF66" s="65"/>
      <c r="BU66" s="101"/>
      <c r="BY66" s="44">
        <f>Tabelle4[[#This Row],[Industry Funding from DE (IPK)]]+Tabelle4[[#This Row],[Industry Funding from BR (IPK)]]+Tabelle4[[#This Row],[Public Funding from DE (IPK)]]+Tabelle4[[#This Row],[Public Funding from BR (IPK)]]+Tabelle4[[#This Row],[In-kind Contribution (IPK)]]</f>
        <v>0</v>
      </c>
      <c r="BZ66" s="44">
        <f>Tabelle4[[#This Row],[Industry Funding from DE (IPK)]]+Tabelle4[[#This Row],[Industry Funding from BR (IPK)]]+Tabelle4[[#This Row],[Public Funding from DE (IPK)]]+Tabelle4[[#This Row],[Public Funding from BR (IPK)]]</f>
        <v>0</v>
      </c>
      <c r="CA66" s="44">
        <f>Tabelle4[[#This Row],[Industry Funding from DE (IPK)]]+Tabelle4[[#This Row],[Industry Funding from BR (IPK)]]</f>
        <v>0</v>
      </c>
      <c r="CB66" s="44">
        <f>Tabelle4[[#This Row],[Public Funding from DE (IPK)]]+Tabelle4[[#This Row],[Public Funding from BR (IPK)]]</f>
        <v>0</v>
      </c>
      <c r="CC66" s="44">
        <f>Tabelle4[[#This Row],[In-kind Contribution (IPK)]]</f>
        <v>0</v>
      </c>
      <c r="CD66" s="47" t="e">
        <f>(Tabelle4[[#This Row],[Total Industry Funding (IPK)]] + Tabelle4[[#This Row],[Total Public Funding (IPK)]])/Tabelle4[[#This Row],[Total Project Volume (IPK)]]</f>
        <v>#DIV/0!</v>
      </c>
      <c r="CE66" s="47" t="e">
        <f>Tabelle4[[#This Row],[Total Industry Funding (IPK)]] / Tabelle4[[#This Row],[Total Project Volume (IPK)]]</f>
        <v>#DIV/0!</v>
      </c>
      <c r="CF66" s="33" t="str">
        <f>Tabelle4[[#This Row],[Project Funding Classification]]</f>
        <v>Industry</v>
      </c>
      <c r="CG66" s="44">
        <f>Tabelle4[[#This Row],[Industry Funding from DE (IPK)]]+Tabelle4[[#This Row],[Public Funding from DE (IPK)]]</f>
        <v>0</v>
      </c>
      <c r="CH66" s="46">
        <f>Tabelle4[[#This Row],[Industry Funding from BR (IPK)]]+Tabelle4[[#This Row],[Public Funding from BR (IPK)]]</f>
        <v>0</v>
      </c>
      <c r="CI66" s="44">
        <f>Tabelle4[[#This Row],[Industry Funding from DE (ITA)]]+Tabelle4[[#This Row],[Industry Funding from BR (ITA)]]+Tabelle4[[#This Row],[Public Funding from DE (ITA)]]+Tabelle4[[#This Row],[Public Funding from BR (ITA)]]</f>
        <v>40580.202268562549</v>
      </c>
      <c r="CJ66" s="44">
        <f>Tabelle4[[#This Row],[Industry Funding from DE (ITA)]]+Tabelle4[[#This Row],[Industry Funding from BR (ITA)]]</f>
        <v>0</v>
      </c>
      <c r="CK66" s="44">
        <f>Tabelle4[[#This Row],[Public Funding from DE (ITA)]]+Tabelle4[[#This Row],[Public Funding from BR (ITA)]]</f>
        <v>40580.202268562549</v>
      </c>
      <c r="CL66" s="47">
        <f>Tabelle4[[#This Row],[Total Industry Funding (ITA)]]/Tabelle4[[#This Row],[Total Project Volume (ITA)]]</f>
        <v>0</v>
      </c>
      <c r="CM66" s="33" t="str">
        <f>IF(Tabelle4[[#This Row],[Funding Ratio (ITA)]]&lt;0.5,"Public Funding","Industry")</f>
        <v>Public Funding</v>
      </c>
      <c r="CN66" s="44">
        <f>Tabelle4[[#This Row],[Industry Funding from DE (ITA)]]+Tabelle4[[#This Row],[Public Funding from DE (ITA)]]</f>
        <v>0</v>
      </c>
      <c r="CO66" s="46">
        <f>Tabelle4[[#This Row],[Industry Funding from BR (ITA)]]+Tabelle4[[#This Row],[Public Funding from BR (ITA)]]</f>
        <v>40580.202268562549</v>
      </c>
      <c r="CP66" s="44">
        <f>Tabelle4[[#This Row],[Total Project Volume (IPK)]]+Tabelle4[[#This Row],[Total Project Volume (ITA)]]</f>
        <v>40580.202268562549</v>
      </c>
      <c r="CQ66" s="44">
        <f>Tabelle4[[#This Row],[Total Industry Funding (IPK)]]+Tabelle4[[#This Row],[Total Industry Funding (ITA)]]</f>
        <v>0</v>
      </c>
      <c r="CR66" s="44">
        <f>Tabelle4[[#This Row],[Industry Funding from DE (IPK)]]+Tabelle4[[#This Row],[Industry Funding from DE (ITA)]]</f>
        <v>0</v>
      </c>
      <c r="CS66" s="44">
        <f>Tabelle4[[#This Row],[Industry Funding from BR (IPK)]]+Tabelle4[[#This Row],[Industry Funding from BR (ITA)]]</f>
        <v>0</v>
      </c>
      <c r="CT66" s="44">
        <f>Tabelle4[[#This Row],[Total Public Funding (IPK)]]+Tabelle4[[#This Row],[Total Public Funding (ITA)]]</f>
        <v>40580.202268562549</v>
      </c>
      <c r="CU66" s="44">
        <f>Tabelle4[[#This Row],[Public Funding from DE (IPK)]]+Tabelle4[[#This Row],[Public Funding from DE (ITA)]]</f>
        <v>0</v>
      </c>
      <c r="CV66" s="44">
        <f>Tabelle4[[#This Row],[Public Funding from BR (IPK)]]+Tabelle4[[#This Row],[Public Funding from BR (ITA)]]</f>
        <v>40580.202268562549</v>
      </c>
      <c r="CW66" s="44">
        <f>Tabelle4[[#This Row],[Industry Funding from DE (FPC)]]+Tabelle4[[#This Row],[Public Funding from DE (FPC)]]</f>
        <v>0</v>
      </c>
      <c r="CX66" s="46">
        <f>Tabelle4[[#This Row],[Industry Funding from BR (FPC)]]+Tabelle4[[#This Row],[Public Funding from BR (FPC)]]</f>
        <v>40580.202268562549</v>
      </c>
      <c r="CY66" s="51">
        <f>Tabelle4[[#This Row],[Total Financial Budget (Other)]]+Tabelle4[[#This Row],[Total In-kind Contribution (Other)]]</f>
        <v>0</v>
      </c>
      <c r="CZ6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66" s="44">
        <f>Tabelle4[[#This Row],[In-kind Contribution (R&amp;D III)]]+Tabelle4[[#This Row],[In-kind Contribution (R&amp;D IV)]]</f>
        <v>0</v>
      </c>
      <c r="DB66" s="158">
        <f>Tabelle4[[#This Row],[Total Budget (FPC)]]+Tabelle4[[#This Row],[Total Volume (Other)]]</f>
        <v>40580.202268562549</v>
      </c>
      <c r="DC66" s="104">
        <f>Tabelle4[[#This Row],[Total Revenues (IPK)]]</f>
        <v>0</v>
      </c>
      <c r="DE66" s="44">
        <f>Tabelle4[[#This Row],[Total Revenues IPK]]*Tabelle4[[#This Row],[Probability of Success]]</f>
        <v>0</v>
      </c>
      <c r="DL66" s="44">
        <f>Tabelle4[[#This Row],[Real Budget IPK]]*Tabelle4[[#This Row],[Acquisition Factor OE810]]</f>
        <v>0</v>
      </c>
      <c r="DN66" s="46">
        <f>Tabelle4[[#This Row],[Acquisition Bonus OE810]]+Tabelle4[[#This Row],[Project Execution OE810]]</f>
        <v>0</v>
      </c>
    </row>
    <row r="67" spans="1:118" ht="42" customHeight="1" x14ac:dyDescent="0.45">
      <c r="A67" s="48" t="s">
        <v>198</v>
      </c>
      <c r="B67" s="49"/>
      <c r="C67" s="49" t="s">
        <v>128</v>
      </c>
      <c r="D67" s="49" t="s">
        <v>711</v>
      </c>
      <c r="E67" s="49"/>
      <c r="F67" s="49"/>
      <c r="G67" s="49" t="s">
        <v>97</v>
      </c>
      <c r="H67" s="49" t="s">
        <v>96</v>
      </c>
      <c r="I67" s="49"/>
      <c r="J67" s="50"/>
      <c r="K67" s="49" t="s">
        <v>246</v>
      </c>
      <c r="L67" s="49" t="s">
        <v>309</v>
      </c>
      <c r="M67" s="146"/>
      <c r="N67" s="49"/>
      <c r="O67" s="50"/>
      <c r="P67" s="50"/>
      <c r="Q67" s="49"/>
      <c r="R67" s="50"/>
      <c r="S67" s="50"/>
      <c r="T67" s="50"/>
      <c r="U67" s="50"/>
      <c r="V67" s="50"/>
      <c r="W67" s="50"/>
      <c r="X67" s="50"/>
      <c r="Y67" s="59">
        <v>43745</v>
      </c>
      <c r="Z67" s="48" t="str">
        <f t="shared" si="16"/>
        <v>IPK</v>
      </c>
      <c r="AA67" s="49"/>
      <c r="AB67" s="105"/>
      <c r="AC67" s="105"/>
      <c r="AD67" s="105">
        <v>400000</v>
      </c>
      <c r="AE67" s="105"/>
      <c r="AF67" s="105"/>
      <c r="AG67" s="48" t="str">
        <f t="shared" si="17"/>
        <v>ITA</v>
      </c>
      <c r="AH67" s="33" t="s">
        <v>130</v>
      </c>
      <c r="AI67" s="33" t="s">
        <v>130</v>
      </c>
      <c r="AL67" s="104">
        <v>299570</v>
      </c>
      <c r="AO67" s="48"/>
      <c r="AP67" s="49"/>
      <c r="AQ67" s="105"/>
      <c r="AR67" s="105"/>
      <c r="AS67" s="105"/>
      <c r="AT67" s="105"/>
      <c r="AU67" s="105"/>
      <c r="AV67" s="48"/>
      <c r="AW67" s="49"/>
      <c r="AX67" s="105"/>
      <c r="AY67" s="105"/>
      <c r="AZ67" s="105"/>
      <c r="BA67" s="105"/>
      <c r="BB67" s="105"/>
      <c r="BC67" s="48"/>
      <c r="BD67" s="49"/>
      <c r="BE67" s="105"/>
      <c r="BF67" s="102"/>
      <c r="BG67" s="49"/>
      <c r="BH67" s="49"/>
      <c r="BI67" s="105"/>
      <c r="BJ67" s="102"/>
      <c r="BK67" s="49"/>
      <c r="BL67" s="49"/>
      <c r="BM67" s="105"/>
      <c r="BN67" s="102"/>
      <c r="BO67" s="49"/>
      <c r="BP67" s="49"/>
      <c r="BQ67" s="105"/>
      <c r="BR67" s="102"/>
      <c r="BS67" s="49" t="s">
        <v>128</v>
      </c>
      <c r="BT67" s="49"/>
      <c r="BU67" s="102">
        <v>699570</v>
      </c>
      <c r="BV67" s="49"/>
      <c r="BW67" s="49"/>
      <c r="BX67" s="102"/>
      <c r="BY67" s="51">
        <f>Tabelle4[[#This Row],[Industry Funding from DE (IPK)]]+Tabelle4[[#This Row],[Industry Funding from BR (IPK)]]+Tabelle4[[#This Row],[Public Funding from DE (IPK)]]+Tabelle4[[#This Row],[Public Funding from BR (IPK)]]+Tabelle4[[#This Row],[In-kind Contribution (IPK)]]</f>
        <v>400000</v>
      </c>
      <c r="BZ67" s="51">
        <f>Tabelle4[[#This Row],[Industry Funding from DE (IPK)]]+Tabelle4[[#This Row],[Industry Funding from BR (IPK)]]+Tabelle4[[#This Row],[Public Funding from DE (IPK)]]+Tabelle4[[#This Row],[Public Funding from BR (IPK)]]</f>
        <v>400000</v>
      </c>
      <c r="CA67" s="51">
        <f>Tabelle4[[#This Row],[Industry Funding from DE (IPK)]]+Tabelle4[[#This Row],[Industry Funding from BR (IPK)]]</f>
        <v>0</v>
      </c>
      <c r="CB67" s="51">
        <f>Tabelle4[[#This Row],[Public Funding from DE (IPK)]]+Tabelle4[[#This Row],[Public Funding from BR (IPK)]]</f>
        <v>400000</v>
      </c>
      <c r="CC67" s="51">
        <f>Tabelle4[[#This Row],[In-kind Contribution (IPK)]]</f>
        <v>0</v>
      </c>
      <c r="CD67" s="53">
        <f>(Tabelle4[[#This Row],[Total Industry Funding (IPK)]] + Tabelle4[[#This Row],[Total Public Funding (IPK)]])/Tabelle4[[#This Row],[Total Project Volume (IPK)]]</f>
        <v>1</v>
      </c>
      <c r="CE67" s="53">
        <f>Tabelle4[[#This Row],[Total Industry Funding (IPK)]] / Tabelle4[[#This Row],[Total Project Volume (IPK)]]</f>
        <v>0</v>
      </c>
      <c r="CF67" s="49" t="str">
        <f>Tabelle4[[#This Row],[Project Funding Classification]]</f>
        <v>Public Funding</v>
      </c>
      <c r="CG67" s="51">
        <f>Tabelle4[[#This Row],[Industry Funding from DE (IPK)]]+Tabelle4[[#This Row],[Public Funding from DE (IPK)]]</f>
        <v>400000</v>
      </c>
      <c r="CH67" s="52">
        <f>Tabelle4[[#This Row],[Industry Funding from BR (IPK)]]+Tabelle4[[#This Row],[Public Funding from BR (IPK)]]</f>
        <v>0</v>
      </c>
      <c r="CI67" s="51">
        <f>Tabelle4[[#This Row],[Industry Funding from DE (ITA)]]+Tabelle4[[#This Row],[Industry Funding from BR (ITA)]]+Tabelle4[[#This Row],[Public Funding from DE (ITA)]]+Tabelle4[[#This Row],[Public Funding from BR (ITA)]]</f>
        <v>299570</v>
      </c>
      <c r="CJ67" s="51">
        <f>Tabelle4[[#This Row],[Industry Funding from DE (ITA)]]+Tabelle4[[#This Row],[Industry Funding from BR (ITA)]]</f>
        <v>0</v>
      </c>
      <c r="CK67" s="51">
        <f>Tabelle4[[#This Row],[Public Funding from DE (ITA)]]+Tabelle4[[#This Row],[Public Funding from BR (ITA)]]</f>
        <v>299570</v>
      </c>
      <c r="CL67" s="53">
        <f>Tabelle4[[#This Row],[Total Industry Funding (ITA)]]/Tabelle4[[#This Row],[Total Project Volume (ITA)]]</f>
        <v>0</v>
      </c>
      <c r="CM67" s="49" t="str">
        <f>IF(Tabelle4[[#This Row],[Funding Ratio (ITA)]]&lt;0.5,"Public Funding","Industry")</f>
        <v>Public Funding</v>
      </c>
      <c r="CN67" s="51">
        <f>Tabelle4[[#This Row],[Industry Funding from DE (ITA)]]+Tabelle4[[#This Row],[Public Funding from DE (ITA)]]</f>
        <v>299570</v>
      </c>
      <c r="CO67" s="52">
        <f>Tabelle4[[#This Row],[Industry Funding from BR (ITA)]]+Tabelle4[[#This Row],[Public Funding from BR (ITA)]]</f>
        <v>0</v>
      </c>
      <c r="CP67" s="51">
        <f>Tabelle4[[#This Row],[Total Project Volume (IPK)]]+Tabelle4[[#This Row],[Total Project Volume (ITA)]]</f>
        <v>699570</v>
      </c>
      <c r="CQ67" s="51">
        <f>Tabelle4[[#This Row],[Total Industry Funding (IPK)]]+Tabelle4[[#This Row],[Total Industry Funding (ITA)]]</f>
        <v>0</v>
      </c>
      <c r="CR67" s="51">
        <f>Tabelle4[[#This Row],[Industry Funding from DE (IPK)]]+Tabelle4[[#This Row],[Industry Funding from DE (ITA)]]</f>
        <v>0</v>
      </c>
      <c r="CS67" s="51">
        <f>Tabelle4[[#This Row],[Industry Funding from BR (IPK)]]+Tabelle4[[#This Row],[Industry Funding from BR (ITA)]]</f>
        <v>0</v>
      </c>
      <c r="CT67" s="51">
        <f>Tabelle4[[#This Row],[Total Public Funding (IPK)]]+Tabelle4[[#This Row],[Total Public Funding (ITA)]]</f>
        <v>699570</v>
      </c>
      <c r="CU67" s="51">
        <f>Tabelle4[[#This Row],[Public Funding from DE (IPK)]]+Tabelle4[[#This Row],[Public Funding from DE (ITA)]]</f>
        <v>699570</v>
      </c>
      <c r="CV67" s="51">
        <f>Tabelle4[[#This Row],[Public Funding from BR (IPK)]]+Tabelle4[[#This Row],[Public Funding from BR (ITA)]]</f>
        <v>0</v>
      </c>
      <c r="CW67" s="51">
        <f>Tabelle4[[#This Row],[Industry Funding from DE (FPC)]]+Tabelle4[[#This Row],[Public Funding from DE (FPC)]]</f>
        <v>699570</v>
      </c>
      <c r="CX67" s="52">
        <f>Tabelle4[[#This Row],[Industry Funding from BR (FPC)]]+Tabelle4[[#This Row],[Public Funding from BR (FPC)]]</f>
        <v>0</v>
      </c>
      <c r="CY67" s="51">
        <f>Tabelle4[[#This Row],[Total Financial Budget (Other)]]+Tabelle4[[#This Row],[Total In-kind Contribution (Other)]]</f>
        <v>0</v>
      </c>
      <c r="CZ67"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67" s="44">
        <f>Tabelle4[[#This Row],[In-kind Contribution (R&amp;D III)]]+Tabelle4[[#This Row],[In-kind Contribution (R&amp;D IV)]]</f>
        <v>0</v>
      </c>
      <c r="DB67" s="158">
        <f>Tabelle4[[#This Row],[Total Budget (FPC)]]+Tabelle4[[#This Row],[Total Volume (Other)]]</f>
        <v>699570</v>
      </c>
      <c r="DC67" s="105">
        <f>Tabelle4[[#This Row],[Total Revenues (IPK)]]</f>
        <v>400000</v>
      </c>
      <c r="DD67" s="53">
        <v>0</v>
      </c>
      <c r="DE67" s="51">
        <f>Tabelle4[[#This Row],[Total Revenues IPK]]*Tabelle4[[#This Row],[Probability of Success]]</f>
        <v>0</v>
      </c>
      <c r="DF67" s="51"/>
      <c r="DG67" s="51"/>
      <c r="DH67" s="51"/>
      <c r="DI67" s="51"/>
      <c r="DJ67" s="51"/>
      <c r="DK67" s="53"/>
      <c r="DL67" s="51">
        <f>Tabelle4[[#This Row],[Real Budget IPK]]*Tabelle4[[#This Row],[Acquisition Factor OE810]]</f>
        <v>0</v>
      </c>
      <c r="DM67" s="51">
        <v>0</v>
      </c>
      <c r="DN67" s="52">
        <f>Tabelle4[[#This Row],[Acquisition Bonus OE810]]+Tabelle4[[#This Row],[Project Execution OE810]]</f>
        <v>0</v>
      </c>
    </row>
    <row r="68" spans="1:118" ht="42" customHeight="1" x14ac:dyDescent="0.45">
      <c r="A68" s="70" t="s">
        <v>390</v>
      </c>
      <c r="B68" s="33" t="s">
        <v>391</v>
      </c>
      <c r="C68" s="57" t="s">
        <v>453</v>
      </c>
      <c r="D68" s="57" t="s">
        <v>710</v>
      </c>
      <c r="E68" s="33">
        <v>1</v>
      </c>
      <c r="F68" s="33">
        <v>0</v>
      </c>
      <c r="G68" s="33" t="s">
        <v>2</v>
      </c>
      <c r="H68" s="33" t="s">
        <v>96</v>
      </c>
      <c r="K68" s="33" t="s">
        <v>246</v>
      </c>
      <c r="L68" s="59" t="s">
        <v>309</v>
      </c>
      <c r="M68" s="144">
        <v>4.3110999999999997</v>
      </c>
      <c r="Q68" s="58">
        <v>24</v>
      </c>
      <c r="R68" s="60"/>
      <c r="S68" s="60"/>
      <c r="T68" s="60"/>
      <c r="U68" s="60"/>
      <c r="V68" s="59">
        <v>43719</v>
      </c>
      <c r="Y68" s="59">
        <v>44117</v>
      </c>
      <c r="Z68" s="42" t="str">
        <f t="shared" si="16"/>
        <v>IPK</v>
      </c>
      <c r="AG68" s="42" t="str">
        <f t="shared" si="17"/>
        <v>ITA</v>
      </c>
      <c r="AH68" s="33" t="s">
        <v>386</v>
      </c>
      <c r="AI68" s="33" t="s">
        <v>331</v>
      </c>
      <c r="AM68" s="64">
        <f>(1200000/M68)</f>
        <v>278351.23286400223</v>
      </c>
      <c r="AO68" s="42"/>
      <c r="AV68" s="42"/>
      <c r="BC68" s="42" t="s">
        <v>353</v>
      </c>
      <c r="BE68" s="64"/>
      <c r="BF68" s="65"/>
      <c r="BS68" s="33" t="s">
        <v>452</v>
      </c>
      <c r="BU68" s="101"/>
      <c r="BY68" s="44">
        <f>Tabelle4[[#This Row],[Industry Funding from DE (IPK)]]+Tabelle4[[#This Row],[Industry Funding from BR (IPK)]]+Tabelle4[[#This Row],[Public Funding from DE (IPK)]]+Tabelle4[[#This Row],[Public Funding from BR (IPK)]]+Tabelle4[[#This Row],[In-kind Contribution (IPK)]]</f>
        <v>0</v>
      </c>
      <c r="BZ68" s="44">
        <f>Tabelle4[[#This Row],[Industry Funding from DE (IPK)]]+Tabelle4[[#This Row],[Industry Funding from BR (IPK)]]+Tabelle4[[#This Row],[Public Funding from DE (IPK)]]+Tabelle4[[#This Row],[Public Funding from BR (IPK)]]</f>
        <v>0</v>
      </c>
      <c r="CA68" s="44">
        <f>Tabelle4[[#This Row],[Industry Funding from DE (IPK)]]+Tabelle4[[#This Row],[Industry Funding from BR (IPK)]]</f>
        <v>0</v>
      </c>
      <c r="CB68" s="44">
        <f>Tabelle4[[#This Row],[Public Funding from DE (IPK)]]+Tabelle4[[#This Row],[Public Funding from BR (IPK)]]</f>
        <v>0</v>
      </c>
      <c r="CC68" s="44">
        <f>Tabelle4[[#This Row],[In-kind Contribution (IPK)]]</f>
        <v>0</v>
      </c>
      <c r="CD68" s="47" t="e">
        <f>(Tabelle4[[#This Row],[Total Industry Funding (IPK)]] + Tabelle4[[#This Row],[Total Public Funding (IPK)]])/Tabelle4[[#This Row],[Total Project Volume (IPK)]]</f>
        <v>#DIV/0!</v>
      </c>
      <c r="CE68" s="47" t="e">
        <f>Tabelle4[[#This Row],[Total Industry Funding (IPK)]] / Tabelle4[[#This Row],[Total Project Volume (IPK)]]</f>
        <v>#DIV/0!</v>
      </c>
      <c r="CF68" s="33" t="str">
        <f>Tabelle4[[#This Row],[Project Funding Classification]]</f>
        <v>Public Funding</v>
      </c>
      <c r="CG68" s="44">
        <f>Tabelle4[[#This Row],[Industry Funding from DE (IPK)]]+Tabelle4[[#This Row],[Public Funding from DE (IPK)]]</f>
        <v>0</v>
      </c>
      <c r="CH68" s="46">
        <f>Tabelle4[[#This Row],[Industry Funding from BR (IPK)]]+Tabelle4[[#This Row],[Public Funding from BR (IPK)]]</f>
        <v>0</v>
      </c>
      <c r="CI68" s="44">
        <f>Tabelle4[[#This Row],[Industry Funding from DE (ITA)]]+Tabelle4[[#This Row],[Industry Funding from BR (ITA)]]+Tabelle4[[#This Row],[Public Funding from DE (ITA)]]+Tabelle4[[#This Row],[Public Funding from BR (ITA)]]</f>
        <v>278351.23286400223</v>
      </c>
      <c r="CJ68" s="44">
        <f>Tabelle4[[#This Row],[Industry Funding from DE (ITA)]]+Tabelle4[[#This Row],[Industry Funding from BR (ITA)]]</f>
        <v>0</v>
      </c>
      <c r="CK68" s="44">
        <f>Tabelle4[[#This Row],[Public Funding from DE (ITA)]]+Tabelle4[[#This Row],[Public Funding from BR (ITA)]]</f>
        <v>278351.23286400223</v>
      </c>
      <c r="CL68" s="47">
        <f>Tabelle4[[#This Row],[Total Industry Funding (ITA)]]/Tabelle4[[#This Row],[Total Project Volume (ITA)]]</f>
        <v>0</v>
      </c>
      <c r="CM68" s="33" t="str">
        <f>IF(Tabelle4[[#This Row],[Funding Ratio (ITA)]]&lt;0.5,"Public Funding","Industry")</f>
        <v>Public Funding</v>
      </c>
      <c r="CN68" s="44">
        <f>Tabelle4[[#This Row],[Industry Funding from DE (ITA)]]+Tabelle4[[#This Row],[Public Funding from DE (ITA)]]</f>
        <v>0</v>
      </c>
      <c r="CO68" s="46">
        <f>Tabelle4[[#This Row],[Industry Funding from BR (ITA)]]+Tabelle4[[#This Row],[Public Funding from BR (ITA)]]</f>
        <v>278351.23286400223</v>
      </c>
      <c r="CP68" s="44">
        <f>Tabelle4[[#This Row],[Total Project Volume (IPK)]]+Tabelle4[[#This Row],[Total Project Volume (ITA)]]</f>
        <v>278351.23286400223</v>
      </c>
      <c r="CQ68" s="44">
        <f>Tabelle4[[#This Row],[Total Industry Funding (IPK)]]+Tabelle4[[#This Row],[Total Industry Funding (ITA)]]</f>
        <v>0</v>
      </c>
      <c r="CR68" s="44">
        <f>Tabelle4[[#This Row],[Industry Funding from DE (IPK)]]+Tabelle4[[#This Row],[Industry Funding from DE (ITA)]]</f>
        <v>0</v>
      </c>
      <c r="CS68" s="44">
        <f>Tabelle4[[#This Row],[Industry Funding from BR (IPK)]]+Tabelle4[[#This Row],[Industry Funding from BR (ITA)]]</f>
        <v>0</v>
      </c>
      <c r="CT68" s="44">
        <f>Tabelle4[[#This Row],[Total Public Funding (IPK)]]+Tabelle4[[#This Row],[Total Public Funding (ITA)]]</f>
        <v>278351.23286400223</v>
      </c>
      <c r="CU68" s="44">
        <f>Tabelle4[[#This Row],[Public Funding from DE (IPK)]]+Tabelle4[[#This Row],[Public Funding from DE (ITA)]]</f>
        <v>0</v>
      </c>
      <c r="CV68" s="44">
        <f>Tabelle4[[#This Row],[Public Funding from BR (IPK)]]+Tabelle4[[#This Row],[Public Funding from BR (ITA)]]</f>
        <v>278351.23286400223</v>
      </c>
      <c r="CW68" s="44">
        <f>Tabelle4[[#This Row],[Industry Funding from DE (FPC)]]+Tabelle4[[#This Row],[Public Funding from DE (FPC)]]</f>
        <v>0</v>
      </c>
      <c r="CX68" s="46">
        <f>Tabelle4[[#This Row],[Industry Funding from BR (FPC)]]+Tabelle4[[#This Row],[Public Funding from BR (FPC)]]</f>
        <v>278351.23286400223</v>
      </c>
      <c r="CY68" s="51">
        <f>Tabelle4[[#This Row],[Total Financial Budget (Other)]]+Tabelle4[[#This Row],[Total In-kind Contribution (Other)]]</f>
        <v>0</v>
      </c>
      <c r="CZ6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68" s="44">
        <f>Tabelle4[[#This Row],[In-kind Contribution (R&amp;D III)]]+Tabelle4[[#This Row],[In-kind Contribution (R&amp;D IV)]]</f>
        <v>0</v>
      </c>
      <c r="DB68" s="158">
        <f>Tabelle4[[#This Row],[Total Budget (FPC)]]+Tabelle4[[#This Row],[Total Volume (Other)]]</f>
        <v>278351.23286400223</v>
      </c>
      <c r="DC68" s="104">
        <f>Tabelle4[[#This Row],[Total Revenues (IPK)]]</f>
        <v>0</v>
      </c>
      <c r="DE68" s="44">
        <f>Tabelle4[[#This Row],[Total Revenues IPK]]*Tabelle4[[#This Row],[Probability of Success]]</f>
        <v>0</v>
      </c>
      <c r="DL68" s="44">
        <f>Tabelle4[[#This Row],[Real Budget IPK]]*Tabelle4[[#This Row],[Acquisition Factor OE810]]</f>
        <v>0</v>
      </c>
      <c r="DN68" s="46">
        <f>Tabelle4[[#This Row],[Acquisition Bonus OE810]]+Tabelle4[[#This Row],[Project Execution OE810]]</f>
        <v>0</v>
      </c>
    </row>
    <row r="69" spans="1:118" ht="42" customHeight="1" x14ac:dyDescent="0.45">
      <c r="A69" s="42" t="s">
        <v>586</v>
      </c>
      <c r="B69" s="33" t="s">
        <v>585</v>
      </c>
      <c r="C69" s="57" t="s">
        <v>584</v>
      </c>
      <c r="D69" s="57" t="s">
        <v>705</v>
      </c>
      <c r="E69" s="33">
        <v>1</v>
      </c>
      <c r="G69" s="33" t="s">
        <v>2</v>
      </c>
      <c r="H69" s="33" t="s">
        <v>0</v>
      </c>
      <c r="I69" s="33" t="s">
        <v>587</v>
      </c>
      <c r="J69" s="59">
        <v>43970</v>
      </c>
      <c r="K69" s="33" t="s">
        <v>245</v>
      </c>
      <c r="L69" s="59" t="s">
        <v>651</v>
      </c>
      <c r="M69" s="145"/>
      <c r="N69" s="147"/>
      <c r="O69" s="122"/>
      <c r="Q69" s="58"/>
      <c r="U69" s="97">
        <v>43970</v>
      </c>
      <c r="W69" s="59">
        <v>43996</v>
      </c>
      <c r="X69" s="59">
        <v>44057</v>
      </c>
      <c r="Z69" s="42" t="str">
        <f t="shared" si="16"/>
        <v>IPK</v>
      </c>
      <c r="AG69" s="42" t="str">
        <f t="shared" si="17"/>
        <v>ITA</v>
      </c>
      <c r="AH69" s="33" t="s">
        <v>728</v>
      </c>
      <c r="AI69" s="33" t="s">
        <v>728</v>
      </c>
      <c r="AK69" s="64"/>
      <c r="AM69" s="64"/>
      <c r="AO69" s="42"/>
      <c r="AV69" s="42"/>
      <c r="BC69" s="42"/>
      <c r="BE69" s="64"/>
      <c r="BF69" s="65"/>
      <c r="BU69" s="67"/>
      <c r="BY69" s="44">
        <f>Tabelle4[[#This Row],[Industry Funding from DE (IPK)]]+Tabelle4[[#This Row],[Industry Funding from BR (IPK)]]+Tabelle4[[#This Row],[Public Funding from DE (IPK)]]+Tabelle4[[#This Row],[Public Funding from BR (IPK)]]+Tabelle4[[#This Row],[In-kind Contribution (IPK)]]</f>
        <v>0</v>
      </c>
      <c r="BZ69" s="44">
        <f>Tabelle4[[#This Row],[Industry Funding from DE (IPK)]]+Tabelle4[[#This Row],[Industry Funding from BR (IPK)]]+Tabelle4[[#This Row],[Public Funding from DE (IPK)]]+Tabelle4[[#This Row],[Public Funding from BR (IPK)]]</f>
        <v>0</v>
      </c>
      <c r="CA69" s="44">
        <f>Tabelle4[[#This Row],[Industry Funding from DE (IPK)]]+Tabelle4[[#This Row],[Industry Funding from BR (IPK)]]</f>
        <v>0</v>
      </c>
      <c r="CB69" s="44">
        <f>Tabelle4[[#This Row],[Public Funding from DE (IPK)]]+Tabelle4[[#This Row],[Public Funding from BR (IPK)]]</f>
        <v>0</v>
      </c>
      <c r="CC69" s="44">
        <f>Tabelle4[[#This Row],[In-kind Contribution (IPK)]]</f>
        <v>0</v>
      </c>
      <c r="CD69" s="47" t="e">
        <f>(Tabelle4[[#This Row],[Total Industry Funding (IPK)]] + Tabelle4[[#This Row],[Total Public Funding (IPK)]])/Tabelle4[[#This Row],[Total Project Volume (IPK)]]</f>
        <v>#DIV/0!</v>
      </c>
      <c r="CE69" s="47" t="e">
        <f>Tabelle4[[#This Row],[Total Industry Funding (IPK)]] / Tabelle4[[#This Row],[Total Project Volume (IPK)]]</f>
        <v>#DIV/0!</v>
      </c>
      <c r="CF69" s="33" t="str">
        <f>Tabelle4[[#This Row],[Project Funding Classification]]</f>
        <v>Industry</v>
      </c>
      <c r="CG69" s="44">
        <f>Tabelle4[[#This Row],[Industry Funding from DE (IPK)]]+Tabelle4[[#This Row],[Public Funding from DE (IPK)]]</f>
        <v>0</v>
      </c>
      <c r="CH69" s="46">
        <f>Tabelle4[[#This Row],[Industry Funding from BR (IPK)]]+Tabelle4[[#This Row],[Public Funding from BR (IPK)]]</f>
        <v>0</v>
      </c>
      <c r="CI69" s="44">
        <f>Tabelle4[[#This Row],[Industry Funding from DE (ITA)]]+Tabelle4[[#This Row],[Industry Funding from BR (ITA)]]+Tabelle4[[#This Row],[Public Funding from DE (ITA)]]+Tabelle4[[#This Row],[Public Funding from BR (ITA)]]</f>
        <v>0</v>
      </c>
      <c r="CJ69" s="44">
        <f>Tabelle4[[#This Row],[Industry Funding from DE (ITA)]]+Tabelle4[[#This Row],[Industry Funding from BR (ITA)]]</f>
        <v>0</v>
      </c>
      <c r="CK69" s="44">
        <f>Tabelle4[[#This Row],[Public Funding from DE (ITA)]]+Tabelle4[[#This Row],[Public Funding from BR (ITA)]]</f>
        <v>0</v>
      </c>
      <c r="CL69" s="47" t="e">
        <f>Tabelle4[[#This Row],[Total Industry Funding (ITA)]]/Tabelle4[[#This Row],[Total Project Volume (ITA)]]</f>
        <v>#DIV/0!</v>
      </c>
      <c r="CM69" s="33" t="e">
        <f>IF(Tabelle4[[#This Row],[Funding Ratio (ITA)]]&lt;0.5,"Public Funding","Industry")</f>
        <v>#DIV/0!</v>
      </c>
      <c r="CN69" s="44">
        <f>Tabelle4[[#This Row],[Industry Funding from DE (ITA)]]+Tabelle4[[#This Row],[Public Funding from DE (ITA)]]</f>
        <v>0</v>
      </c>
      <c r="CO69" s="46">
        <f>Tabelle4[[#This Row],[Industry Funding from BR (ITA)]]+Tabelle4[[#This Row],[Public Funding from BR (ITA)]]</f>
        <v>0</v>
      </c>
      <c r="CP69" s="44">
        <f>Tabelle4[[#This Row],[Total Project Volume (IPK)]]+Tabelle4[[#This Row],[Total Project Volume (ITA)]]</f>
        <v>0</v>
      </c>
      <c r="CQ69" s="44">
        <f>Tabelle4[[#This Row],[Total Industry Funding (IPK)]]+Tabelle4[[#This Row],[Total Industry Funding (ITA)]]</f>
        <v>0</v>
      </c>
      <c r="CR69" s="44">
        <f>Tabelle4[[#This Row],[Industry Funding from DE (IPK)]]+Tabelle4[[#This Row],[Industry Funding from DE (ITA)]]</f>
        <v>0</v>
      </c>
      <c r="CS69" s="44">
        <f>Tabelle4[[#This Row],[Industry Funding from BR (IPK)]]+Tabelle4[[#This Row],[Industry Funding from BR (ITA)]]</f>
        <v>0</v>
      </c>
      <c r="CT69" s="44">
        <f>Tabelle4[[#This Row],[Total Public Funding (IPK)]]+Tabelle4[[#This Row],[Total Public Funding (ITA)]]</f>
        <v>0</v>
      </c>
      <c r="CU69" s="44">
        <f>Tabelle4[[#This Row],[Public Funding from DE (IPK)]]+Tabelle4[[#This Row],[Public Funding from DE (ITA)]]</f>
        <v>0</v>
      </c>
      <c r="CV69" s="44">
        <f>Tabelle4[[#This Row],[Public Funding from BR (IPK)]]+Tabelle4[[#This Row],[Public Funding from BR (ITA)]]</f>
        <v>0</v>
      </c>
      <c r="CW69" s="44">
        <f>Tabelle4[[#This Row],[Industry Funding from DE (FPC)]]+Tabelle4[[#This Row],[Public Funding from DE (FPC)]]</f>
        <v>0</v>
      </c>
      <c r="CX69" s="46">
        <f>Tabelle4[[#This Row],[Industry Funding from BR (FPC)]]+Tabelle4[[#This Row],[Public Funding from BR (FPC)]]</f>
        <v>0</v>
      </c>
      <c r="CY69" s="44">
        <f>Tabelle4[[#This Row],[Total Financial Budget (Other)]]+Tabelle4[[#This Row],[Total In-kind Contribution (Other)]]</f>
        <v>0</v>
      </c>
      <c r="CZ6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69" s="44">
        <f>Tabelle4[[#This Row],[In-kind Contribution (R&amp;D III)]]+Tabelle4[[#This Row],[In-kind Contribution (R&amp;D IV)]]</f>
        <v>0</v>
      </c>
      <c r="DB69" s="158">
        <f>Tabelle4[[#This Row],[Total Budget (FPC)]]+Tabelle4[[#This Row],[Total Volume (Other)]]</f>
        <v>0</v>
      </c>
      <c r="DC69" s="104">
        <f>Tabelle4[[#This Row],[Total Revenues (IPK)]]</f>
        <v>0</v>
      </c>
      <c r="DE69" s="44">
        <f>Tabelle4[[#This Row],[Total Revenues IPK]]*Tabelle4[[#This Row],[Probability of Success]]</f>
        <v>0</v>
      </c>
      <c r="DL69" s="44">
        <f>Tabelle4[[#This Row],[Real Budget IPK]]*Tabelle4[[#This Row],[Acquisition Factor OE810]]</f>
        <v>0</v>
      </c>
      <c r="DN69" s="46">
        <f>Tabelle4[[#This Row],[Acquisition Bonus OE810]]+Tabelle4[[#This Row],[Project Execution OE810]]</f>
        <v>0</v>
      </c>
    </row>
    <row r="70" spans="1:118" ht="42" customHeight="1" x14ac:dyDescent="0.45">
      <c r="A70" s="70" t="s">
        <v>172</v>
      </c>
      <c r="C70" s="33" t="s">
        <v>173</v>
      </c>
      <c r="D70" s="33" t="s">
        <v>707</v>
      </c>
      <c r="G70" s="33" t="s">
        <v>2</v>
      </c>
      <c r="H70" s="33" t="s">
        <v>0</v>
      </c>
      <c r="K70" s="33" t="s">
        <v>246</v>
      </c>
      <c r="L70" s="33" t="s">
        <v>309</v>
      </c>
      <c r="Q70" s="33">
        <v>4</v>
      </c>
      <c r="Y70" s="59">
        <v>43745</v>
      </c>
      <c r="Z70" s="42" t="str">
        <f t="shared" si="16"/>
        <v>IPK</v>
      </c>
      <c r="AG70" s="42" t="str">
        <f t="shared" si="17"/>
        <v>ITA</v>
      </c>
      <c r="AH70" s="33" t="s">
        <v>442</v>
      </c>
      <c r="AI70" s="33" t="s">
        <v>346</v>
      </c>
      <c r="AM70" s="104">
        <v>14762</v>
      </c>
      <c r="AO70" s="42"/>
      <c r="AV70" s="42"/>
      <c r="BC70" s="42" t="s">
        <v>173</v>
      </c>
      <c r="BE70" s="104">
        <v>14762</v>
      </c>
      <c r="BF70" s="65"/>
      <c r="BU70" s="101"/>
      <c r="BY70" s="44">
        <f>Tabelle4[[#This Row],[Industry Funding from DE (IPK)]]+Tabelle4[[#This Row],[Industry Funding from BR (IPK)]]+Tabelle4[[#This Row],[Public Funding from DE (IPK)]]+Tabelle4[[#This Row],[Public Funding from BR (IPK)]]+Tabelle4[[#This Row],[In-kind Contribution (IPK)]]</f>
        <v>0</v>
      </c>
      <c r="BZ70" s="44">
        <f>Tabelle4[[#This Row],[Industry Funding from DE (IPK)]]+Tabelle4[[#This Row],[Industry Funding from BR (IPK)]]+Tabelle4[[#This Row],[Public Funding from DE (IPK)]]+Tabelle4[[#This Row],[Public Funding from BR (IPK)]]</f>
        <v>0</v>
      </c>
      <c r="CA70" s="44">
        <f>Tabelle4[[#This Row],[Industry Funding from DE (IPK)]]+Tabelle4[[#This Row],[Industry Funding from BR (IPK)]]</f>
        <v>0</v>
      </c>
      <c r="CB70" s="44">
        <f>Tabelle4[[#This Row],[Public Funding from DE (IPK)]]+Tabelle4[[#This Row],[Public Funding from BR (IPK)]]</f>
        <v>0</v>
      </c>
      <c r="CC70" s="44">
        <f>Tabelle4[[#This Row],[In-kind Contribution (IPK)]]</f>
        <v>0</v>
      </c>
      <c r="CD70" s="47" t="e">
        <f>(Tabelle4[[#This Row],[Total Industry Funding (IPK)]] + Tabelle4[[#This Row],[Total Public Funding (IPK)]])/Tabelle4[[#This Row],[Total Project Volume (IPK)]]</f>
        <v>#DIV/0!</v>
      </c>
      <c r="CE70" s="47" t="e">
        <f>Tabelle4[[#This Row],[Total Industry Funding (IPK)]] / Tabelle4[[#This Row],[Total Project Volume (IPK)]]</f>
        <v>#DIV/0!</v>
      </c>
      <c r="CF70" s="33" t="str">
        <f>Tabelle4[[#This Row],[Project Funding Classification]]</f>
        <v>Industry</v>
      </c>
      <c r="CG70" s="44">
        <f>Tabelle4[[#This Row],[Industry Funding from DE (IPK)]]+Tabelle4[[#This Row],[Public Funding from DE (IPK)]]</f>
        <v>0</v>
      </c>
      <c r="CH70" s="46">
        <f>Tabelle4[[#This Row],[Industry Funding from BR (IPK)]]+Tabelle4[[#This Row],[Public Funding from BR (IPK)]]</f>
        <v>0</v>
      </c>
      <c r="CI70" s="44">
        <f>Tabelle4[[#This Row],[Industry Funding from DE (ITA)]]+Tabelle4[[#This Row],[Industry Funding from BR (ITA)]]+Tabelle4[[#This Row],[Public Funding from DE (ITA)]]+Tabelle4[[#This Row],[Public Funding from BR (ITA)]]</f>
        <v>14762</v>
      </c>
      <c r="CJ70" s="44">
        <f>Tabelle4[[#This Row],[Industry Funding from DE (ITA)]]+Tabelle4[[#This Row],[Industry Funding from BR (ITA)]]</f>
        <v>0</v>
      </c>
      <c r="CK70" s="44">
        <f>Tabelle4[[#This Row],[Public Funding from DE (ITA)]]+Tabelle4[[#This Row],[Public Funding from BR (ITA)]]</f>
        <v>14762</v>
      </c>
      <c r="CL70" s="47">
        <f>Tabelle4[[#This Row],[Total Industry Funding (ITA)]]/Tabelle4[[#This Row],[Total Project Volume (ITA)]]</f>
        <v>0</v>
      </c>
      <c r="CM70" s="33" t="str">
        <f>IF(Tabelle4[[#This Row],[Funding Ratio (ITA)]]&lt;0.5,"Public Funding","Industry")</f>
        <v>Public Funding</v>
      </c>
      <c r="CN70" s="44">
        <f>Tabelle4[[#This Row],[Industry Funding from DE (ITA)]]+Tabelle4[[#This Row],[Public Funding from DE (ITA)]]</f>
        <v>0</v>
      </c>
      <c r="CO70" s="46">
        <f>Tabelle4[[#This Row],[Industry Funding from BR (ITA)]]+Tabelle4[[#This Row],[Public Funding from BR (ITA)]]</f>
        <v>14762</v>
      </c>
      <c r="CP70" s="44">
        <f>Tabelle4[[#This Row],[Total Project Volume (IPK)]]+Tabelle4[[#This Row],[Total Project Volume (ITA)]]</f>
        <v>14762</v>
      </c>
      <c r="CQ70" s="44">
        <f>Tabelle4[[#This Row],[Total Industry Funding (IPK)]]+Tabelle4[[#This Row],[Total Industry Funding (ITA)]]</f>
        <v>0</v>
      </c>
      <c r="CR70" s="44">
        <f>Tabelle4[[#This Row],[Industry Funding from DE (IPK)]]+Tabelle4[[#This Row],[Industry Funding from DE (ITA)]]</f>
        <v>0</v>
      </c>
      <c r="CS70" s="44">
        <f>Tabelle4[[#This Row],[Industry Funding from BR (IPK)]]+Tabelle4[[#This Row],[Industry Funding from BR (ITA)]]</f>
        <v>0</v>
      </c>
      <c r="CT70" s="44">
        <f>Tabelle4[[#This Row],[Total Public Funding (IPK)]]+Tabelle4[[#This Row],[Total Public Funding (ITA)]]</f>
        <v>14762</v>
      </c>
      <c r="CU70" s="44">
        <f>Tabelle4[[#This Row],[Public Funding from DE (IPK)]]+Tabelle4[[#This Row],[Public Funding from DE (ITA)]]</f>
        <v>0</v>
      </c>
      <c r="CV70" s="44">
        <f>Tabelle4[[#This Row],[Public Funding from BR (IPK)]]+Tabelle4[[#This Row],[Public Funding from BR (ITA)]]</f>
        <v>14762</v>
      </c>
      <c r="CW70" s="44">
        <f>Tabelle4[[#This Row],[Industry Funding from DE (FPC)]]+Tabelle4[[#This Row],[Public Funding from DE (FPC)]]</f>
        <v>0</v>
      </c>
      <c r="CX70" s="46">
        <f>Tabelle4[[#This Row],[Industry Funding from BR (FPC)]]+Tabelle4[[#This Row],[Public Funding from BR (FPC)]]</f>
        <v>14762</v>
      </c>
      <c r="CY70" s="51">
        <f>Tabelle4[[#This Row],[Total Financial Budget (Other)]]+Tabelle4[[#This Row],[Total In-kind Contribution (Other)]]</f>
        <v>0</v>
      </c>
      <c r="CZ7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70" s="44">
        <f>Tabelle4[[#This Row],[In-kind Contribution (R&amp;D III)]]+Tabelle4[[#This Row],[In-kind Contribution (R&amp;D IV)]]</f>
        <v>0</v>
      </c>
      <c r="DB70" s="158">
        <f>Tabelle4[[#This Row],[Total Budget (FPC)]]+Tabelle4[[#This Row],[Total Volume (Other)]]</f>
        <v>14762</v>
      </c>
      <c r="DC70" s="104">
        <f>Tabelle4[[#This Row],[Total Revenues (IPK)]]</f>
        <v>0</v>
      </c>
      <c r="DE70" s="44">
        <f>Tabelle4[[#This Row],[Total Revenues IPK]]*Tabelle4[[#This Row],[Probability of Success]]</f>
        <v>0</v>
      </c>
      <c r="DL70" s="44">
        <f>Tabelle4[[#This Row],[Real Budget IPK]]*Tabelle4[[#This Row],[Acquisition Factor OE810]]</f>
        <v>0</v>
      </c>
      <c r="DM70" s="44">
        <v>0</v>
      </c>
      <c r="DN70" s="46">
        <f>Tabelle4[[#This Row],[Acquisition Bonus OE810]]+Tabelle4[[#This Row],[Project Execution OE810]]</f>
        <v>0</v>
      </c>
    </row>
    <row r="71" spans="1:118" ht="42" customHeight="1" x14ac:dyDescent="0.45">
      <c r="A71" s="42" t="s">
        <v>290</v>
      </c>
      <c r="C71" s="33" t="s">
        <v>291</v>
      </c>
      <c r="D71" s="33" t="s">
        <v>709</v>
      </c>
      <c r="E71" s="33">
        <v>1</v>
      </c>
      <c r="G71" s="33" t="s">
        <v>97</v>
      </c>
      <c r="H71" s="33" t="s">
        <v>0</v>
      </c>
      <c r="I71" s="33" t="s">
        <v>613</v>
      </c>
      <c r="J71" s="59">
        <v>43678</v>
      </c>
      <c r="K71" s="33" t="s">
        <v>245</v>
      </c>
      <c r="L71" s="33" t="s">
        <v>651</v>
      </c>
      <c r="M71" s="144">
        <v>6.7</v>
      </c>
      <c r="N71" s="33" t="s">
        <v>643</v>
      </c>
      <c r="S71" s="59">
        <v>43678</v>
      </c>
      <c r="U71" s="59">
        <v>43692</v>
      </c>
      <c r="V71" s="59">
        <v>43760</v>
      </c>
      <c r="W71" s="59">
        <v>43811</v>
      </c>
      <c r="Z71" s="42" t="str">
        <f t="shared" si="16"/>
        <v>IPK</v>
      </c>
      <c r="AA71" s="33" t="s">
        <v>292</v>
      </c>
      <c r="AC71" s="61">
        <v>59000</v>
      </c>
      <c r="AG71" s="42" t="str">
        <f t="shared" si="17"/>
        <v>ITA</v>
      </c>
      <c r="AH71" s="33" t="s">
        <v>638</v>
      </c>
      <c r="AI71" s="33" t="s">
        <v>130</v>
      </c>
      <c r="AK71" s="104">
        <f>(16000)/Tabelle4[[#This Row],[EUR exchange rate against BRL]]</f>
        <v>2388.0597014925374</v>
      </c>
      <c r="AO71" s="42"/>
      <c r="AV71" s="42"/>
      <c r="BC71" s="42" t="s">
        <v>291</v>
      </c>
      <c r="BD71" s="33" t="s">
        <v>293</v>
      </c>
      <c r="BE71" s="104">
        <v>59000</v>
      </c>
      <c r="BF71" s="65"/>
      <c r="BU71" s="101"/>
      <c r="BY71" s="44">
        <f>Tabelle4[[#This Row],[Industry Funding from DE (IPK)]]+Tabelle4[[#This Row],[Industry Funding from BR (IPK)]]+Tabelle4[[#This Row],[Public Funding from DE (IPK)]]+Tabelle4[[#This Row],[Public Funding from BR (IPK)]]+Tabelle4[[#This Row],[In-kind Contribution (IPK)]]</f>
        <v>59000</v>
      </c>
      <c r="BZ71" s="44">
        <f>Tabelle4[[#This Row],[Industry Funding from DE (IPK)]]+Tabelle4[[#This Row],[Industry Funding from BR (IPK)]]+Tabelle4[[#This Row],[Public Funding from DE (IPK)]]+Tabelle4[[#This Row],[Public Funding from BR (IPK)]]</f>
        <v>59000</v>
      </c>
      <c r="CA71" s="44">
        <f>Tabelle4[[#This Row],[Industry Funding from DE (IPK)]]+Tabelle4[[#This Row],[Industry Funding from BR (IPK)]]</f>
        <v>59000</v>
      </c>
      <c r="CB71" s="44">
        <f>Tabelle4[[#This Row],[Public Funding from DE (IPK)]]+Tabelle4[[#This Row],[Public Funding from BR (IPK)]]</f>
        <v>0</v>
      </c>
      <c r="CC71" s="44">
        <f>Tabelle4[[#This Row],[In-kind Contribution (IPK)]]</f>
        <v>0</v>
      </c>
      <c r="CD71" s="47">
        <f>(Tabelle4[[#This Row],[Total Industry Funding (IPK)]] + Tabelle4[[#This Row],[Total Public Funding (IPK)]])/Tabelle4[[#This Row],[Total Project Volume (IPK)]]</f>
        <v>1</v>
      </c>
      <c r="CE71" s="47">
        <f>Tabelle4[[#This Row],[Total Industry Funding (IPK)]] / Tabelle4[[#This Row],[Total Project Volume (IPK)]]</f>
        <v>1</v>
      </c>
      <c r="CF71" s="33" t="str">
        <f>Tabelle4[[#This Row],[Project Funding Classification]]</f>
        <v>Industry</v>
      </c>
      <c r="CG71" s="44">
        <f>Tabelle4[[#This Row],[Industry Funding from DE (IPK)]]+Tabelle4[[#This Row],[Public Funding from DE (IPK)]]</f>
        <v>0</v>
      </c>
      <c r="CH71" s="46">
        <f>Tabelle4[[#This Row],[Industry Funding from BR (IPK)]]+Tabelle4[[#This Row],[Public Funding from BR (IPK)]]</f>
        <v>59000</v>
      </c>
      <c r="CI71" s="44">
        <f>Tabelle4[[#This Row],[Industry Funding from DE (ITA)]]+Tabelle4[[#This Row],[Industry Funding from BR (ITA)]]+Tabelle4[[#This Row],[Public Funding from DE (ITA)]]+Tabelle4[[#This Row],[Public Funding from BR (ITA)]]</f>
        <v>2388.0597014925374</v>
      </c>
      <c r="CJ71" s="44">
        <f>Tabelle4[[#This Row],[Industry Funding from DE (ITA)]]+Tabelle4[[#This Row],[Industry Funding from BR (ITA)]]</f>
        <v>2388.0597014925374</v>
      </c>
      <c r="CK71" s="44">
        <f>Tabelle4[[#This Row],[Public Funding from DE (ITA)]]+Tabelle4[[#This Row],[Public Funding from BR (ITA)]]</f>
        <v>0</v>
      </c>
      <c r="CL71" s="47">
        <f>Tabelle4[[#This Row],[Total Industry Funding (ITA)]]/Tabelle4[[#This Row],[Total Project Volume (ITA)]]</f>
        <v>1</v>
      </c>
      <c r="CM71" s="33" t="str">
        <f>IF(Tabelle4[[#This Row],[Funding Ratio (ITA)]]&lt;0.5,"Public Funding","Industry")</f>
        <v>Industry</v>
      </c>
      <c r="CN71" s="44">
        <f>Tabelle4[[#This Row],[Industry Funding from DE (ITA)]]+Tabelle4[[#This Row],[Public Funding from DE (ITA)]]</f>
        <v>0</v>
      </c>
      <c r="CO71" s="46">
        <f>Tabelle4[[#This Row],[Industry Funding from BR (ITA)]]+Tabelle4[[#This Row],[Public Funding from BR (ITA)]]</f>
        <v>2388.0597014925374</v>
      </c>
      <c r="CP71" s="44">
        <f>Tabelle4[[#This Row],[Total Project Volume (IPK)]]+Tabelle4[[#This Row],[Total Project Volume (ITA)]]</f>
        <v>61388.059701492537</v>
      </c>
      <c r="CQ71" s="44">
        <f>Tabelle4[[#This Row],[Total Industry Funding (IPK)]]+Tabelle4[[#This Row],[Total Industry Funding (ITA)]]</f>
        <v>61388.059701492537</v>
      </c>
      <c r="CR71" s="44">
        <f>Tabelle4[[#This Row],[Industry Funding from DE (IPK)]]+Tabelle4[[#This Row],[Industry Funding from DE (ITA)]]</f>
        <v>0</v>
      </c>
      <c r="CS71" s="44">
        <f>Tabelle4[[#This Row],[Industry Funding from BR (IPK)]]+Tabelle4[[#This Row],[Industry Funding from BR (ITA)]]</f>
        <v>61388.059701492537</v>
      </c>
      <c r="CT71" s="44">
        <f>Tabelle4[[#This Row],[Total Public Funding (IPK)]]+Tabelle4[[#This Row],[Total Public Funding (ITA)]]</f>
        <v>0</v>
      </c>
      <c r="CU71" s="44">
        <f>Tabelle4[[#This Row],[Public Funding from DE (IPK)]]+Tabelle4[[#This Row],[Public Funding from DE (ITA)]]</f>
        <v>0</v>
      </c>
      <c r="CV71" s="44">
        <f>Tabelle4[[#This Row],[Public Funding from BR (IPK)]]+Tabelle4[[#This Row],[Public Funding from BR (ITA)]]</f>
        <v>0</v>
      </c>
      <c r="CW71" s="44">
        <f>Tabelle4[[#This Row],[Industry Funding from DE (FPC)]]+Tabelle4[[#This Row],[Public Funding from DE (FPC)]]</f>
        <v>0</v>
      </c>
      <c r="CX71" s="46">
        <f>Tabelle4[[#This Row],[Industry Funding from BR (FPC)]]+Tabelle4[[#This Row],[Public Funding from BR (FPC)]]</f>
        <v>61388.059701492537</v>
      </c>
      <c r="CY71" s="51">
        <f>Tabelle4[[#This Row],[Total Financial Budget (Other)]]+Tabelle4[[#This Row],[Total In-kind Contribution (Other)]]</f>
        <v>0</v>
      </c>
      <c r="CZ7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71" s="44">
        <f>Tabelle4[[#This Row],[In-kind Contribution (R&amp;D III)]]+Tabelle4[[#This Row],[In-kind Contribution (R&amp;D IV)]]</f>
        <v>0</v>
      </c>
      <c r="DB71" s="158">
        <f>Tabelle4[[#This Row],[Total Budget (FPC)]]+Tabelle4[[#This Row],[Total Volume (Other)]]</f>
        <v>61388.059701492537</v>
      </c>
      <c r="DC71" s="104">
        <f>Tabelle4[[#This Row],[Total Revenues (IPK)]]</f>
        <v>59000</v>
      </c>
      <c r="DD71" s="47">
        <v>1</v>
      </c>
      <c r="DE71" s="44">
        <f>Tabelle4[[#This Row],[Total Revenues IPK]]*Tabelle4[[#This Row],[Probability of Success]]</f>
        <v>59000</v>
      </c>
      <c r="DG71" s="44">
        <v>47200</v>
      </c>
      <c r="DK71" s="47">
        <v>0.2</v>
      </c>
      <c r="DL71" s="44">
        <f>Tabelle4[[#This Row],[Real Budget IPK]]*Tabelle4[[#This Row],[Acquisition Factor OE810]]</f>
        <v>11800</v>
      </c>
      <c r="DN71" s="46">
        <f>Tabelle4[[#This Row],[Acquisition Bonus OE810]]+Tabelle4[[#This Row],[Project Execution OE810]]</f>
        <v>11800</v>
      </c>
    </row>
    <row r="72" spans="1:118" ht="42" customHeight="1" x14ac:dyDescent="0.45">
      <c r="A72" s="70" t="s">
        <v>371</v>
      </c>
      <c r="B72" s="33" t="s">
        <v>557</v>
      </c>
      <c r="C72" s="33" t="s">
        <v>371</v>
      </c>
      <c r="D72" s="33" t="s">
        <v>709</v>
      </c>
      <c r="E72" s="33">
        <v>1</v>
      </c>
      <c r="F72" s="33">
        <v>0</v>
      </c>
      <c r="G72" s="33" t="s">
        <v>2</v>
      </c>
      <c r="H72" s="33" t="s">
        <v>0</v>
      </c>
      <c r="K72" s="33" t="s">
        <v>246</v>
      </c>
      <c r="L72" s="43" t="s">
        <v>309</v>
      </c>
      <c r="Q72" s="58">
        <v>15</v>
      </c>
      <c r="R72" s="60"/>
      <c r="S72" s="60"/>
      <c r="T72" s="60"/>
      <c r="U72" s="60">
        <v>43696</v>
      </c>
      <c r="Y72" s="59">
        <v>43923</v>
      </c>
      <c r="Z72" s="42" t="str">
        <f t="shared" si="16"/>
        <v>IPK</v>
      </c>
      <c r="AG72" s="42" t="str">
        <f t="shared" si="17"/>
        <v>ITA</v>
      </c>
      <c r="AH72" s="33" t="s">
        <v>130</v>
      </c>
      <c r="AI72" s="33" t="s">
        <v>130</v>
      </c>
      <c r="AK72" s="64">
        <f>(320000/4.3111)</f>
        <v>74226.995430400595</v>
      </c>
      <c r="AL72" s="64"/>
      <c r="AO72" s="42"/>
      <c r="AV72" s="42"/>
      <c r="BC72" s="42" t="s">
        <v>371</v>
      </c>
      <c r="BE72" s="104">
        <f>(320000/4.3111)</f>
        <v>74226.995430400595</v>
      </c>
      <c r="BF72" s="65"/>
      <c r="BU72" s="101"/>
      <c r="BY72" s="44">
        <f>Tabelle4[[#This Row],[Industry Funding from DE (IPK)]]+Tabelle4[[#This Row],[Industry Funding from BR (IPK)]]+Tabelle4[[#This Row],[Public Funding from DE (IPK)]]+Tabelle4[[#This Row],[Public Funding from BR (IPK)]]+Tabelle4[[#This Row],[In-kind Contribution (IPK)]]</f>
        <v>0</v>
      </c>
      <c r="BZ72" s="44">
        <f>Tabelle4[[#This Row],[Industry Funding from DE (IPK)]]+Tabelle4[[#This Row],[Industry Funding from BR (IPK)]]+Tabelle4[[#This Row],[Public Funding from DE (IPK)]]+Tabelle4[[#This Row],[Public Funding from BR (IPK)]]</f>
        <v>0</v>
      </c>
      <c r="CA72" s="44">
        <f>Tabelle4[[#This Row],[Industry Funding from DE (IPK)]]+Tabelle4[[#This Row],[Industry Funding from BR (IPK)]]</f>
        <v>0</v>
      </c>
      <c r="CB72" s="44">
        <f>Tabelle4[[#This Row],[Public Funding from DE (IPK)]]+Tabelle4[[#This Row],[Public Funding from BR (IPK)]]</f>
        <v>0</v>
      </c>
      <c r="CC72" s="44">
        <f>Tabelle4[[#This Row],[In-kind Contribution (IPK)]]</f>
        <v>0</v>
      </c>
      <c r="CD72" s="47" t="e">
        <f>(Tabelle4[[#This Row],[Total Industry Funding (IPK)]] + Tabelle4[[#This Row],[Total Public Funding (IPK)]])/Tabelle4[[#This Row],[Total Project Volume (IPK)]]</f>
        <v>#DIV/0!</v>
      </c>
      <c r="CE72" s="47" t="e">
        <f>Tabelle4[[#This Row],[Total Industry Funding (IPK)]] / Tabelle4[[#This Row],[Total Project Volume (IPK)]]</f>
        <v>#DIV/0!</v>
      </c>
      <c r="CF72" s="33" t="str">
        <f>Tabelle4[[#This Row],[Project Funding Classification]]</f>
        <v>Industry</v>
      </c>
      <c r="CG72" s="44">
        <f>Tabelle4[[#This Row],[Industry Funding from DE (IPK)]]+Tabelle4[[#This Row],[Public Funding from DE (IPK)]]</f>
        <v>0</v>
      </c>
      <c r="CH72" s="46">
        <f>Tabelle4[[#This Row],[Industry Funding from BR (IPK)]]+Tabelle4[[#This Row],[Public Funding from BR (IPK)]]</f>
        <v>0</v>
      </c>
      <c r="CI72" s="44">
        <f>Tabelle4[[#This Row],[Industry Funding from DE (ITA)]]+Tabelle4[[#This Row],[Industry Funding from BR (ITA)]]+Tabelle4[[#This Row],[Public Funding from DE (ITA)]]+Tabelle4[[#This Row],[Public Funding from BR (ITA)]]</f>
        <v>74226.995430400595</v>
      </c>
      <c r="CJ72" s="44">
        <f>Tabelle4[[#This Row],[Industry Funding from DE (ITA)]]+Tabelle4[[#This Row],[Industry Funding from BR (ITA)]]</f>
        <v>74226.995430400595</v>
      </c>
      <c r="CK72" s="44">
        <f>Tabelle4[[#This Row],[Public Funding from DE (ITA)]]+Tabelle4[[#This Row],[Public Funding from BR (ITA)]]</f>
        <v>0</v>
      </c>
      <c r="CL72" s="47">
        <f>Tabelle4[[#This Row],[Total Industry Funding (ITA)]]/Tabelle4[[#This Row],[Total Project Volume (ITA)]]</f>
        <v>1</v>
      </c>
      <c r="CM72" s="33" t="str">
        <f>IF(Tabelle4[[#This Row],[Funding Ratio (ITA)]]&lt;0.5,"Public Funding","Industry")</f>
        <v>Industry</v>
      </c>
      <c r="CN72" s="44">
        <f>Tabelle4[[#This Row],[Industry Funding from DE (ITA)]]+Tabelle4[[#This Row],[Public Funding from DE (ITA)]]</f>
        <v>0</v>
      </c>
      <c r="CO72" s="46">
        <f>Tabelle4[[#This Row],[Industry Funding from BR (ITA)]]+Tabelle4[[#This Row],[Public Funding from BR (ITA)]]</f>
        <v>74226.995430400595</v>
      </c>
      <c r="CP72" s="44">
        <f>Tabelle4[[#This Row],[Total Project Volume (IPK)]]+Tabelle4[[#This Row],[Total Project Volume (ITA)]]</f>
        <v>74226.995430400595</v>
      </c>
      <c r="CQ72" s="44">
        <f>Tabelle4[[#This Row],[Total Industry Funding (IPK)]]+Tabelle4[[#This Row],[Total Industry Funding (ITA)]]</f>
        <v>74226.995430400595</v>
      </c>
      <c r="CR72" s="44">
        <f>Tabelle4[[#This Row],[Industry Funding from DE (IPK)]]+Tabelle4[[#This Row],[Industry Funding from DE (ITA)]]</f>
        <v>0</v>
      </c>
      <c r="CS72" s="44">
        <f>Tabelle4[[#This Row],[Industry Funding from BR (IPK)]]+Tabelle4[[#This Row],[Industry Funding from BR (ITA)]]</f>
        <v>74226.995430400595</v>
      </c>
      <c r="CT72" s="44">
        <f>Tabelle4[[#This Row],[Total Public Funding (IPK)]]+Tabelle4[[#This Row],[Total Public Funding (ITA)]]</f>
        <v>0</v>
      </c>
      <c r="CU72" s="44">
        <f>Tabelle4[[#This Row],[Public Funding from DE (IPK)]]+Tabelle4[[#This Row],[Public Funding from DE (ITA)]]</f>
        <v>0</v>
      </c>
      <c r="CV72" s="44">
        <f>Tabelle4[[#This Row],[Public Funding from BR (IPK)]]+Tabelle4[[#This Row],[Public Funding from BR (ITA)]]</f>
        <v>0</v>
      </c>
      <c r="CW72" s="44">
        <f>Tabelle4[[#This Row],[Industry Funding from DE (FPC)]]+Tabelle4[[#This Row],[Public Funding from DE (FPC)]]</f>
        <v>0</v>
      </c>
      <c r="CX72" s="46">
        <f>Tabelle4[[#This Row],[Industry Funding from BR (FPC)]]+Tabelle4[[#This Row],[Public Funding from BR (FPC)]]</f>
        <v>74226.995430400595</v>
      </c>
      <c r="CY72" s="51">
        <f>Tabelle4[[#This Row],[Total Financial Budget (Other)]]+Tabelle4[[#This Row],[Total In-kind Contribution (Other)]]</f>
        <v>0</v>
      </c>
      <c r="CZ7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72" s="44">
        <f>Tabelle4[[#This Row],[In-kind Contribution (R&amp;D III)]]+Tabelle4[[#This Row],[In-kind Contribution (R&amp;D IV)]]</f>
        <v>0</v>
      </c>
      <c r="DB72" s="158">
        <f>Tabelle4[[#This Row],[Total Budget (FPC)]]+Tabelle4[[#This Row],[Total Volume (Other)]]</f>
        <v>74226.995430400595</v>
      </c>
      <c r="DC72" s="104">
        <f>Tabelle4[[#This Row],[Total Revenues (IPK)]]</f>
        <v>0</v>
      </c>
      <c r="DE72" s="44">
        <f>Tabelle4[[#This Row],[Total Revenues IPK]]*Tabelle4[[#This Row],[Probability of Success]]</f>
        <v>0</v>
      </c>
      <c r="DL72" s="44">
        <f>Tabelle4[[#This Row],[Real Budget IPK]]*Tabelle4[[#This Row],[Acquisition Factor OE810]]</f>
        <v>0</v>
      </c>
      <c r="DN72" s="46">
        <f>Tabelle4[[#This Row],[Acquisition Bonus OE810]]+Tabelle4[[#This Row],[Project Execution OE810]]</f>
        <v>0</v>
      </c>
    </row>
    <row r="73" spans="1:118" ht="42" customHeight="1" x14ac:dyDescent="0.45">
      <c r="A73" s="48" t="s">
        <v>187</v>
      </c>
      <c r="B73" s="33" t="s">
        <v>542</v>
      </c>
      <c r="C73" s="49" t="s">
        <v>118</v>
      </c>
      <c r="D73" s="49" t="s">
        <v>709</v>
      </c>
      <c r="E73" s="49">
        <v>1</v>
      </c>
      <c r="F73" s="49"/>
      <c r="G73" s="49" t="s">
        <v>97</v>
      </c>
      <c r="H73" s="49" t="s">
        <v>0</v>
      </c>
      <c r="I73" s="49"/>
      <c r="J73" s="50"/>
      <c r="K73" s="49" t="s">
        <v>246</v>
      </c>
      <c r="L73" s="33" t="s">
        <v>309</v>
      </c>
      <c r="M73" s="146"/>
      <c r="N73" s="49" t="s">
        <v>643</v>
      </c>
      <c r="O73" s="50"/>
      <c r="P73" s="50"/>
      <c r="Q73" s="49">
        <v>6</v>
      </c>
      <c r="R73" s="50"/>
      <c r="S73" s="50"/>
      <c r="T73" s="50"/>
      <c r="U73" s="50"/>
      <c r="V73" s="50">
        <v>43800</v>
      </c>
      <c r="W73" s="50"/>
      <c r="X73" s="50"/>
      <c r="Y73" s="50">
        <v>44343</v>
      </c>
      <c r="Z73" s="48" t="str">
        <f t="shared" si="16"/>
        <v>IPK</v>
      </c>
      <c r="AA73" s="33" t="s">
        <v>141</v>
      </c>
      <c r="AB73" s="105"/>
      <c r="AC73" s="105">
        <v>54000</v>
      </c>
      <c r="AD73" s="105"/>
      <c r="AE73" s="105"/>
      <c r="AF73" s="105"/>
      <c r="AG73" s="48"/>
      <c r="AH73" s="33" t="s">
        <v>130</v>
      </c>
      <c r="AI73" s="33" t="s">
        <v>130</v>
      </c>
      <c r="AO73" s="48"/>
      <c r="AP73" s="49"/>
      <c r="AQ73" s="105"/>
      <c r="AR73" s="105"/>
      <c r="AS73" s="105"/>
      <c r="AT73" s="105"/>
      <c r="AU73" s="105"/>
      <c r="AV73" s="48"/>
      <c r="AW73" s="49"/>
      <c r="AX73" s="105"/>
      <c r="AY73" s="105"/>
      <c r="AZ73" s="105"/>
      <c r="BA73" s="105"/>
      <c r="BB73" s="105"/>
      <c r="BC73" s="48" t="s">
        <v>118</v>
      </c>
      <c r="BD73" s="33" t="s">
        <v>473</v>
      </c>
      <c r="BE73" s="105">
        <v>54000</v>
      </c>
      <c r="BF73" s="102"/>
      <c r="BG73" s="49"/>
      <c r="BH73" s="49"/>
      <c r="BI73" s="105"/>
      <c r="BJ73" s="102"/>
      <c r="BK73" s="49"/>
      <c r="BL73" s="49"/>
      <c r="BM73" s="105"/>
      <c r="BN73" s="102"/>
      <c r="BO73" s="49"/>
      <c r="BP73" s="49"/>
      <c r="BQ73" s="105"/>
      <c r="BR73" s="102"/>
      <c r="BS73" s="49"/>
      <c r="BT73" s="49"/>
      <c r="BU73" s="102"/>
      <c r="BV73" s="49"/>
      <c r="BW73" s="49"/>
      <c r="BX73" s="102"/>
      <c r="BY73" s="51">
        <f>Tabelle4[[#This Row],[Industry Funding from DE (IPK)]]+Tabelle4[[#This Row],[Industry Funding from BR (IPK)]]+Tabelle4[[#This Row],[Public Funding from DE (IPK)]]+Tabelle4[[#This Row],[Public Funding from BR (IPK)]]+Tabelle4[[#This Row],[In-kind Contribution (IPK)]]</f>
        <v>54000</v>
      </c>
      <c r="BZ73" s="51">
        <f>Tabelle4[[#This Row],[Industry Funding from DE (IPK)]]+Tabelle4[[#This Row],[Industry Funding from BR (IPK)]]+Tabelle4[[#This Row],[Public Funding from DE (IPK)]]+Tabelle4[[#This Row],[Public Funding from BR (IPK)]]</f>
        <v>54000</v>
      </c>
      <c r="CA73" s="51">
        <f>Tabelle4[[#This Row],[Industry Funding from DE (IPK)]]+Tabelle4[[#This Row],[Industry Funding from BR (IPK)]]</f>
        <v>54000</v>
      </c>
      <c r="CB73" s="51">
        <f>Tabelle4[[#This Row],[Public Funding from DE (IPK)]]+Tabelle4[[#This Row],[Public Funding from BR (IPK)]]</f>
        <v>0</v>
      </c>
      <c r="CC73" s="51">
        <f>Tabelle4[[#This Row],[In-kind Contribution (IPK)]]</f>
        <v>0</v>
      </c>
      <c r="CD73" s="53">
        <f>(Tabelle4[[#This Row],[Total Industry Funding (IPK)]] + Tabelle4[[#This Row],[Total Public Funding (IPK)]])/Tabelle4[[#This Row],[Total Project Volume (IPK)]]</f>
        <v>1</v>
      </c>
      <c r="CE73" s="53">
        <f>Tabelle4[[#This Row],[Total Industry Funding (IPK)]] / Tabelle4[[#This Row],[Total Project Volume (IPK)]]</f>
        <v>1</v>
      </c>
      <c r="CF73" s="49" t="str">
        <f>Tabelle4[[#This Row],[Project Funding Classification]]</f>
        <v>Industry</v>
      </c>
      <c r="CG73" s="51">
        <f>Tabelle4[[#This Row],[Industry Funding from DE (IPK)]]+Tabelle4[[#This Row],[Public Funding from DE (IPK)]]</f>
        <v>0</v>
      </c>
      <c r="CH73" s="52">
        <f>Tabelle4[[#This Row],[Industry Funding from BR (IPK)]]+Tabelle4[[#This Row],[Public Funding from BR (IPK)]]</f>
        <v>54000</v>
      </c>
      <c r="CI73" s="51">
        <f>Tabelle4[[#This Row],[Industry Funding from DE (ITA)]]+Tabelle4[[#This Row],[Industry Funding from BR (ITA)]]+Tabelle4[[#This Row],[Public Funding from DE (ITA)]]+Tabelle4[[#This Row],[Public Funding from BR (ITA)]]</f>
        <v>0</v>
      </c>
      <c r="CJ73" s="51">
        <f>Tabelle4[[#This Row],[Industry Funding from DE (ITA)]]+Tabelle4[[#This Row],[Industry Funding from BR (ITA)]]</f>
        <v>0</v>
      </c>
      <c r="CK73" s="51">
        <f>Tabelle4[[#This Row],[Public Funding from DE (ITA)]]+Tabelle4[[#This Row],[Public Funding from BR (ITA)]]</f>
        <v>0</v>
      </c>
      <c r="CL73" s="53" t="e">
        <f>Tabelle4[[#This Row],[Total Industry Funding (ITA)]]/Tabelle4[[#This Row],[Total Project Volume (ITA)]]</f>
        <v>#DIV/0!</v>
      </c>
      <c r="CM73" s="49" t="e">
        <f>IF(Tabelle4[[#This Row],[Funding Ratio (ITA)]]&lt;0.5,"Public Funding","Industry")</f>
        <v>#DIV/0!</v>
      </c>
      <c r="CN73" s="51">
        <f>Tabelle4[[#This Row],[Industry Funding from DE (ITA)]]+Tabelle4[[#This Row],[Public Funding from DE (ITA)]]</f>
        <v>0</v>
      </c>
      <c r="CO73" s="52">
        <f>Tabelle4[[#This Row],[Industry Funding from BR (ITA)]]+Tabelle4[[#This Row],[Public Funding from BR (ITA)]]</f>
        <v>0</v>
      </c>
      <c r="CP73" s="51">
        <f>Tabelle4[[#This Row],[Total Project Volume (IPK)]]+Tabelle4[[#This Row],[Total Project Volume (ITA)]]</f>
        <v>54000</v>
      </c>
      <c r="CQ73" s="51">
        <f>Tabelle4[[#This Row],[Total Industry Funding (IPK)]]+Tabelle4[[#This Row],[Total Industry Funding (ITA)]]</f>
        <v>54000</v>
      </c>
      <c r="CR73" s="51">
        <f>Tabelle4[[#This Row],[Industry Funding from DE (IPK)]]+Tabelle4[[#This Row],[Industry Funding from DE (ITA)]]</f>
        <v>0</v>
      </c>
      <c r="CS73" s="51">
        <f>Tabelle4[[#This Row],[Industry Funding from BR (IPK)]]+Tabelle4[[#This Row],[Industry Funding from BR (ITA)]]</f>
        <v>54000</v>
      </c>
      <c r="CT73" s="51">
        <f>Tabelle4[[#This Row],[Total Public Funding (IPK)]]+Tabelle4[[#This Row],[Total Public Funding (ITA)]]</f>
        <v>0</v>
      </c>
      <c r="CU73" s="51">
        <f>Tabelle4[[#This Row],[Public Funding from DE (IPK)]]+Tabelle4[[#This Row],[Public Funding from DE (ITA)]]</f>
        <v>0</v>
      </c>
      <c r="CV73" s="51">
        <f>Tabelle4[[#This Row],[Public Funding from BR (IPK)]]+Tabelle4[[#This Row],[Public Funding from BR (ITA)]]</f>
        <v>0</v>
      </c>
      <c r="CW73" s="51">
        <f>Tabelle4[[#This Row],[Industry Funding from DE (FPC)]]+Tabelle4[[#This Row],[Public Funding from DE (FPC)]]</f>
        <v>0</v>
      </c>
      <c r="CX73" s="52">
        <f>Tabelle4[[#This Row],[Industry Funding from BR (FPC)]]+Tabelle4[[#This Row],[Public Funding from BR (FPC)]]</f>
        <v>54000</v>
      </c>
      <c r="CY73" s="51">
        <f>Tabelle4[[#This Row],[Total Financial Budget (Other)]]+Tabelle4[[#This Row],[Total In-kind Contribution (Other)]]</f>
        <v>0</v>
      </c>
      <c r="CZ73"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73" s="44">
        <f>Tabelle4[[#This Row],[In-kind Contribution (R&amp;D III)]]+Tabelle4[[#This Row],[In-kind Contribution (R&amp;D IV)]]</f>
        <v>0</v>
      </c>
      <c r="DB73" s="158">
        <f>Tabelle4[[#This Row],[Total Budget (FPC)]]+Tabelle4[[#This Row],[Total Volume (Other)]]</f>
        <v>54000</v>
      </c>
      <c r="DC73" s="105">
        <f>Tabelle4[[#This Row],[Total Revenues (IPK)]]</f>
        <v>54000</v>
      </c>
      <c r="DD73" s="53">
        <v>0.5</v>
      </c>
      <c r="DE73" s="51">
        <f>Tabelle4[[#This Row],[Total Revenues IPK]]*Tabelle4[[#This Row],[Probability of Success]]</f>
        <v>27000</v>
      </c>
      <c r="DF73" s="51"/>
      <c r="DG73" s="51"/>
      <c r="DH73" s="51"/>
      <c r="DI73" s="51"/>
      <c r="DJ73" s="51"/>
      <c r="DK73" s="53">
        <v>0.15</v>
      </c>
      <c r="DL73" s="51">
        <f>Tabelle4[[#This Row],[Real Budget IPK]]*Tabelle4[[#This Row],[Acquisition Factor OE810]]</f>
        <v>4050</v>
      </c>
      <c r="DM73" s="51">
        <v>0</v>
      </c>
      <c r="DN73" s="52">
        <f>Tabelle4[[#This Row],[Acquisition Bonus OE810]]+Tabelle4[[#This Row],[Project Execution OE810]]</f>
        <v>4050</v>
      </c>
    </row>
    <row r="74" spans="1:118" ht="42" customHeight="1" x14ac:dyDescent="0.45">
      <c r="A74" s="70" t="s">
        <v>414</v>
      </c>
      <c r="B74" s="33" t="s">
        <v>132</v>
      </c>
      <c r="C74" s="33" t="s">
        <v>133</v>
      </c>
      <c r="D74" s="33" t="s">
        <v>705</v>
      </c>
      <c r="G74" s="33" t="s">
        <v>2</v>
      </c>
      <c r="H74" s="33" t="s">
        <v>96</v>
      </c>
      <c r="K74" s="33" t="s">
        <v>246</v>
      </c>
      <c r="L74" s="33" t="s">
        <v>309</v>
      </c>
      <c r="Q74" s="33">
        <v>24</v>
      </c>
      <c r="Y74" s="59">
        <v>43951</v>
      </c>
      <c r="Z74" s="42" t="str">
        <f t="shared" si="16"/>
        <v>IPK</v>
      </c>
      <c r="AA74" s="33" t="s">
        <v>116</v>
      </c>
      <c r="AB74" s="61">
        <v>0</v>
      </c>
      <c r="AC74" s="61">
        <v>0</v>
      </c>
      <c r="AD74" s="61">
        <v>0</v>
      </c>
      <c r="AE74" s="61">
        <v>0</v>
      </c>
      <c r="AF74" s="61">
        <v>0</v>
      </c>
      <c r="AG74" s="42" t="str">
        <f>"ITA"</f>
        <v>ITA</v>
      </c>
      <c r="AH74" s="33" t="s">
        <v>395</v>
      </c>
      <c r="AI74" s="33" t="s">
        <v>331</v>
      </c>
      <c r="AJ74" s="104">
        <v>0</v>
      </c>
      <c r="AL74" s="104">
        <v>0</v>
      </c>
      <c r="AM74" s="104">
        <v>0</v>
      </c>
      <c r="AN74" s="104">
        <v>0</v>
      </c>
      <c r="AO74" s="42" t="s">
        <v>116</v>
      </c>
      <c r="AP74" s="33" t="s">
        <v>116</v>
      </c>
      <c r="AQ74" s="61">
        <v>0</v>
      </c>
      <c r="AR74" s="61">
        <v>0</v>
      </c>
      <c r="AS74" s="61">
        <v>0</v>
      </c>
      <c r="AT74" s="61">
        <v>0</v>
      </c>
      <c r="AU74" s="61">
        <v>0</v>
      </c>
      <c r="AV74" s="42" t="s">
        <v>116</v>
      </c>
      <c r="AW74" s="33" t="s">
        <v>116</v>
      </c>
      <c r="AX74" s="61">
        <v>0</v>
      </c>
      <c r="AY74" s="61">
        <v>0</v>
      </c>
      <c r="AZ74" s="61">
        <v>0</v>
      </c>
      <c r="BA74" s="61">
        <v>0</v>
      </c>
      <c r="BB74" s="61">
        <v>0</v>
      </c>
      <c r="BC74" s="42" t="s">
        <v>116</v>
      </c>
      <c r="BD74" s="33" t="s">
        <v>116</v>
      </c>
      <c r="BE74" s="61">
        <v>0</v>
      </c>
      <c r="BF74" s="65">
        <v>0</v>
      </c>
      <c r="BG74" s="33" t="s">
        <v>116</v>
      </c>
      <c r="BH74" s="33" t="s">
        <v>116</v>
      </c>
      <c r="BI74" s="61">
        <v>0</v>
      </c>
      <c r="BJ74" s="65">
        <v>0</v>
      </c>
      <c r="BK74" s="33" t="s">
        <v>116</v>
      </c>
      <c r="BL74" s="33" t="s">
        <v>116</v>
      </c>
      <c r="BM74" s="61">
        <v>0</v>
      </c>
      <c r="BN74" s="65">
        <v>0</v>
      </c>
      <c r="BO74" s="33" t="s">
        <v>116</v>
      </c>
      <c r="BP74" s="33" t="s">
        <v>116</v>
      </c>
      <c r="BQ74" s="61">
        <v>0</v>
      </c>
      <c r="BR74" s="65">
        <v>0</v>
      </c>
      <c r="BS74" s="33" t="s">
        <v>133</v>
      </c>
      <c r="BU74" s="65">
        <v>45238</v>
      </c>
      <c r="BV74" s="33" t="s">
        <v>116</v>
      </c>
      <c r="BW74" s="33" t="s">
        <v>116</v>
      </c>
      <c r="BX74" s="65">
        <v>0</v>
      </c>
      <c r="BY74" s="44">
        <f>Tabelle4[[#This Row],[Industry Funding from DE (IPK)]]+Tabelle4[[#This Row],[Industry Funding from BR (IPK)]]+Tabelle4[[#This Row],[Public Funding from DE (IPK)]]+Tabelle4[[#This Row],[Public Funding from BR (IPK)]]+Tabelle4[[#This Row],[In-kind Contribution (IPK)]]</f>
        <v>0</v>
      </c>
      <c r="BZ74" s="44">
        <f>Tabelle4[[#This Row],[Industry Funding from DE (IPK)]]+Tabelle4[[#This Row],[Industry Funding from BR (IPK)]]+Tabelle4[[#This Row],[Public Funding from DE (IPK)]]+Tabelle4[[#This Row],[Public Funding from BR (IPK)]]</f>
        <v>0</v>
      </c>
      <c r="CA74" s="44">
        <f>Tabelle4[[#This Row],[Industry Funding from DE (IPK)]]+Tabelle4[[#This Row],[Industry Funding from BR (IPK)]]</f>
        <v>0</v>
      </c>
      <c r="CB74" s="44">
        <f>Tabelle4[[#This Row],[Public Funding from DE (IPK)]]+Tabelle4[[#This Row],[Public Funding from BR (IPK)]]</f>
        <v>0</v>
      </c>
      <c r="CC74" s="44">
        <f>Tabelle4[[#This Row],[In-kind Contribution (IPK)]]</f>
        <v>0</v>
      </c>
      <c r="CD74" s="47" t="e">
        <f>(Tabelle4[[#This Row],[Total Industry Funding (IPK)]] + Tabelle4[[#This Row],[Total Public Funding (IPK)]])/Tabelle4[[#This Row],[Total Project Volume (IPK)]]</f>
        <v>#DIV/0!</v>
      </c>
      <c r="CE74" s="47" t="e">
        <f>Tabelle4[[#This Row],[Total Industry Funding (IPK)]] / Tabelle4[[#This Row],[Total Project Volume (IPK)]]</f>
        <v>#DIV/0!</v>
      </c>
      <c r="CF74" s="33" t="str">
        <f>Tabelle4[[#This Row],[Project Funding Classification]]</f>
        <v>Public Funding</v>
      </c>
      <c r="CG74" s="44">
        <f>Tabelle4[[#This Row],[Industry Funding from DE (IPK)]]+Tabelle4[[#This Row],[Public Funding from DE (IPK)]]</f>
        <v>0</v>
      </c>
      <c r="CH74" s="46">
        <f>Tabelle4[[#This Row],[Industry Funding from BR (IPK)]]+Tabelle4[[#This Row],[Public Funding from BR (IPK)]]</f>
        <v>0</v>
      </c>
      <c r="CI74" s="44">
        <f>Tabelle4[[#This Row],[Industry Funding from DE (ITA)]]+Tabelle4[[#This Row],[Industry Funding from BR (ITA)]]+Tabelle4[[#This Row],[Public Funding from DE (ITA)]]+Tabelle4[[#This Row],[Public Funding from BR (ITA)]]</f>
        <v>0</v>
      </c>
      <c r="CJ74" s="44">
        <f>Tabelle4[[#This Row],[Industry Funding from DE (ITA)]]+Tabelle4[[#This Row],[Industry Funding from BR (ITA)]]</f>
        <v>0</v>
      </c>
      <c r="CK74" s="44">
        <f>Tabelle4[[#This Row],[Public Funding from DE (ITA)]]+Tabelle4[[#This Row],[Public Funding from BR (ITA)]]</f>
        <v>0</v>
      </c>
      <c r="CL74" s="47" t="e">
        <f>Tabelle4[[#This Row],[Total Industry Funding (ITA)]]/Tabelle4[[#This Row],[Total Project Volume (ITA)]]</f>
        <v>#DIV/0!</v>
      </c>
      <c r="CM74" s="33" t="e">
        <f>IF(Tabelle4[[#This Row],[Funding Ratio (ITA)]]&lt;0.5,"Public Funding","Industry")</f>
        <v>#DIV/0!</v>
      </c>
      <c r="CN74" s="44">
        <f>Tabelle4[[#This Row],[Industry Funding from DE (ITA)]]+Tabelle4[[#This Row],[Public Funding from DE (ITA)]]</f>
        <v>0</v>
      </c>
      <c r="CO74" s="46">
        <f>Tabelle4[[#This Row],[Industry Funding from BR (ITA)]]+Tabelle4[[#This Row],[Public Funding from BR (ITA)]]</f>
        <v>0</v>
      </c>
      <c r="CP74" s="44">
        <f>Tabelle4[[#This Row],[Total Project Volume (IPK)]]+Tabelle4[[#This Row],[Total Project Volume (ITA)]]</f>
        <v>0</v>
      </c>
      <c r="CQ74" s="44">
        <f>Tabelle4[[#This Row],[Total Industry Funding (IPK)]]+Tabelle4[[#This Row],[Total Industry Funding (ITA)]]</f>
        <v>0</v>
      </c>
      <c r="CR74" s="44">
        <f>Tabelle4[[#This Row],[Industry Funding from DE (IPK)]]+Tabelle4[[#This Row],[Industry Funding from DE (ITA)]]</f>
        <v>0</v>
      </c>
      <c r="CS74" s="44">
        <f>Tabelle4[[#This Row],[Industry Funding from BR (IPK)]]+Tabelle4[[#This Row],[Industry Funding from BR (ITA)]]</f>
        <v>0</v>
      </c>
      <c r="CT74" s="44">
        <f>Tabelle4[[#This Row],[Total Public Funding (IPK)]]+Tabelle4[[#This Row],[Total Public Funding (ITA)]]</f>
        <v>0</v>
      </c>
      <c r="CU74" s="44">
        <f>Tabelle4[[#This Row],[Public Funding from DE (IPK)]]+Tabelle4[[#This Row],[Public Funding from DE (ITA)]]</f>
        <v>0</v>
      </c>
      <c r="CV74" s="44">
        <f>Tabelle4[[#This Row],[Public Funding from BR (IPK)]]+Tabelle4[[#This Row],[Public Funding from BR (ITA)]]</f>
        <v>0</v>
      </c>
      <c r="CW74" s="44">
        <f>Tabelle4[[#This Row],[Industry Funding from DE (FPC)]]+Tabelle4[[#This Row],[Public Funding from DE (FPC)]]</f>
        <v>0</v>
      </c>
      <c r="CX74" s="46">
        <f>Tabelle4[[#This Row],[Industry Funding from BR (FPC)]]+Tabelle4[[#This Row],[Public Funding from BR (FPC)]]</f>
        <v>0</v>
      </c>
      <c r="CY74" s="44">
        <f>Tabelle4[[#This Row],[Total Financial Budget (Other)]]+Tabelle4[[#This Row],[Total In-kind Contribution (Other)]]</f>
        <v>0</v>
      </c>
      <c r="CZ7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74" s="44">
        <f>Tabelle4[[#This Row],[In-kind Contribution (R&amp;D III)]]+Tabelle4[[#This Row],[In-kind Contribution (R&amp;D IV)]]</f>
        <v>0</v>
      </c>
      <c r="DB74" s="158">
        <f>Tabelle4[[#This Row],[Total Budget (FPC)]]+Tabelle4[[#This Row],[Total Volume (Other)]]</f>
        <v>0</v>
      </c>
      <c r="DC74" s="104">
        <f>Tabelle4[[#This Row],[Total Revenues (IPK)]]</f>
        <v>0</v>
      </c>
      <c r="DD74" s="47">
        <v>0</v>
      </c>
      <c r="DE74" s="44">
        <f>Tabelle4[[#This Row],[Total Revenues IPK]]*Tabelle4[[#This Row],[Probability of Success]]</f>
        <v>0</v>
      </c>
      <c r="DK74" s="47">
        <v>0</v>
      </c>
      <c r="DL74" s="44">
        <f>Tabelle4[[#This Row],[Real Budget IPK]]*Tabelle4[[#This Row],[Acquisition Factor OE810]]</f>
        <v>0</v>
      </c>
      <c r="DM74" s="44">
        <v>0</v>
      </c>
      <c r="DN74" s="46">
        <f>Tabelle4[[#This Row],[Acquisition Bonus OE810]]+Tabelle4[[#This Row],[Project Execution OE810]]</f>
        <v>0</v>
      </c>
    </row>
    <row r="75" spans="1:118" ht="42" customHeight="1" x14ac:dyDescent="0.45">
      <c r="A75" s="42" t="s">
        <v>719</v>
      </c>
      <c r="B75" s="33" t="s">
        <v>570</v>
      </c>
      <c r="C75" s="57" t="s">
        <v>545</v>
      </c>
      <c r="D75" s="57" t="s">
        <v>706</v>
      </c>
      <c r="E75" s="33">
        <v>10</v>
      </c>
      <c r="F75" s="33">
        <v>1</v>
      </c>
      <c r="G75" s="33" t="s">
        <v>97</v>
      </c>
      <c r="H75" s="33" t="s">
        <v>0</v>
      </c>
      <c r="J75" s="59">
        <v>42370</v>
      </c>
      <c r="K75" s="33" t="s">
        <v>246</v>
      </c>
      <c r="L75" s="59" t="s">
        <v>309</v>
      </c>
      <c r="M75" s="144">
        <v>6.7</v>
      </c>
      <c r="N75" s="33" t="s">
        <v>642</v>
      </c>
      <c r="P75" s="59">
        <v>44105</v>
      </c>
      <c r="Q75" s="58">
        <v>48</v>
      </c>
      <c r="R75" s="59">
        <v>45565</v>
      </c>
      <c r="S75" s="59">
        <v>42370</v>
      </c>
      <c r="U75" s="59">
        <v>43936</v>
      </c>
      <c r="V75" s="59">
        <v>44265</v>
      </c>
      <c r="Y75" s="59">
        <v>44327</v>
      </c>
      <c r="Z75" s="42" t="str">
        <f t="shared" si="16"/>
        <v>IPK</v>
      </c>
      <c r="AA75" s="33" t="s">
        <v>141</v>
      </c>
      <c r="AC75" s="61">
        <v>1200000</v>
      </c>
      <c r="AG75" s="42" t="s">
        <v>2</v>
      </c>
      <c r="AH75" s="33" t="s">
        <v>638</v>
      </c>
      <c r="AI75" s="33" t="s">
        <v>679</v>
      </c>
      <c r="AK75" s="64"/>
      <c r="AM75" s="104">
        <f>1850000/M75</f>
        <v>276119.40298507462</v>
      </c>
      <c r="AO75" s="42" t="s">
        <v>177</v>
      </c>
      <c r="AP75" s="33" t="s">
        <v>656</v>
      </c>
      <c r="AV75" s="42"/>
      <c r="BC75" s="42" t="s">
        <v>571</v>
      </c>
      <c r="BD75" s="33" t="s">
        <v>572</v>
      </c>
      <c r="BE75" s="64"/>
      <c r="BF75" s="65"/>
      <c r="BS75" s="33" t="s">
        <v>573</v>
      </c>
      <c r="BU75" s="67">
        <v>1200000</v>
      </c>
      <c r="BY75" s="44">
        <f>Tabelle4[[#This Row],[Industry Funding from DE (IPK)]]+Tabelle4[[#This Row],[Industry Funding from BR (IPK)]]+Tabelle4[[#This Row],[Public Funding from DE (IPK)]]+Tabelle4[[#This Row],[Public Funding from BR (IPK)]]+Tabelle4[[#This Row],[In-kind Contribution (IPK)]]</f>
        <v>1200000</v>
      </c>
      <c r="BZ75" s="44">
        <f>Tabelle4[[#This Row],[Industry Funding from DE (IPK)]]+Tabelle4[[#This Row],[Industry Funding from BR (IPK)]]+Tabelle4[[#This Row],[Public Funding from DE (IPK)]]+Tabelle4[[#This Row],[Public Funding from BR (IPK)]]</f>
        <v>1200000</v>
      </c>
      <c r="CA75" s="44">
        <f>Tabelle4[[#This Row],[Industry Funding from DE (IPK)]]+Tabelle4[[#This Row],[Industry Funding from BR (IPK)]]</f>
        <v>1200000</v>
      </c>
      <c r="CB75" s="44">
        <f>Tabelle4[[#This Row],[Public Funding from DE (IPK)]]+Tabelle4[[#This Row],[Public Funding from BR (IPK)]]</f>
        <v>0</v>
      </c>
      <c r="CC75" s="44">
        <f>Tabelle4[[#This Row],[In-kind Contribution (IPK)]]</f>
        <v>0</v>
      </c>
      <c r="CD75" s="47">
        <f>(Tabelle4[[#This Row],[Total Industry Funding (IPK)]] + Tabelle4[[#This Row],[Total Public Funding (IPK)]])/Tabelle4[[#This Row],[Total Project Volume (IPK)]]</f>
        <v>1</v>
      </c>
      <c r="CE75" s="47">
        <f>Tabelle4[[#This Row],[Total Industry Funding (IPK)]] / Tabelle4[[#This Row],[Total Project Volume (IPK)]]</f>
        <v>1</v>
      </c>
      <c r="CF75" s="33" t="str">
        <f>Tabelle4[[#This Row],[Project Funding Classification]]</f>
        <v>Industry</v>
      </c>
      <c r="CG75" s="44">
        <f>Tabelle4[[#This Row],[Industry Funding from DE (IPK)]]+Tabelle4[[#This Row],[Public Funding from DE (IPK)]]</f>
        <v>0</v>
      </c>
      <c r="CH75" s="46">
        <f>Tabelle4[[#This Row],[Industry Funding from BR (IPK)]]+Tabelle4[[#This Row],[Public Funding from BR (IPK)]]</f>
        <v>1200000</v>
      </c>
      <c r="CI75" s="44">
        <f>Tabelle4[[#This Row],[Industry Funding from DE (ITA)]]+Tabelle4[[#This Row],[Industry Funding from BR (ITA)]]+Tabelle4[[#This Row],[Public Funding from DE (ITA)]]+Tabelle4[[#This Row],[Public Funding from BR (ITA)]]</f>
        <v>276119.40298507462</v>
      </c>
      <c r="CJ75" s="44">
        <f>Tabelle4[[#This Row],[Industry Funding from DE (ITA)]]+Tabelle4[[#This Row],[Industry Funding from BR (ITA)]]</f>
        <v>0</v>
      </c>
      <c r="CK75" s="44">
        <f>Tabelle4[[#This Row],[Public Funding from DE (ITA)]]+Tabelle4[[#This Row],[Public Funding from BR (ITA)]]</f>
        <v>276119.40298507462</v>
      </c>
      <c r="CL75" s="47">
        <f>Tabelle4[[#This Row],[Total Industry Funding (ITA)]]/Tabelle4[[#This Row],[Total Project Volume (ITA)]]</f>
        <v>0</v>
      </c>
      <c r="CM75" s="33" t="str">
        <f>IF(Tabelle4[[#This Row],[Funding Ratio (ITA)]]&lt;0.5,"Public Funding","Industry")</f>
        <v>Public Funding</v>
      </c>
      <c r="CN75" s="44">
        <f>Tabelle4[[#This Row],[Industry Funding from DE (ITA)]]+Tabelle4[[#This Row],[Public Funding from DE (ITA)]]</f>
        <v>0</v>
      </c>
      <c r="CO75" s="46">
        <f>Tabelle4[[#This Row],[Industry Funding from BR (ITA)]]+Tabelle4[[#This Row],[Public Funding from BR (ITA)]]</f>
        <v>276119.40298507462</v>
      </c>
      <c r="CP75" s="44">
        <f>Tabelle4[[#This Row],[Total Project Volume (IPK)]]+Tabelle4[[#This Row],[Total Project Volume (ITA)]]</f>
        <v>1476119.4029850746</v>
      </c>
      <c r="CQ75" s="44">
        <f>Tabelle4[[#This Row],[Total Industry Funding (IPK)]]+Tabelle4[[#This Row],[Total Industry Funding (ITA)]]</f>
        <v>1200000</v>
      </c>
      <c r="CR75" s="44">
        <f>Tabelle4[[#This Row],[Industry Funding from DE (IPK)]]+Tabelle4[[#This Row],[Industry Funding from DE (ITA)]]</f>
        <v>0</v>
      </c>
      <c r="CS75" s="44">
        <f>Tabelle4[[#This Row],[Industry Funding from BR (IPK)]]+Tabelle4[[#This Row],[Industry Funding from BR (ITA)]]</f>
        <v>1200000</v>
      </c>
      <c r="CT75" s="44">
        <f>Tabelle4[[#This Row],[Total Public Funding (IPK)]]+Tabelle4[[#This Row],[Total Public Funding (ITA)]]</f>
        <v>276119.40298507462</v>
      </c>
      <c r="CU75" s="44">
        <f>Tabelle4[[#This Row],[Public Funding from DE (IPK)]]+Tabelle4[[#This Row],[Public Funding from DE (ITA)]]</f>
        <v>0</v>
      </c>
      <c r="CV75" s="44">
        <f>Tabelle4[[#This Row],[Public Funding from BR (IPK)]]+Tabelle4[[#This Row],[Public Funding from BR (ITA)]]</f>
        <v>276119.40298507462</v>
      </c>
      <c r="CW75" s="44">
        <f>Tabelle4[[#This Row],[Industry Funding from DE (FPC)]]+Tabelle4[[#This Row],[Public Funding from DE (FPC)]]</f>
        <v>0</v>
      </c>
      <c r="CX75" s="46">
        <f>Tabelle4[[#This Row],[Industry Funding from BR (FPC)]]+Tabelle4[[#This Row],[Public Funding from BR (FPC)]]</f>
        <v>1476119.4029850746</v>
      </c>
      <c r="CY75" s="44">
        <f>Tabelle4[[#This Row],[Total Financial Budget (Other)]]+Tabelle4[[#This Row],[Total In-kind Contribution (Other)]]</f>
        <v>0</v>
      </c>
      <c r="CZ7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75" s="44">
        <f>Tabelle4[[#This Row],[In-kind Contribution (R&amp;D III)]]+Tabelle4[[#This Row],[In-kind Contribution (R&amp;D IV)]]</f>
        <v>0</v>
      </c>
      <c r="DB75" s="158">
        <f>Tabelle4[[#This Row],[Total Budget (FPC)]]+Tabelle4[[#This Row],[Total Volume (Other)]]</f>
        <v>1476119.4029850746</v>
      </c>
      <c r="DC75" s="104">
        <f>Tabelle4[[#This Row],[Total Revenues (IPK)]]</f>
        <v>1200000</v>
      </c>
      <c r="DD75" s="47">
        <v>0.25</v>
      </c>
      <c r="DE75" s="44">
        <f>Tabelle4[[#This Row],[Total Revenues IPK]]*Tabelle4[[#This Row],[Probability of Success]]</f>
        <v>300000</v>
      </c>
      <c r="DL75" s="44">
        <v>100000</v>
      </c>
      <c r="DN75" s="46">
        <f>Tabelle4[[#This Row],[Acquisition Bonus OE810]]+Tabelle4[[#This Row],[Project Execution OE810]]</f>
        <v>100000</v>
      </c>
    </row>
    <row r="76" spans="1:118" ht="42" customHeight="1" x14ac:dyDescent="0.45">
      <c r="A76" s="42" t="s">
        <v>478</v>
      </c>
      <c r="B76" s="33" t="s">
        <v>476</v>
      </c>
      <c r="C76" s="33" t="s">
        <v>475</v>
      </c>
      <c r="D76" s="33" t="s">
        <v>709</v>
      </c>
      <c r="E76" s="33">
        <v>3</v>
      </c>
      <c r="F76" s="33">
        <v>2</v>
      </c>
      <c r="G76" s="33" t="s">
        <v>1</v>
      </c>
      <c r="H76" s="33" t="s">
        <v>0</v>
      </c>
      <c r="I76" s="33" t="s">
        <v>729</v>
      </c>
      <c r="J76" s="59">
        <v>43647</v>
      </c>
      <c r="K76" s="33" t="s">
        <v>244</v>
      </c>
      <c r="P76" s="59">
        <v>44075</v>
      </c>
      <c r="Q76" s="33">
        <v>18</v>
      </c>
      <c r="S76" s="59">
        <v>43647</v>
      </c>
      <c r="U76" s="59">
        <v>43809</v>
      </c>
      <c r="V76" s="59">
        <v>44104</v>
      </c>
      <c r="W76" s="59">
        <v>44409</v>
      </c>
      <c r="Z76" s="42" t="str">
        <f t="shared" si="16"/>
        <v>IPK</v>
      </c>
      <c r="AA76" s="33" t="s">
        <v>730</v>
      </c>
      <c r="AB76" s="104">
        <v>250000</v>
      </c>
      <c r="AC76" s="104"/>
      <c r="AD76" s="104"/>
      <c r="AE76" s="104"/>
      <c r="AF76" s="104"/>
      <c r="AG76" s="42"/>
      <c r="AJ76" s="64"/>
      <c r="AK76" s="64"/>
      <c r="AO76" s="42"/>
      <c r="AQ76" s="104"/>
      <c r="AR76" s="104"/>
      <c r="AS76" s="104"/>
      <c r="AT76" s="104"/>
      <c r="AU76" s="104"/>
      <c r="AV76" s="42"/>
      <c r="AX76" s="104"/>
      <c r="AY76" s="104"/>
      <c r="AZ76" s="104"/>
      <c r="BA76" s="104"/>
      <c r="BB76" s="104"/>
      <c r="BC76" s="42" t="s">
        <v>475</v>
      </c>
      <c r="BE76" s="104"/>
      <c r="BF76" s="101"/>
      <c r="BI76" s="104"/>
      <c r="BJ76" s="101"/>
      <c r="BM76" s="104"/>
      <c r="BN76" s="101"/>
      <c r="BQ76" s="104"/>
      <c r="BR76" s="101"/>
      <c r="BS76" s="33" t="s">
        <v>477</v>
      </c>
      <c r="BT76" s="33" t="s">
        <v>268</v>
      </c>
      <c r="BU76" s="101">
        <v>250000</v>
      </c>
      <c r="BX76" s="101"/>
      <c r="BY76" s="44">
        <f>Tabelle4[[#This Row],[Industry Funding from DE (IPK)]]+Tabelle4[[#This Row],[Industry Funding from BR (IPK)]]+Tabelle4[[#This Row],[Public Funding from DE (IPK)]]+Tabelle4[[#This Row],[Public Funding from BR (IPK)]]+Tabelle4[[#This Row],[In-kind Contribution (IPK)]]</f>
        <v>250000</v>
      </c>
      <c r="BZ76" s="44">
        <f>Tabelle4[[#This Row],[Industry Funding from DE (IPK)]]+Tabelle4[[#This Row],[Industry Funding from BR (IPK)]]+Tabelle4[[#This Row],[Public Funding from DE (IPK)]]+Tabelle4[[#This Row],[Public Funding from BR (IPK)]]</f>
        <v>250000</v>
      </c>
      <c r="CA76" s="44">
        <f>Tabelle4[[#This Row],[Industry Funding from DE (IPK)]]+Tabelle4[[#This Row],[Industry Funding from BR (IPK)]]</f>
        <v>250000</v>
      </c>
      <c r="CB76" s="44">
        <f>Tabelle4[[#This Row],[Public Funding from DE (IPK)]]+Tabelle4[[#This Row],[Public Funding from BR (IPK)]]</f>
        <v>0</v>
      </c>
      <c r="CC76" s="44">
        <f>Tabelle4[[#This Row],[In-kind Contribution (IPK)]]</f>
        <v>0</v>
      </c>
      <c r="CD76" s="47">
        <f>(Tabelle4[[#This Row],[Total Industry Funding (IPK)]] + Tabelle4[[#This Row],[Total Public Funding (IPK)]])/Tabelle4[[#This Row],[Total Project Volume (IPK)]]</f>
        <v>1</v>
      </c>
      <c r="CE76" s="47">
        <f>Tabelle4[[#This Row],[Total Industry Funding (IPK)]] / Tabelle4[[#This Row],[Total Project Volume (IPK)]]</f>
        <v>1</v>
      </c>
      <c r="CF76" s="33" t="str">
        <f>Tabelle4[[#This Row],[Project Funding Classification]]</f>
        <v>Industry</v>
      </c>
      <c r="CG76" s="44">
        <f>Tabelle4[[#This Row],[Industry Funding from DE (IPK)]]+Tabelle4[[#This Row],[Public Funding from DE (IPK)]]</f>
        <v>250000</v>
      </c>
      <c r="CH76" s="46">
        <f>Tabelle4[[#This Row],[Industry Funding from BR (IPK)]]+Tabelle4[[#This Row],[Public Funding from BR (IPK)]]</f>
        <v>0</v>
      </c>
      <c r="CI76" s="44">
        <f>Tabelle4[[#This Row],[Industry Funding from DE (ITA)]]+Tabelle4[[#This Row],[Industry Funding from BR (ITA)]]+Tabelle4[[#This Row],[Public Funding from DE (ITA)]]+Tabelle4[[#This Row],[Public Funding from BR (ITA)]]</f>
        <v>0</v>
      </c>
      <c r="CJ76" s="44">
        <f>Tabelle4[[#This Row],[Industry Funding from DE (ITA)]]+Tabelle4[[#This Row],[Industry Funding from BR (ITA)]]</f>
        <v>0</v>
      </c>
      <c r="CK76" s="44">
        <f>Tabelle4[[#This Row],[Public Funding from DE (ITA)]]+Tabelle4[[#This Row],[Public Funding from BR (ITA)]]</f>
        <v>0</v>
      </c>
      <c r="CL76" s="47" t="e">
        <f>Tabelle4[[#This Row],[Total Industry Funding (ITA)]]/Tabelle4[[#This Row],[Total Project Volume (ITA)]]</f>
        <v>#DIV/0!</v>
      </c>
      <c r="CM76" s="33" t="e">
        <f>IF(Tabelle4[[#This Row],[Funding Ratio (ITA)]]&lt;0.5,"Public Funding","Industry")</f>
        <v>#DIV/0!</v>
      </c>
      <c r="CN76" s="44">
        <f>Tabelle4[[#This Row],[Industry Funding from DE (ITA)]]+Tabelle4[[#This Row],[Public Funding from DE (ITA)]]</f>
        <v>0</v>
      </c>
      <c r="CO76" s="46">
        <f>Tabelle4[[#This Row],[Industry Funding from BR (ITA)]]+Tabelle4[[#This Row],[Public Funding from BR (ITA)]]</f>
        <v>0</v>
      </c>
      <c r="CP76" s="44">
        <f>Tabelle4[[#This Row],[Total Project Volume (IPK)]]+Tabelle4[[#This Row],[Total Project Volume (ITA)]]</f>
        <v>250000</v>
      </c>
      <c r="CQ76" s="44">
        <f>Tabelle4[[#This Row],[Total Industry Funding (IPK)]]+Tabelle4[[#This Row],[Total Industry Funding (ITA)]]</f>
        <v>250000</v>
      </c>
      <c r="CR76" s="44">
        <f>Tabelle4[[#This Row],[Industry Funding from DE (IPK)]]+Tabelle4[[#This Row],[Industry Funding from DE (ITA)]]</f>
        <v>250000</v>
      </c>
      <c r="CS76" s="44">
        <f>Tabelle4[[#This Row],[Industry Funding from BR (IPK)]]+Tabelle4[[#This Row],[Industry Funding from BR (ITA)]]</f>
        <v>0</v>
      </c>
      <c r="CT76" s="44">
        <f>Tabelle4[[#This Row],[Total Public Funding (IPK)]]+Tabelle4[[#This Row],[Total Public Funding (ITA)]]</f>
        <v>0</v>
      </c>
      <c r="CU76" s="44">
        <f>Tabelle4[[#This Row],[Public Funding from DE (IPK)]]+Tabelle4[[#This Row],[Public Funding from DE (ITA)]]</f>
        <v>0</v>
      </c>
      <c r="CV76" s="44">
        <f>Tabelle4[[#This Row],[Public Funding from BR (IPK)]]+Tabelle4[[#This Row],[Public Funding from BR (ITA)]]</f>
        <v>0</v>
      </c>
      <c r="CW76" s="44">
        <f>Tabelle4[[#This Row],[Industry Funding from DE (FPC)]]+Tabelle4[[#This Row],[Public Funding from DE (FPC)]]</f>
        <v>250000</v>
      </c>
      <c r="CX76" s="46">
        <f>Tabelle4[[#This Row],[Industry Funding from BR (FPC)]]+Tabelle4[[#This Row],[Public Funding from BR (FPC)]]</f>
        <v>0</v>
      </c>
      <c r="CY76" s="44">
        <f>Tabelle4[[#This Row],[Total Financial Budget (Other)]]+Tabelle4[[#This Row],[Total In-kind Contribution (Other)]]</f>
        <v>0</v>
      </c>
      <c r="CZ7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76" s="44">
        <f>Tabelle4[[#This Row],[In-kind Contribution (R&amp;D III)]]+Tabelle4[[#This Row],[In-kind Contribution (R&amp;D IV)]]</f>
        <v>0</v>
      </c>
      <c r="DB76" s="158">
        <f>Tabelle4[[#This Row],[Total Budget (FPC)]]+Tabelle4[[#This Row],[Total Volume (Other)]]</f>
        <v>250000</v>
      </c>
      <c r="DC76" s="104">
        <f>Tabelle4[[#This Row],[Total Revenues (IPK)]]</f>
        <v>250000</v>
      </c>
      <c r="DD76" s="47">
        <v>1</v>
      </c>
      <c r="DE76" s="44">
        <f>Tabelle4[[#This Row],[Total Revenues IPK]]*Tabelle4[[#This Row],[Probability of Success]]</f>
        <v>250000</v>
      </c>
      <c r="DK76" s="47">
        <v>0.2</v>
      </c>
      <c r="DL76" s="44">
        <f>Tabelle4[[#This Row],[Real Budget IPK]]*Tabelle4[[#This Row],[Acquisition Factor OE810]]</f>
        <v>50000</v>
      </c>
      <c r="DN76" s="46">
        <f>Tabelle4[[#This Row],[Acquisition Bonus OE810]]+Tabelle4[[#This Row],[Project Execution OE810]]</f>
        <v>50000</v>
      </c>
    </row>
    <row r="77" spans="1:118" ht="42" customHeight="1" x14ac:dyDescent="0.45">
      <c r="A77" s="70" t="s">
        <v>341</v>
      </c>
      <c r="B77" s="33" t="s">
        <v>322</v>
      </c>
      <c r="C77" s="57" t="s">
        <v>342</v>
      </c>
      <c r="D77" s="57" t="s">
        <v>706</v>
      </c>
      <c r="E77" s="33">
        <v>1</v>
      </c>
      <c r="F77" s="33">
        <v>0</v>
      </c>
      <c r="G77" s="33" t="s">
        <v>2</v>
      </c>
      <c r="H77" s="33" t="s">
        <v>0</v>
      </c>
      <c r="J77" s="59">
        <v>43717</v>
      </c>
      <c r="K77" s="33" t="s">
        <v>246</v>
      </c>
      <c r="L77" s="59" t="s">
        <v>309</v>
      </c>
      <c r="Q77" s="58"/>
      <c r="R77" s="60"/>
      <c r="S77" s="60"/>
      <c r="T77" s="60"/>
      <c r="U77" s="60">
        <v>43857</v>
      </c>
      <c r="Y77" s="59">
        <v>43951</v>
      </c>
      <c r="Z77" s="42" t="str">
        <f t="shared" si="16"/>
        <v>IPK</v>
      </c>
      <c r="AB77" s="104"/>
      <c r="AC77" s="104"/>
      <c r="AD77" s="104"/>
      <c r="AE77" s="104"/>
      <c r="AF77" s="104"/>
      <c r="AG77" s="42" t="str">
        <f>"ITA"</f>
        <v>ITA</v>
      </c>
      <c r="AH77" s="33" t="s">
        <v>323</v>
      </c>
      <c r="AI77" s="33" t="s">
        <v>324</v>
      </c>
      <c r="AJ77" s="104">
        <v>0</v>
      </c>
      <c r="AK77" s="104">
        <v>0</v>
      </c>
      <c r="AL77" s="64"/>
      <c r="AO77" s="42"/>
      <c r="AQ77" s="104"/>
      <c r="AR77" s="104"/>
      <c r="AS77" s="104"/>
      <c r="AT77" s="104"/>
      <c r="AU77" s="104"/>
      <c r="AV77" s="42"/>
      <c r="AX77" s="104"/>
      <c r="AY77" s="104"/>
      <c r="AZ77" s="104"/>
      <c r="BA77" s="104"/>
      <c r="BB77" s="104"/>
      <c r="BC77" s="42"/>
      <c r="BE77" s="104"/>
      <c r="BF77" s="101"/>
      <c r="BI77" s="104"/>
      <c r="BJ77" s="101"/>
      <c r="BM77" s="104"/>
      <c r="BN77" s="101"/>
      <c r="BQ77" s="104"/>
      <c r="BR77" s="101"/>
      <c r="BU77" s="101"/>
      <c r="BX77" s="101"/>
      <c r="BY77" s="44">
        <f>Tabelle4[[#This Row],[Industry Funding from DE (IPK)]]+Tabelle4[[#This Row],[Industry Funding from BR (IPK)]]+Tabelle4[[#This Row],[Public Funding from DE (IPK)]]+Tabelle4[[#This Row],[Public Funding from BR (IPK)]]+Tabelle4[[#This Row],[In-kind Contribution (IPK)]]</f>
        <v>0</v>
      </c>
      <c r="BZ77" s="44">
        <f>Tabelle4[[#This Row],[Industry Funding from DE (IPK)]]+Tabelle4[[#This Row],[Industry Funding from BR (IPK)]]+Tabelle4[[#This Row],[Public Funding from DE (IPK)]]+Tabelle4[[#This Row],[Public Funding from BR (IPK)]]</f>
        <v>0</v>
      </c>
      <c r="CA77" s="44">
        <f>Tabelle4[[#This Row],[Industry Funding from DE (IPK)]]+Tabelle4[[#This Row],[Industry Funding from BR (IPK)]]</f>
        <v>0</v>
      </c>
      <c r="CB77" s="44">
        <f>Tabelle4[[#This Row],[Public Funding from DE (IPK)]]+Tabelle4[[#This Row],[Public Funding from BR (IPK)]]</f>
        <v>0</v>
      </c>
      <c r="CC77" s="44">
        <f>Tabelle4[[#This Row],[In-kind Contribution (IPK)]]</f>
        <v>0</v>
      </c>
      <c r="CD77" s="47" t="e">
        <f>(Tabelle4[[#This Row],[Total Industry Funding (IPK)]] + Tabelle4[[#This Row],[Total Public Funding (IPK)]])/Tabelle4[[#This Row],[Total Project Volume (IPK)]]</f>
        <v>#DIV/0!</v>
      </c>
      <c r="CE77" s="47" t="e">
        <f>Tabelle4[[#This Row],[Total Industry Funding (IPK)]] / Tabelle4[[#This Row],[Total Project Volume (IPK)]]</f>
        <v>#DIV/0!</v>
      </c>
      <c r="CF77" s="33" t="str">
        <f>Tabelle4[[#This Row],[Project Funding Classification]]</f>
        <v>Industry</v>
      </c>
      <c r="CG77" s="44">
        <f>Tabelle4[[#This Row],[Industry Funding from DE (IPK)]]+Tabelle4[[#This Row],[Public Funding from DE (IPK)]]</f>
        <v>0</v>
      </c>
      <c r="CH77" s="46">
        <f>Tabelle4[[#This Row],[Industry Funding from BR (IPK)]]+Tabelle4[[#This Row],[Public Funding from BR (IPK)]]</f>
        <v>0</v>
      </c>
      <c r="CI77" s="44">
        <f>Tabelle4[[#This Row],[Industry Funding from DE (ITA)]]+Tabelle4[[#This Row],[Industry Funding from BR (ITA)]]+Tabelle4[[#This Row],[Public Funding from DE (ITA)]]+Tabelle4[[#This Row],[Public Funding from BR (ITA)]]</f>
        <v>0</v>
      </c>
      <c r="CJ77" s="44">
        <f>Tabelle4[[#This Row],[Industry Funding from DE (ITA)]]+Tabelle4[[#This Row],[Industry Funding from BR (ITA)]]</f>
        <v>0</v>
      </c>
      <c r="CK77" s="44">
        <f>Tabelle4[[#This Row],[Public Funding from DE (ITA)]]+Tabelle4[[#This Row],[Public Funding from BR (ITA)]]</f>
        <v>0</v>
      </c>
      <c r="CL77" s="47" t="e">
        <f>Tabelle4[[#This Row],[Total Industry Funding (ITA)]]/Tabelle4[[#This Row],[Total Project Volume (ITA)]]</f>
        <v>#DIV/0!</v>
      </c>
      <c r="CM77" s="33" t="e">
        <f>IF(Tabelle4[[#This Row],[Funding Ratio (ITA)]]&lt;0.5,"Public Funding","Industry")</f>
        <v>#DIV/0!</v>
      </c>
      <c r="CN77" s="44">
        <f>Tabelle4[[#This Row],[Industry Funding from DE (ITA)]]+Tabelle4[[#This Row],[Public Funding from DE (ITA)]]</f>
        <v>0</v>
      </c>
      <c r="CO77" s="46">
        <f>Tabelle4[[#This Row],[Industry Funding from BR (ITA)]]+Tabelle4[[#This Row],[Public Funding from BR (ITA)]]</f>
        <v>0</v>
      </c>
      <c r="CP77" s="44">
        <f>Tabelle4[[#This Row],[Total Project Volume (IPK)]]+Tabelle4[[#This Row],[Total Project Volume (ITA)]]</f>
        <v>0</v>
      </c>
      <c r="CQ77" s="44">
        <f>Tabelle4[[#This Row],[Total Industry Funding (IPK)]]+Tabelle4[[#This Row],[Total Industry Funding (ITA)]]</f>
        <v>0</v>
      </c>
      <c r="CR77" s="44">
        <f>Tabelle4[[#This Row],[Industry Funding from DE (IPK)]]+Tabelle4[[#This Row],[Industry Funding from DE (ITA)]]</f>
        <v>0</v>
      </c>
      <c r="CS77" s="44">
        <f>Tabelle4[[#This Row],[Industry Funding from BR (IPK)]]+Tabelle4[[#This Row],[Industry Funding from BR (ITA)]]</f>
        <v>0</v>
      </c>
      <c r="CT77" s="44">
        <f>Tabelle4[[#This Row],[Total Public Funding (IPK)]]+Tabelle4[[#This Row],[Total Public Funding (ITA)]]</f>
        <v>0</v>
      </c>
      <c r="CU77" s="44">
        <f>Tabelle4[[#This Row],[Public Funding from DE (IPK)]]+Tabelle4[[#This Row],[Public Funding from DE (ITA)]]</f>
        <v>0</v>
      </c>
      <c r="CV77" s="44">
        <f>Tabelle4[[#This Row],[Public Funding from BR (IPK)]]+Tabelle4[[#This Row],[Public Funding from BR (ITA)]]</f>
        <v>0</v>
      </c>
      <c r="CW77" s="44">
        <f>Tabelle4[[#This Row],[Industry Funding from DE (FPC)]]+Tabelle4[[#This Row],[Public Funding from DE (FPC)]]</f>
        <v>0</v>
      </c>
      <c r="CX77" s="46">
        <f>Tabelle4[[#This Row],[Industry Funding from BR (FPC)]]+Tabelle4[[#This Row],[Public Funding from BR (FPC)]]</f>
        <v>0</v>
      </c>
      <c r="CY77" s="44">
        <f>Tabelle4[[#This Row],[Total Financial Budget (Other)]]+Tabelle4[[#This Row],[Total In-kind Contribution (Other)]]</f>
        <v>0</v>
      </c>
      <c r="CZ7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77" s="44">
        <f>Tabelle4[[#This Row],[In-kind Contribution (R&amp;D III)]]+Tabelle4[[#This Row],[In-kind Contribution (R&amp;D IV)]]</f>
        <v>0</v>
      </c>
      <c r="DB77" s="158">
        <f>Tabelle4[[#This Row],[Total Budget (FPC)]]+Tabelle4[[#This Row],[Total Volume (Other)]]</f>
        <v>0</v>
      </c>
      <c r="DC77" s="104">
        <f>Tabelle4[[#This Row],[Total Revenues (IPK)]]</f>
        <v>0</v>
      </c>
      <c r="DE77" s="44">
        <f>Tabelle4[[#This Row],[Total Revenues IPK]]*Tabelle4[[#This Row],[Probability of Success]]</f>
        <v>0</v>
      </c>
      <c r="DL77" s="44">
        <f>Tabelle4[[#This Row],[Real Budget IPK]]*Tabelle4[[#This Row],[Acquisition Factor OE810]]</f>
        <v>0</v>
      </c>
      <c r="DN77" s="46">
        <f>Tabelle4[[#This Row],[Acquisition Bonus OE810]]+Tabelle4[[#This Row],[Project Execution OE810]]</f>
        <v>0</v>
      </c>
    </row>
    <row r="78" spans="1:118" ht="42" customHeight="1" x14ac:dyDescent="0.45">
      <c r="A78" s="42" t="s">
        <v>520</v>
      </c>
      <c r="B78" s="49"/>
      <c r="C78" s="49" t="s">
        <v>193</v>
      </c>
      <c r="D78" s="49" t="s">
        <v>711</v>
      </c>
      <c r="E78" s="49"/>
      <c r="F78" s="49"/>
      <c r="G78" s="49" t="s">
        <v>1</v>
      </c>
      <c r="H78" s="49" t="s">
        <v>96</v>
      </c>
      <c r="I78" s="33" t="s">
        <v>521</v>
      </c>
      <c r="J78" s="50"/>
      <c r="K78" s="49" t="s">
        <v>246</v>
      </c>
      <c r="L78" s="49"/>
      <c r="M78" s="146"/>
      <c r="N78" s="49"/>
      <c r="O78" s="50"/>
      <c r="P78" s="50">
        <v>44197</v>
      </c>
      <c r="Q78" s="49">
        <v>24</v>
      </c>
      <c r="R78" s="50"/>
      <c r="S78" s="50"/>
      <c r="T78" s="50"/>
      <c r="U78" s="50">
        <v>43823</v>
      </c>
      <c r="V78" s="50">
        <v>43880</v>
      </c>
      <c r="W78" s="50"/>
      <c r="X78" s="50"/>
      <c r="Y78" s="50">
        <v>43937</v>
      </c>
      <c r="Z78" s="48" t="str">
        <f t="shared" si="16"/>
        <v>IPK</v>
      </c>
      <c r="AA78" s="33" t="s">
        <v>459</v>
      </c>
      <c r="AB78" s="105"/>
      <c r="AC78" s="105"/>
      <c r="AD78" s="105">
        <v>937360</v>
      </c>
      <c r="AE78" s="105"/>
      <c r="AF78" s="105"/>
      <c r="AG78" s="48" t="str">
        <f>"ITA"</f>
        <v>ITA</v>
      </c>
      <c r="AH78" s="49"/>
      <c r="AI78" s="49"/>
      <c r="AO78" s="48"/>
      <c r="AP78" s="49"/>
      <c r="AQ78" s="105"/>
      <c r="AR78" s="105"/>
      <c r="AS78" s="105"/>
      <c r="AT78" s="105"/>
      <c r="AU78" s="105"/>
      <c r="AV78" s="48"/>
      <c r="AW78" s="49"/>
      <c r="AX78" s="105"/>
      <c r="AY78" s="105"/>
      <c r="AZ78" s="105"/>
      <c r="BA78" s="105"/>
      <c r="BB78" s="105"/>
      <c r="BC78" s="48"/>
      <c r="BD78" s="49"/>
      <c r="BE78" s="105"/>
      <c r="BF78" s="102"/>
      <c r="BG78" s="49"/>
      <c r="BH78" s="49"/>
      <c r="BI78" s="105"/>
      <c r="BJ78" s="102"/>
      <c r="BK78" s="49"/>
      <c r="BL78" s="49"/>
      <c r="BM78" s="105"/>
      <c r="BN78" s="102"/>
      <c r="BO78" s="49"/>
      <c r="BP78" s="49"/>
      <c r="BQ78" s="105"/>
      <c r="BR78" s="102"/>
      <c r="BS78" s="33" t="s">
        <v>193</v>
      </c>
      <c r="BT78" s="49"/>
      <c r="BU78" s="102"/>
      <c r="BV78" s="49"/>
      <c r="BW78" s="49"/>
      <c r="BX78" s="102"/>
      <c r="BY78" s="51">
        <f>Tabelle4[[#This Row],[Industry Funding from DE (IPK)]]+Tabelle4[[#This Row],[Industry Funding from BR (IPK)]]+Tabelle4[[#This Row],[Public Funding from DE (IPK)]]+Tabelle4[[#This Row],[Public Funding from BR (IPK)]]+Tabelle4[[#This Row],[In-kind Contribution (IPK)]]</f>
        <v>937360</v>
      </c>
      <c r="BZ78" s="51">
        <f>Tabelle4[[#This Row],[Industry Funding from DE (IPK)]]+Tabelle4[[#This Row],[Industry Funding from BR (IPK)]]+Tabelle4[[#This Row],[Public Funding from DE (IPK)]]+Tabelle4[[#This Row],[Public Funding from BR (IPK)]]</f>
        <v>937360</v>
      </c>
      <c r="CA78" s="51">
        <f>Tabelle4[[#This Row],[Industry Funding from DE (IPK)]]+Tabelle4[[#This Row],[Industry Funding from BR (IPK)]]</f>
        <v>0</v>
      </c>
      <c r="CB78" s="51">
        <f>Tabelle4[[#This Row],[Public Funding from DE (IPK)]]+Tabelle4[[#This Row],[Public Funding from BR (IPK)]]</f>
        <v>937360</v>
      </c>
      <c r="CC78" s="51">
        <f>Tabelle4[[#This Row],[In-kind Contribution (IPK)]]</f>
        <v>0</v>
      </c>
      <c r="CD78" s="53">
        <f>(Tabelle4[[#This Row],[Total Industry Funding (IPK)]] + Tabelle4[[#This Row],[Total Public Funding (IPK)]])/Tabelle4[[#This Row],[Total Project Volume (IPK)]]</f>
        <v>1</v>
      </c>
      <c r="CE78" s="53">
        <f>Tabelle4[[#This Row],[Total Industry Funding (IPK)]] / Tabelle4[[#This Row],[Total Project Volume (IPK)]]</f>
        <v>0</v>
      </c>
      <c r="CF78" s="49" t="str">
        <f>Tabelle4[[#This Row],[Project Funding Classification]]</f>
        <v>Public Funding</v>
      </c>
      <c r="CG78" s="51">
        <f>Tabelle4[[#This Row],[Industry Funding from DE (IPK)]]+Tabelle4[[#This Row],[Public Funding from DE (IPK)]]</f>
        <v>937360</v>
      </c>
      <c r="CH78" s="52">
        <f>Tabelle4[[#This Row],[Industry Funding from BR (IPK)]]+Tabelle4[[#This Row],[Public Funding from BR (IPK)]]</f>
        <v>0</v>
      </c>
      <c r="CI78" s="51">
        <f>Tabelle4[[#This Row],[Industry Funding from DE (ITA)]]+Tabelle4[[#This Row],[Industry Funding from BR (ITA)]]+Tabelle4[[#This Row],[Public Funding from DE (ITA)]]+Tabelle4[[#This Row],[Public Funding from BR (ITA)]]</f>
        <v>0</v>
      </c>
      <c r="CJ78" s="51">
        <f>Tabelle4[[#This Row],[Industry Funding from DE (ITA)]]+Tabelle4[[#This Row],[Industry Funding from BR (ITA)]]</f>
        <v>0</v>
      </c>
      <c r="CK78" s="51">
        <f>Tabelle4[[#This Row],[Public Funding from DE (ITA)]]+Tabelle4[[#This Row],[Public Funding from BR (ITA)]]</f>
        <v>0</v>
      </c>
      <c r="CL78" s="53" t="e">
        <f>Tabelle4[[#This Row],[Total Industry Funding (ITA)]]/Tabelle4[[#This Row],[Total Project Volume (ITA)]]</f>
        <v>#DIV/0!</v>
      </c>
      <c r="CM78" s="49" t="e">
        <f>IF(Tabelle4[[#This Row],[Funding Ratio (ITA)]]&lt;0.5,"Public Funding","Industry")</f>
        <v>#DIV/0!</v>
      </c>
      <c r="CN78" s="51">
        <f>Tabelle4[[#This Row],[Industry Funding from DE (ITA)]]+Tabelle4[[#This Row],[Public Funding from DE (ITA)]]</f>
        <v>0</v>
      </c>
      <c r="CO78" s="52">
        <f>Tabelle4[[#This Row],[Industry Funding from BR (ITA)]]+Tabelle4[[#This Row],[Public Funding from BR (ITA)]]</f>
        <v>0</v>
      </c>
      <c r="CP78" s="51">
        <f>Tabelle4[[#This Row],[Total Project Volume (IPK)]]+Tabelle4[[#This Row],[Total Project Volume (ITA)]]</f>
        <v>937360</v>
      </c>
      <c r="CQ78" s="51">
        <f>Tabelle4[[#This Row],[Total Industry Funding (IPK)]]+Tabelle4[[#This Row],[Total Industry Funding (ITA)]]</f>
        <v>0</v>
      </c>
      <c r="CR78" s="51">
        <f>Tabelle4[[#This Row],[Industry Funding from DE (IPK)]]+Tabelle4[[#This Row],[Industry Funding from DE (ITA)]]</f>
        <v>0</v>
      </c>
      <c r="CS78" s="51">
        <f>Tabelle4[[#This Row],[Industry Funding from BR (IPK)]]+Tabelle4[[#This Row],[Industry Funding from BR (ITA)]]</f>
        <v>0</v>
      </c>
      <c r="CT78" s="51">
        <f>Tabelle4[[#This Row],[Total Public Funding (IPK)]]+Tabelle4[[#This Row],[Total Public Funding (ITA)]]</f>
        <v>937360</v>
      </c>
      <c r="CU78" s="51">
        <f>Tabelle4[[#This Row],[Public Funding from DE (IPK)]]+Tabelle4[[#This Row],[Public Funding from DE (ITA)]]</f>
        <v>937360</v>
      </c>
      <c r="CV78" s="51">
        <f>Tabelle4[[#This Row],[Public Funding from BR (IPK)]]+Tabelle4[[#This Row],[Public Funding from BR (ITA)]]</f>
        <v>0</v>
      </c>
      <c r="CW78" s="51">
        <f>Tabelle4[[#This Row],[Industry Funding from DE (FPC)]]+Tabelle4[[#This Row],[Public Funding from DE (FPC)]]</f>
        <v>937360</v>
      </c>
      <c r="CX78" s="52">
        <f>Tabelle4[[#This Row],[Industry Funding from BR (FPC)]]+Tabelle4[[#This Row],[Public Funding from BR (FPC)]]</f>
        <v>0</v>
      </c>
      <c r="CY78" s="44">
        <f>Tabelle4[[#This Row],[Total Financial Budget (Other)]]+Tabelle4[[#This Row],[Total In-kind Contribution (Other)]]</f>
        <v>0</v>
      </c>
      <c r="CZ78"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78" s="44">
        <f>Tabelle4[[#This Row],[In-kind Contribution (R&amp;D III)]]+Tabelle4[[#This Row],[In-kind Contribution (R&amp;D IV)]]</f>
        <v>0</v>
      </c>
      <c r="DB78" s="158">
        <f>Tabelle4[[#This Row],[Total Budget (FPC)]]+Tabelle4[[#This Row],[Total Volume (Other)]]</f>
        <v>937360</v>
      </c>
      <c r="DC78" s="105">
        <f>Tabelle4[[#This Row],[Total Revenues (IPK)]]</f>
        <v>937360</v>
      </c>
      <c r="DD78" s="53">
        <v>0</v>
      </c>
      <c r="DE78" s="51">
        <f>Tabelle4[[#This Row],[Total Revenues IPK]]*Tabelle4[[#This Row],[Probability of Success]]</f>
        <v>0</v>
      </c>
      <c r="DF78" s="51"/>
      <c r="DG78" s="51"/>
      <c r="DH78" s="51"/>
      <c r="DI78" s="51"/>
      <c r="DJ78" s="51"/>
      <c r="DK78" s="53">
        <v>0.2</v>
      </c>
      <c r="DL78" s="51">
        <f>Tabelle4[[#This Row],[Real Budget IPK]]*Tabelle4[[#This Row],[Acquisition Factor OE810]]</f>
        <v>0</v>
      </c>
      <c r="DM78" s="51">
        <v>0</v>
      </c>
      <c r="DN78" s="52">
        <f>Tabelle4[[#This Row],[Acquisition Bonus OE810]]+Tabelle4[[#This Row],[Project Execution OE810]]</f>
        <v>0</v>
      </c>
    </row>
    <row r="79" spans="1:118" ht="42" customHeight="1" x14ac:dyDescent="0.45">
      <c r="A79" s="70" t="s">
        <v>436</v>
      </c>
      <c r="B79" s="33" t="s">
        <v>556</v>
      </c>
      <c r="C79" s="57" t="s">
        <v>133</v>
      </c>
      <c r="D79" s="57" t="s">
        <v>711</v>
      </c>
      <c r="E79" s="33">
        <v>20</v>
      </c>
      <c r="F79" s="33">
        <v>0</v>
      </c>
      <c r="G79" s="33" t="s">
        <v>2</v>
      </c>
      <c r="H79" s="33" t="s">
        <v>96</v>
      </c>
      <c r="I79" s="33" t="s">
        <v>680</v>
      </c>
      <c r="K79" s="33" t="s">
        <v>246</v>
      </c>
      <c r="L79" s="43" t="s">
        <v>309</v>
      </c>
      <c r="M79" s="144">
        <v>6.7</v>
      </c>
      <c r="N79" s="33" t="s">
        <v>667</v>
      </c>
      <c r="Q79" s="58">
        <v>36</v>
      </c>
      <c r="R79" s="60"/>
      <c r="S79" s="60"/>
      <c r="T79" s="60"/>
      <c r="U79" s="60"/>
      <c r="V79" s="59">
        <v>43812</v>
      </c>
      <c r="Y79" s="59">
        <v>44251</v>
      </c>
      <c r="Z79" s="42" t="str">
        <f t="shared" si="16"/>
        <v>IPK</v>
      </c>
      <c r="AG79" s="42" t="str">
        <f>"ITA"</f>
        <v>ITA</v>
      </c>
      <c r="AH79" s="33" t="s">
        <v>438</v>
      </c>
      <c r="AI79" s="33" t="s">
        <v>438</v>
      </c>
      <c r="AK79" s="64">
        <f>(390000/M79)</f>
        <v>58208.955223880599</v>
      </c>
      <c r="AL79" s="64"/>
      <c r="AM79" s="64">
        <f>(390000/M79)</f>
        <v>58208.955223880599</v>
      </c>
      <c r="AO79" s="42"/>
      <c r="AV79" s="42"/>
      <c r="BC79" s="42"/>
      <c r="BF79" s="65"/>
      <c r="BY79" s="44">
        <f>Tabelle4[[#This Row],[Industry Funding from DE (IPK)]]+Tabelle4[[#This Row],[Industry Funding from BR (IPK)]]+Tabelle4[[#This Row],[Public Funding from DE (IPK)]]+Tabelle4[[#This Row],[Public Funding from BR (IPK)]]+Tabelle4[[#This Row],[In-kind Contribution (IPK)]]</f>
        <v>0</v>
      </c>
      <c r="BZ79" s="44">
        <f>Tabelle4[[#This Row],[Industry Funding from DE (IPK)]]+Tabelle4[[#This Row],[Industry Funding from BR (IPK)]]+Tabelle4[[#This Row],[Public Funding from DE (IPK)]]+Tabelle4[[#This Row],[Public Funding from BR (IPK)]]</f>
        <v>0</v>
      </c>
      <c r="CA79" s="44">
        <f>Tabelle4[[#This Row],[Industry Funding from DE (IPK)]]+Tabelle4[[#This Row],[Industry Funding from BR (IPK)]]</f>
        <v>0</v>
      </c>
      <c r="CB79" s="44">
        <f>Tabelle4[[#This Row],[Public Funding from DE (IPK)]]+Tabelle4[[#This Row],[Public Funding from BR (IPK)]]</f>
        <v>0</v>
      </c>
      <c r="CC79" s="44">
        <f>Tabelle4[[#This Row],[In-kind Contribution (IPK)]]</f>
        <v>0</v>
      </c>
      <c r="CD79" s="47" t="e">
        <f>(Tabelle4[[#This Row],[Total Industry Funding (IPK)]] + Tabelle4[[#This Row],[Total Public Funding (IPK)]])/Tabelle4[[#This Row],[Total Project Volume (IPK)]]</f>
        <v>#DIV/0!</v>
      </c>
      <c r="CE79" s="47" t="e">
        <f>Tabelle4[[#This Row],[Total Industry Funding (IPK)]] / Tabelle4[[#This Row],[Total Project Volume (IPK)]]</f>
        <v>#DIV/0!</v>
      </c>
      <c r="CF79" s="33" t="str">
        <f>Tabelle4[[#This Row],[Project Funding Classification]]</f>
        <v>Public Funding</v>
      </c>
      <c r="CG79" s="44">
        <f>Tabelle4[[#This Row],[Industry Funding from DE (IPK)]]+Tabelle4[[#This Row],[Public Funding from DE (IPK)]]</f>
        <v>0</v>
      </c>
      <c r="CH79" s="46">
        <f>Tabelle4[[#This Row],[Industry Funding from BR (IPK)]]+Tabelle4[[#This Row],[Public Funding from BR (IPK)]]</f>
        <v>0</v>
      </c>
      <c r="CI79" s="44">
        <f>Tabelle4[[#This Row],[Industry Funding from DE (ITA)]]+Tabelle4[[#This Row],[Industry Funding from BR (ITA)]]+Tabelle4[[#This Row],[Public Funding from DE (ITA)]]+Tabelle4[[#This Row],[Public Funding from BR (ITA)]]</f>
        <v>116417.9104477612</v>
      </c>
      <c r="CJ79" s="44">
        <f>Tabelle4[[#This Row],[Industry Funding from DE (ITA)]]+Tabelle4[[#This Row],[Industry Funding from BR (ITA)]]</f>
        <v>58208.955223880599</v>
      </c>
      <c r="CK79" s="44">
        <f>Tabelle4[[#This Row],[Public Funding from DE (ITA)]]+Tabelle4[[#This Row],[Public Funding from BR (ITA)]]</f>
        <v>58208.955223880599</v>
      </c>
      <c r="CL79" s="47">
        <f>Tabelle4[[#This Row],[Total Industry Funding (ITA)]]/Tabelle4[[#This Row],[Total Project Volume (ITA)]]</f>
        <v>0.5</v>
      </c>
      <c r="CM79" s="33" t="str">
        <f>IF(Tabelle4[[#This Row],[Funding Ratio (ITA)]]&lt;0.5,"Public Funding","Industry")</f>
        <v>Industry</v>
      </c>
      <c r="CN79" s="44">
        <f>Tabelle4[[#This Row],[Industry Funding from DE (ITA)]]+Tabelle4[[#This Row],[Public Funding from DE (ITA)]]</f>
        <v>0</v>
      </c>
      <c r="CO79" s="46">
        <f>Tabelle4[[#This Row],[Industry Funding from BR (ITA)]]+Tabelle4[[#This Row],[Public Funding from BR (ITA)]]</f>
        <v>116417.9104477612</v>
      </c>
      <c r="CP79" s="44">
        <f>Tabelle4[[#This Row],[Total Project Volume (IPK)]]+Tabelle4[[#This Row],[Total Project Volume (ITA)]]</f>
        <v>116417.9104477612</v>
      </c>
      <c r="CQ79" s="44">
        <f>Tabelle4[[#This Row],[Total Industry Funding (IPK)]]+Tabelle4[[#This Row],[Total Industry Funding (ITA)]]</f>
        <v>58208.955223880599</v>
      </c>
      <c r="CR79" s="44">
        <f>Tabelle4[[#This Row],[Industry Funding from DE (IPK)]]+Tabelle4[[#This Row],[Industry Funding from DE (ITA)]]</f>
        <v>0</v>
      </c>
      <c r="CS79" s="44">
        <f>Tabelle4[[#This Row],[Industry Funding from BR (IPK)]]+Tabelle4[[#This Row],[Industry Funding from BR (ITA)]]</f>
        <v>58208.955223880599</v>
      </c>
      <c r="CT79" s="44">
        <f>Tabelle4[[#This Row],[Total Public Funding (IPK)]]+Tabelle4[[#This Row],[Total Public Funding (ITA)]]</f>
        <v>58208.955223880599</v>
      </c>
      <c r="CU79" s="44">
        <f>Tabelle4[[#This Row],[Public Funding from DE (IPK)]]+Tabelle4[[#This Row],[Public Funding from DE (ITA)]]</f>
        <v>0</v>
      </c>
      <c r="CV79" s="44">
        <f>Tabelle4[[#This Row],[Public Funding from BR (IPK)]]+Tabelle4[[#This Row],[Public Funding from BR (ITA)]]</f>
        <v>58208.955223880599</v>
      </c>
      <c r="CW79" s="44">
        <f>Tabelle4[[#This Row],[Industry Funding from DE (FPC)]]+Tabelle4[[#This Row],[Public Funding from DE (FPC)]]</f>
        <v>0</v>
      </c>
      <c r="CX79" s="46">
        <f>Tabelle4[[#This Row],[Industry Funding from BR (FPC)]]+Tabelle4[[#This Row],[Public Funding from BR (FPC)]]</f>
        <v>116417.9104477612</v>
      </c>
      <c r="CY79" s="44">
        <f>Tabelle4[[#This Row],[Total Financial Budget (Other)]]+Tabelle4[[#This Row],[Total In-kind Contribution (Other)]]</f>
        <v>0</v>
      </c>
      <c r="CZ7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79" s="44">
        <f>Tabelle4[[#This Row],[In-kind Contribution (R&amp;D III)]]+Tabelle4[[#This Row],[In-kind Contribution (R&amp;D IV)]]</f>
        <v>0</v>
      </c>
      <c r="DB79" s="158">
        <f>Tabelle4[[#This Row],[Total Budget (FPC)]]+Tabelle4[[#This Row],[Total Volume (Other)]]</f>
        <v>116417.9104477612</v>
      </c>
      <c r="DC79" s="104">
        <f>Tabelle4[[#This Row],[Total Revenues (IPK)]]</f>
        <v>0</v>
      </c>
      <c r="DE79" s="44">
        <f>Tabelle4[[#This Row],[Total Revenues IPK]]*Tabelle4[[#This Row],[Probability of Success]]</f>
        <v>0</v>
      </c>
      <c r="DL79" s="44">
        <f>Tabelle4[[#This Row],[Real Budget IPK]]*Tabelle4[[#This Row],[Acquisition Factor OE810]]</f>
        <v>0</v>
      </c>
      <c r="DN79" s="46">
        <f>Tabelle4[[#This Row],[Acquisition Bonus OE810]]+Tabelle4[[#This Row],[Project Execution OE810]]</f>
        <v>0</v>
      </c>
    </row>
    <row r="80" spans="1:118" ht="42" customHeight="1" x14ac:dyDescent="0.45">
      <c r="A80" s="42" t="s">
        <v>264</v>
      </c>
      <c r="C80" s="33" t="s">
        <v>265</v>
      </c>
      <c r="D80" s="33" t="s">
        <v>711</v>
      </c>
      <c r="E80" s="33">
        <v>2</v>
      </c>
      <c r="F80" s="33">
        <v>2</v>
      </c>
      <c r="G80" s="33" t="s">
        <v>1</v>
      </c>
      <c r="H80" s="33" t="s">
        <v>0</v>
      </c>
      <c r="I80" s="33" t="s">
        <v>272</v>
      </c>
      <c r="J80" s="59">
        <v>43525</v>
      </c>
      <c r="K80" s="33" t="s">
        <v>246</v>
      </c>
      <c r="P80" s="59">
        <v>44075</v>
      </c>
      <c r="Q80" s="33">
        <v>24</v>
      </c>
      <c r="U80" s="59">
        <v>43697</v>
      </c>
      <c r="V80" s="59">
        <v>43964</v>
      </c>
      <c r="Y80" s="59">
        <v>44055</v>
      </c>
      <c r="Z80" s="42" t="str">
        <f t="shared" si="16"/>
        <v>IPK</v>
      </c>
      <c r="AA80" s="33" t="s">
        <v>563</v>
      </c>
      <c r="AB80" s="61">
        <v>250000</v>
      </c>
      <c r="AG80" s="42"/>
      <c r="AO80" s="42" t="s">
        <v>163</v>
      </c>
      <c r="AP80" s="33" t="s">
        <v>269</v>
      </c>
      <c r="AU80" s="104"/>
      <c r="AV80" s="42" t="s">
        <v>270</v>
      </c>
      <c r="AW80" s="33" t="s">
        <v>271</v>
      </c>
      <c r="AZ80" s="61">
        <v>250000</v>
      </c>
      <c r="BB80" s="104"/>
      <c r="BC80" s="42" t="s">
        <v>265</v>
      </c>
      <c r="BD80" s="33" t="s">
        <v>273</v>
      </c>
      <c r="BE80" s="104"/>
      <c r="BF80" s="65"/>
      <c r="BS80" s="33" t="s">
        <v>267</v>
      </c>
      <c r="BT80" s="33" t="s">
        <v>268</v>
      </c>
      <c r="BU80" s="65">
        <v>250000</v>
      </c>
      <c r="BY80" s="44">
        <f>Tabelle4[[#This Row],[Industry Funding from DE (IPK)]]+Tabelle4[[#This Row],[Industry Funding from BR (IPK)]]+Tabelle4[[#This Row],[Public Funding from DE (IPK)]]+Tabelle4[[#This Row],[Public Funding from BR (IPK)]]+Tabelle4[[#This Row],[In-kind Contribution (IPK)]]</f>
        <v>250000</v>
      </c>
      <c r="BZ80" s="44">
        <f>Tabelle4[[#This Row],[Industry Funding from DE (IPK)]]+Tabelle4[[#This Row],[Industry Funding from BR (IPK)]]+Tabelle4[[#This Row],[Public Funding from DE (IPK)]]+Tabelle4[[#This Row],[Public Funding from BR (IPK)]]</f>
        <v>250000</v>
      </c>
      <c r="CA80" s="44">
        <f>Tabelle4[[#This Row],[Industry Funding from DE (IPK)]]+Tabelle4[[#This Row],[Industry Funding from BR (IPK)]]</f>
        <v>250000</v>
      </c>
      <c r="CB80" s="44">
        <f>Tabelle4[[#This Row],[Public Funding from DE (IPK)]]+Tabelle4[[#This Row],[Public Funding from BR (IPK)]]</f>
        <v>0</v>
      </c>
      <c r="CC80" s="44">
        <f>Tabelle4[[#This Row],[In-kind Contribution (IPK)]]</f>
        <v>0</v>
      </c>
      <c r="CD80" s="47">
        <f>(Tabelle4[[#This Row],[Total Industry Funding (IPK)]] + Tabelle4[[#This Row],[Total Public Funding (IPK)]])/Tabelle4[[#This Row],[Total Project Volume (IPK)]]</f>
        <v>1</v>
      </c>
      <c r="CE80" s="47">
        <f>Tabelle4[[#This Row],[Total Industry Funding (IPK)]] / Tabelle4[[#This Row],[Total Project Volume (IPK)]]</f>
        <v>1</v>
      </c>
      <c r="CF80" s="33" t="str">
        <f>Tabelle4[[#This Row],[Project Funding Classification]]</f>
        <v>Industry</v>
      </c>
      <c r="CG80" s="44">
        <f>Tabelle4[[#This Row],[Industry Funding from DE (IPK)]]+Tabelle4[[#This Row],[Public Funding from DE (IPK)]]</f>
        <v>250000</v>
      </c>
      <c r="CH80" s="46">
        <f>Tabelle4[[#This Row],[Industry Funding from BR (IPK)]]+Tabelle4[[#This Row],[Public Funding from BR (IPK)]]</f>
        <v>0</v>
      </c>
      <c r="CI80" s="44">
        <f>Tabelle4[[#This Row],[Industry Funding from DE (ITA)]]+Tabelle4[[#This Row],[Industry Funding from BR (ITA)]]+Tabelle4[[#This Row],[Public Funding from DE (ITA)]]+Tabelle4[[#This Row],[Public Funding from BR (ITA)]]</f>
        <v>0</v>
      </c>
      <c r="CJ80" s="44">
        <f>Tabelle4[[#This Row],[Industry Funding from DE (ITA)]]+Tabelle4[[#This Row],[Industry Funding from BR (ITA)]]</f>
        <v>0</v>
      </c>
      <c r="CK80" s="44">
        <f>Tabelle4[[#This Row],[Public Funding from DE (ITA)]]+Tabelle4[[#This Row],[Public Funding from BR (ITA)]]</f>
        <v>0</v>
      </c>
      <c r="CL80" s="47" t="e">
        <f>Tabelle4[[#This Row],[Total Industry Funding (ITA)]]/Tabelle4[[#This Row],[Total Project Volume (ITA)]]</f>
        <v>#DIV/0!</v>
      </c>
      <c r="CM80" s="33" t="e">
        <f>IF(Tabelle4[[#This Row],[Funding Ratio (ITA)]]&lt;0.5,"Public Funding","Industry")</f>
        <v>#DIV/0!</v>
      </c>
      <c r="CN80" s="44">
        <f>Tabelle4[[#This Row],[Industry Funding from DE (ITA)]]+Tabelle4[[#This Row],[Public Funding from DE (ITA)]]</f>
        <v>0</v>
      </c>
      <c r="CO80" s="46">
        <f>Tabelle4[[#This Row],[Industry Funding from BR (ITA)]]+Tabelle4[[#This Row],[Public Funding from BR (ITA)]]</f>
        <v>0</v>
      </c>
      <c r="CP80" s="44">
        <f>Tabelle4[[#This Row],[Total Project Volume (IPK)]]+Tabelle4[[#This Row],[Total Project Volume (ITA)]]</f>
        <v>250000</v>
      </c>
      <c r="CQ80" s="44">
        <f>Tabelle4[[#This Row],[Total Industry Funding (IPK)]]+Tabelle4[[#This Row],[Total Industry Funding (ITA)]]</f>
        <v>250000</v>
      </c>
      <c r="CR80" s="44">
        <f>Tabelle4[[#This Row],[Industry Funding from DE (IPK)]]+Tabelle4[[#This Row],[Industry Funding from DE (ITA)]]</f>
        <v>250000</v>
      </c>
      <c r="CS80" s="44">
        <f>Tabelle4[[#This Row],[Industry Funding from BR (IPK)]]+Tabelle4[[#This Row],[Industry Funding from BR (ITA)]]</f>
        <v>0</v>
      </c>
      <c r="CT80" s="44">
        <f>Tabelle4[[#This Row],[Total Public Funding (IPK)]]+Tabelle4[[#This Row],[Total Public Funding (ITA)]]</f>
        <v>0</v>
      </c>
      <c r="CU80" s="44">
        <f>Tabelle4[[#This Row],[Public Funding from DE (IPK)]]+Tabelle4[[#This Row],[Public Funding from DE (ITA)]]</f>
        <v>0</v>
      </c>
      <c r="CV80" s="44">
        <f>Tabelle4[[#This Row],[Public Funding from BR (IPK)]]+Tabelle4[[#This Row],[Public Funding from BR (ITA)]]</f>
        <v>0</v>
      </c>
      <c r="CW80" s="44">
        <f>Tabelle4[[#This Row],[Industry Funding from DE (FPC)]]+Tabelle4[[#This Row],[Public Funding from DE (FPC)]]</f>
        <v>250000</v>
      </c>
      <c r="CX80" s="46">
        <f>Tabelle4[[#This Row],[Industry Funding from BR (FPC)]]+Tabelle4[[#This Row],[Public Funding from BR (FPC)]]</f>
        <v>0</v>
      </c>
      <c r="CY80" s="44">
        <f>Tabelle4[[#This Row],[Total Financial Budget (Other)]]+Tabelle4[[#This Row],[Total In-kind Contribution (Other)]]</f>
        <v>250000</v>
      </c>
      <c r="CZ8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250000</v>
      </c>
      <c r="DA80" s="44">
        <f>Tabelle4[[#This Row],[In-kind Contribution (R&amp;D III)]]+Tabelle4[[#This Row],[In-kind Contribution (R&amp;D IV)]]</f>
        <v>0</v>
      </c>
      <c r="DB80" s="158">
        <f>Tabelle4[[#This Row],[Total Budget (FPC)]]+Tabelle4[[#This Row],[Total Volume (Other)]]</f>
        <v>500000</v>
      </c>
      <c r="DC80" s="104">
        <f>Tabelle4[[#This Row],[Total Revenues (IPK)]]</f>
        <v>250000</v>
      </c>
      <c r="DD80" s="47">
        <v>0</v>
      </c>
      <c r="DE80" s="44">
        <f>Tabelle4[[#This Row],[Total Revenues IPK]]*Tabelle4[[#This Row],[Probability of Success]]</f>
        <v>0</v>
      </c>
      <c r="DK80" s="47">
        <v>0.2</v>
      </c>
      <c r="DL80" s="44">
        <f>Tabelle4[[#This Row],[Real Budget IPK]]*Tabelle4[[#This Row],[Acquisition Factor OE810]]</f>
        <v>0</v>
      </c>
      <c r="DN80" s="46">
        <f>Tabelle4[[#This Row],[Acquisition Bonus OE810]]+Tabelle4[[#This Row],[Project Execution OE810]]</f>
        <v>0</v>
      </c>
    </row>
    <row r="81" spans="1:118" ht="42" customHeight="1" x14ac:dyDescent="0.45">
      <c r="A81" s="70" t="s">
        <v>328</v>
      </c>
      <c r="B81" s="33" t="s">
        <v>329</v>
      </c>
      <c r="C81" s="57" t="s">
        <v>138</v>
      </c>
      <c r="D81" s="57" t="s">
        <v>705</v>
      </c>
      <c r="E81" s="33">
        <v>1</v>
      </c>
      <c r="F81" s="33">
        <v>0</v>
      </c>
      <c r="G81" s="33" t="s">
        <v>2</v>
      </c>
      <c r="H81" s="33" t="s">
        <v>0</v>
      </c>
      <c r="J81" s="59">
        <v>43696</v>
      </c>
      <c r="K81" s="33" t="s">
        <v>246</v>
      </c>
      <c r="L81" s="43" t="s">
        <v>309</v>
      </c>
      <c r="Q81" s="58"/>
      <c r="R81" s="60"/>
      <c r="S81" s="60"/>
      <c r="T81" s="60"/>
      <c r="U81" s="60"/>
      <c r="Y81" s="59">
        <v>44138</v>
      </c>
      <c r="Z81" s="42" t="str">
        <f t="shared" si="16"/>
        <v>IPK</v>
      </c>
      <c r="AG81" s="42" t="str">
        <f t="shared" ref="AG81:AG91" si="18">"ITA"</f>
        <v>ITA</v>
      </c>
      <c r="AH81" s="33" t="s">
        <v>330</v>
      </c>
      <c r="AI81" s="33" t="s">
        <v>331</v>
      </c>
      <c r="AJ81" s="104">
        <v>0</v>
      </c>
      <c r="AK81" s="104">
        <v>0</v>
      </c>
      <c r="AL81" s="64"/>
      <c r="AO81" s="42"/>
      <c r="AU81" s="104"/>
      <c r="AV81" s="42"/>
      <c r="BC81" s="42"/>
      <c r="BF81" s="65"/>
      <c r="BY81" s="44">
        <f>Tabelle4[[#This Row],[Industry Funding from DE (IPK)]]+Tabelle4[[#This Row],[Industry Funding from BR (IPK)]]+Tabelle4[[#This Row],[Public Funding from DE (IPK)]]+Tabelle4[[#This Row],[Public Funding from BR (IPK)]]+Tabelle4[[#This Row],[In-kind Contribution (IPK)]]</f>
        <v>0</v>
      </c>
      <c r="BZ81" s="44">
        <f>Tabelle4[[#This Row],[Industry Funding from DE (IPK)]]+Tabelle4[[#This Row],[Industry Funding from BR (IPK)]]+Tabelle4[[#This Row],[Public Funding from DE (IPK)]]+Tabelle4[[#This Row],[Public Funding from BR (IPK)]]</f>
        <v>0</v>
      </c>
      <c r="CA81" s="44">
        <f>Tabelle4[[#This Row],[Industry Funding from DE (IPK)]]+Tabelle4[[#This Row],[Industry Funding from BR (IPK)]]</f>
        <v>0</v>
      </c>
      <c r="CB81" s="44">
        <f>Tabelle4[[#This Row],[Public Funding from DE (IPK)]]+Tabelle4[[#This Row],[Public Funding from BR (IPK)]]</f>
        <v>0</v>
      </c>
      <c r="CC81" s="44">
        <f>Tabelle4[[#This Row],[In-kind Contribution (IPK)]]</f>
        <v>0</v>
      </c>
      <c r="CD81" s="47" t="e">
        <f>(Tabelle4[[#This Row],[Total Industry Funding (IPK)]] + Tabelle4[[#This Row],[Total Public Funding (IPK)]])/Tabelle4[[#This Row],[Total Project Volume (IPK)]]</f>
        <v>#DIV/0!</v>
      </c>
      <c r="CE81" s="47" t="e">
        <f>Tabelle4[[#This Row],[Total Industry Funding (IPK)]] / Tabelle4[[#This Row],[Total Project Volume (IPK)]]</f>
        <v>#DIV/0!</v>
      </c>
      <c r="CF81" s="33" t="str">
        <f>Tabelle4[[#This Row],[Project Funding Classification]]</f>
        <v>Industry</v>
      </c>
      <c r="CG81" s="44">
        <f>Tabelle4[[#This Row],[Industry Funding from DE (IPK)]]+Tabelle4[[#This Row],[Public Funding from DE (IPK)]]</f>
        <v>0</v>
      </c>
      <c r="CH81" s="46">
        <f>Tabelle4[[#This Row],[Industry Funding from BR (IPK)]]+Tabelle4[[#This Row],[Public Funding from BR (IPK)]]</f>
        <v>0</v>
      </c>
      <c r="CI81" s="44">
        <f>Tabelle4[[#This Row],[Industry Funding from DE (ITA)]]+Tabelle4[[#This Row],[Industry Funding from BR (ITA)]]+Tabelle4[[#This Row],[Public Funding from DE (ITA)]]+Tabelle4[[#This Row],[Public Funding from BR (ITA)]]</f>
        <v>0</v>
      </c>
      <c r="CJ81" s="44">
        <f>Tabelle4[[#This Row],[Industry Funding from DE (ITA)]]+Tabelle4[[#This Row],[Industry Funding from BR (ITA)]]</f>
        <v>0</v>
      </c>
      <c r="CK81" s="44">
        <f>Tabelle4[[#This Row],[Public Funding from DE (ITA)]]+Tabelle4[[#This Row],[Public Funding from BR (ITA)]]</f>
        <v>0</v>
      </c>
      <c r="CL81" s="47" t="e">
        <f>Tabelle4[[#This Row],[Total Industry Funding (ITA)]]/Tabelle4[[#This Row],[Total Project Volume (ITA)]]</f>
        <v>#DIV/0!</v>
      </c>
      <c r="CM81" s="33" t="e">
        <f>IF(Tabelle4[[#This Row],[Funding Ratio (ITA)]]&lt;0.5,"Public Funding","Industry")</f>
        <v>#DIV/0!</v>
      </c>
      <c r="CN81" s="44">
        <f>Tabelle4[[#This Row],[Industry Funding from DE (ITA)]]+Tabelle4[[#This Row],[Public Funding from DE (ITA)]]</f>
        <v>0</v>
      </c>
      <c r="CO81" s="46">
        <f>Tabelle4[[#This Row],[Industry Funding from BR (ITA)]]+Tabelle4[[#This Row],[Public Funding from BR (ITA)]]</f>
        <v>0</v>
      </c>
      <c r="CP81" s="44">
        <f>Tabelle4[[#This Row],[Total Project Volume (IPK)]]+Tabelle4[[#This Row],[Total Project Volume (ITA)]]</f>
        <v>0</v>
      </c>
      <c r="CQ81" s="44">
        <f>Tabelle4[[#This Row],[Total Industry Funding (IPK)]]+Tabelle4[[#This Row],[Total Industry Funding (ITA)]]</f>
        <v>0</v>
      </c>
      <c r="CR81" s="44">
        <f>Tabelle4[[#This Row],[Industry Funding from DE (IPK)]]+Tabelle4[[#This Row],[Industry Funding from DE (ITA)]]</f>
        <v>0</v>
      </c>
      <c r="CS81" s="44">
        <f>Tabelle4[[#This Row],[Industry Funding from BR (IPK)]]+Tabelle4[[#This Row],[Industry Funding from BR (ITA)]]</f>
        <v>0</v>
      </c>
      <c r="CT81" s="44">
        <f>Tabelle4[[#This Row],[Total Public Funding (IPK)]]+Tabelle4[[#This Row],[Total Public Funding (ITA)]]</f>
        <v>0</v>
      </c>
      <c r="CU81" s="44">
        <f>Tabelle4[[#This Row],[Public Funding from DE (IPK)]]+Tabelle4[[#This Row],[Public Funding from DE (ITA)]]</f>
        <v>0</v>
      </c>
      <c r="CV81" s="44">
        <f>Tabelle4[[#This Row],[Public Funding from BR (IPK)]]+Tabelle4[[#This Row],[Public Funding from BR (ITA)]]</f>
        <v>0</v>
      </c>
      <c r="CW81" s="44">
        <f>Tabelle4[[#This Row],[Industry Funding from DE (FPC)]]+Tabelle4[[#This Row],[Public Funding from DE (FPC)]]</f>
        <v>0</v>
      </c>
      <c r="CX81" s="46">
        <f>Tabelle4[[#This Row],[Industry Funding from BR (FPC)]]+Tabelle4[[#This Row],[Public Funding from BR (FPC)]]</f>
        <v>0</v>
      </c>
      <c r="CY81" s="44">
        <f>Tabelle4[[#This Row],[Total Financial Budget (Other)]]+Tabelle4[[#This Row],[Total In-kind Contribution (Other)]]</f>
        <v>0</v>
      </c>
      <c r="CZ8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81" s="44">
        <f>Tabelle4[[#This Row],[In-kind Contribution (R&amp;D III)]]+Tabelle4[[#This Row],[In-kind Contribution (R&amp;D IV)]]</f>
        <v>0</v>
      </c>
      <c r="DB81" s="158">
        <f>Tabelle4[[#This Row],[Total Budget (FPC)]]+Tabelle4[[#This Row],[Total Volume (Other)]]</f>
        <v>0</v>
      </c>
      <c r="DC81" s="104">
        <f>Tabelle4[[#This Row],[Total Revenues (IPK)]]</f>
        <v>0</v>
      </c>
      <c r="DE81" s="44">
        <f>Tabelle4[[#This Row],[Total Revenues IPK]]*Tabelle4[[#This Row],[Probability of Success]]</f>
        <v>0</v>
      </c>
      <c r="DL81" s="44">
        <f>Tabelle4[[#This Row],[Real Budget IPK]]*Tabelle4[[#This Row],[Acquisition Factor OE810]]</f>
        <v>0</v>
      </c>
      <c r="DN81" s="46">
        <f>Tabelle4[[#This Row],[Acquisition Bonus OE810]]+Tabelle4[[#This Row],[Project Execution OE810]]</f>
        <v>0</v>
      </c>
    </row>
    <row r="82" spans="1:118" ht="42" customHeight="1" x14ac:dyDescent="0.45">
      <c r="A82" s="70" t="s">
        <v>590</v>
      </c>
      <c r="B82" s="33" t="s">
        <v>392</v>
      </c>
      <c r="C82" s="57" t="s">
        <v>453</v>
      </c>
      <c r="D82" s="57" t="s">
        <v>710</v>
      </c>
      <c r="E82" s="33">
        <v>1</v>
      </c>
      <c r="F82" s="33">
        <v>0</v>
      </c>
      <c r="G82" s="33" t="s">
        <v>2</v>
      </c>
      <c r="H82" s="33" t="s">
        <v>96</v>
      </c>
      <c r="K82" s="33" t="s">
        <v>244</v>
      </c>
      <c r="L82" s="59" t="s">
        <v>651</v>
      </c>
      <c r="Q82" s="58">
        <v>36</v>
      </c>
      <c r="R82" s="60"/>
      <c r="S82" s="60"/>
      <c r="T82" s="60"/>
      <c r="U82" s="60"/>
      <c r="W82" s="59">
        <v>43719</v>
      </c>
      <c r="Z82" s="42" t="str">
        <f t="shared" si="16"/>
        <v>IPK</v>
      </c>
      <c r="AG82" s="42" t="str">
        <f t="shared" si="18"/>
        <v>ITA</v>
      </c>
      <c r="AH82" s="33" t="s">
        <v>386</v>
      </c>
      <c r="AI82" s="33" t="s">
        <v>331</v>
      </c>
      <c r="AM82" s="64">
        <f>(4500000/4.3111)</f>
        <v>1043817.1232400084</v>
      </c>
      <c r="AO82" s="42"/>
      <c r="AU82" s="104"/>
      <c r="AV82" s="42"/>
      <c r="BC82" s="42" t="s">
        <v>353</v>
      </c>
      <c r="BE82" s="64"/>
      <c r="BF82" s="65"/>
      <c r="BS82" s="33" t="s">
        <v>452</v>
      </c>
      <c r="BY82" s="44">
        <f>Tabelle4[[#This Row],[Industry Funding from DE (IPK)]]+Tabelle4[[#This Row],[Industry Funding from BR (IPK)]]+Tabelle4[[#This Row],[Public Funding from DE (IPK)]]+Tabelle4[[#This Row],[Public Funding from BR (IPK)]]+Tabelle4[[#This Row],[In-kind Contribution (IPK)]]</f>
        <v>0</v>
      </c>
      <c r="BZ82" s="44">
        <f>Tabelle4[[#This Row],[Industry Funding from DE (IPK)]]+Tabelle4[[#This Row],[Industry Funding from BR (IPK)]]+Tabelle4[[#This Row],[Public Funding from DE (IPK)]]+Tabelle4[[#This Row],[Public Funding from BR (IPK)]]</f>
        <v>0</v>
      </c>
      <c r="CA82" s="44">
        <f>Tabelle4[[#This Row],[Industry Funding from DE (IPK)]]+Tabelle4[[#This Row],[Industry Funding from BR (IPK)]]</f>
        <v>0</v>
      </c>
      <c r="CB82" s="44">
        <f>Tabelle4[[#This Row],[Public Funding from DE (IPK)]]+Tabelle4[[#This Row],[Public Funding from BR (IPK)]]</f>
        <v>0</v>
      </c>
      <c r="CC82" s="44">
        <f>Tabelle4[[#This Row],[In-kind Contribution (IPK)]]</f>
        <v>0</v>
      </c>
      <c r="CD82" s="47" t="e">
        <f>(Tabelle4[[#This Row],[Total Industry Funding (IPK)]] + Tabelle4[[#This Row],[Total Public Funding (IPK)]])/Tabelle4[[#This Row],[Total Project Volume (IPK)]]</f>
        <v>#DIV/0!</v>
      </c>
      <c r="CE82" s="47" t="e">
        <f>Tabelle4[[#This Row],[Total Industry Funding (IPK)]] / Tabelle4[[#This Row],[Total Project Volume (IPK)]]</f>
        <v>#DIV/0!</v>
      </c>
      <c r="CF82" s="33" t="str">
        <f>Tabelle4[[#This Row],[Project Funding Classification]]</f>
        <v>Public Funding</v>
      </c>
      <c r="CG82" s="44">
        <f>Tabelle4[[#This Row],[Industry Funding from DE (IPK)]]+Tabelle4[[#This Row],[Public Funding from DE (IPK)]]</f>
        <v>0</v>
      </c>
      <c r="CH82" s="46">
        <f>Tabelle4[[#This Row],[Industry Funding from BR (IPK)]]+Tabelle4[[#This Row],[Public Funding from BR (IPK)]]</f>
        <v>0</v>
      </c>
      <c r="CI82" s="44">
        <f>Tabelle4[[#This Row],[Industry Funding from DE (ITA)]]+Tabelle4[[#This Row],[Industry Funding from BR (ITA)]]+Tabelle4[[#This Row],[Public Funding from DE (ITA)]]+Tabelle4[[#This Row],[Public Funding from BR (ITA)]]</f>
        <v>1043817.1232400084</v>
      </c>
      <c r="CJ82" s="44">
        <f>Tabelle4[[#This Row],[Industry Funding from DE (ITA)]]+Tabelle4[[#This Row],[Industry Funding from BR (ITA)]]</f>
        <v>0</v>
      </c>
      <c r="CK82" s="44">
        <f>Tabelle4[[#This Row],[Public Funding from DE (ITA)]]+Tabelle4[[#This Row],[Public Funding from BR (ITA)]]</f>
        <v>1043817.1232400084</v>
      </c>
      <c r="CL82" s="47">
        <f>Tabelle4[[#This Row],[Total Industry Funding (ITA)]]/Tabelle4[[#This Row],[Total Project Volume (ITA)]]</f>
        <v>0</v>
      </c>
      <c r="CM82" s="33" t="str">
        <f>IF(Tabelle4[[#This Row],[Funding Ratio (ITA)]]&lt;0.5,"Public Funding","Industry")</f>
        <v>Public Funding</v>
      </c>
      <c r="CN82" s="44">
        <f>Tabelle4[[#This Row],[Industry Funding from DE (ITA)]]+Tabelle4[[#This Row],[Public Funding from DE (ITA)]]</f>
        <v>0</v>
      </c>
      <c r="CO82" s="46">
        <f>Tabelle4[[#This Row],[Industry Funding from BR (ITA)]]+Tabelle4[[#This Row],[Public Funding from BR (ITA)]]</f>
        <v>1043817.1232400084</v>
      </c>
      <c r="CP82" s="44">
        <f>Tabelle4[[#This Row],[Total Project Volume (IPK)]]+Tabelle4[[#This Row],[Total Project Volume (ITA)]]</f>
        <v>1043817.1232400084</v>
      </c>
      <c r="CQ82" s="44">
        <f>Tabelle4[[#This Row],[Total Industry Funding (IPK)]]+Tabelle4[[#This Row],[Total Industry Funding (ITA)]]</f>
        <v>0</v>
      </c>
      <c r="CR82" s="44">
        <f>Tabelle4[[#This Row],[Industry Funding from DE (IPK)]]+Tabelle4[[#This Row],[Industry Funding from DE (ITA)]]</f>
        <v>0</v>
      </c>
      <c r="CS82" s="44">
        <f>Tabelle4[[#This Row],[Industry Funding from BR (IPK)]]+Tabelle4[[#This Row],[Industry Funding from BR (ITA)]]</f>
        <v>0</v>
      </c>
      <c r="CT82" s="44">
        <f>Tabelle4[[#This Row],[Total Public Funding (IPK)]]+Tabelle4[[#This Row],[Total Public Funding (ITA)]]</f>
        <v>1043817.1232400084</v>
      </c>
      <c r="CU82" s="44">
        <f>Tabelle4[[#This Row],[Public Funding from DE (IPK)]]+Tabelle4[[#This Row],[Public Funding from DE (ITA)]]</f>
        <v>0</v>
      </c>
      <c r="CV82" s="44">
        <f>Tabelle4[[#This Row],[Public Funding from BR (IPK)]]+Tabelle4[[#This Row],[Public Funding from BR (ITA)]]</f>
        <v>1043817.1232400084</v>
      </c>
      <c r="CW82" s="44">
        <f>Tabelle4[[#This Row],[Industry Funding from DE (FPC)]]+Tabelle4[[#This Row],[Public Funding from DE (FPC)]]</f>
        <v>0</v>
      </c>
      <c r="CX82" s="46">
        <f>Tabelle4[[#This Row],[Industry Funding from BR (FPC)]]+Tabelle4[[#This Row],[Public Funding from BR (FPC)]]</f>
        <v>1043817.1232400084</v>
      </c>
      <c r="CY82" s="44">
        <f>Tabelle4[[#This Row],[Total Financial Budget (Other)]]+Tabelle4[[#This Row],[Total In-kind Contribution (Other)]]</f>
        <v>0</v>
      </c>
      <c r="CZ8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82" s="44">
        <f>Tabelle4[[#This Row],[In-kind Contribution (R&amp;D III)]]+Tabelle4[[#This Row],[In-kind Contribution (R&amp;D IV)]]</f>
        <v>0</v>
      </c>
      <c r="DB82" s="158">
        <f>Tabelle4[[#This Row],[Total Budget (FPC)]]+Tabelle4[[#This Row],[Total Volume (Other)]]</f>
        <v>1043817.1232400084</v>
      </c>
      <c r="DC82" s="104">
        <f>Tabelle4[[#This Row],[Total Revenues (IPK)]]</f>
        <v>0</v>
      </c>
      <c r="DE82" s="44">
        <f>Tabelle4[[#This Row],[Total Revenues IPK]]*Tabelle4[[#This Row],[Probability of Success]]</f>
        <v>0</v>
      </c>
      <c r="DL82" s="44">
        <f>Tabelle4[[#This Row],[Real Budget IPK]]*Tabelle4[[#This Row],[Acquisition Factor OE810]]</f>
        <v>0</v>
      </c>
      <c r="DN82" s="46">
        <f>Tabelle4[[#This Row],[Acquisition Bonus OE810]]+Tabelle4[[#This Row],[Project Execution OE810]]</f>
        <v>0</v>
      </c>
    </row>
    <row r="83" spans="1:118" ht="42" customHeight="1" x14ac:dyDescent="0.45">
      <c r="A83" s="70" t="s">
        <v>627</v>
      </c>
      <c r="B83" s="33" t="s">
        <v>629</v>
      </c>
      <c r="C83" s="33" t="s">
        <v>545</v>
      </c>
      <c r="D83" s="33" t="s">
        <v>706</v>
      </c>
      <c r="E83" s="33">
        <v>19</v>
      </c>
      <c r="G83" s="33" t="s">
        <v>2</v>
      </c>
      <c r="H83" s="33" t="s">
        <v>96</v>
      </c>
      <c r="K83" s="33" t="s">
        <v>244</v>
      </c>
      <c r="L83" s="43" t="s">
        <v>651</v>
      </c>
      <c r="N83" s="33" t="s">
        <v>667</v>
      </c>
      <c r="Q83" s="58">
        <v>24</v>
      </c>
      <c r="U83" s="59">
        <v>44020</v>
      </c>
      <c r="V83" s="59">
        <v>44048</v>
      </c>
      <c r="W83" s="59">
        <v>44177</v>
      </c>
      <c r="Z83" s="42" t="str">
        <f t="shared" si="16"/>
        <v>IPK</v>
      </c>
      <c r="AG83" s="42" t="str">
        <f t="shared" si="18"/>
        <v>ITA</v>
      </c>
      <c r="AH83" s="33" t="s">
        <v>395</v>
      </c>
      <c r="AI83" s="33" t="s">
        <v>331</v>
      </c>
      <c r="AK83" s="64"/>
      <c r="AL83" s="64"/>
      <c r="AM83" s="64">
        <f>0</f>
        <v>0</v>
      </c>
      <c r="AO83" s="42"/>
      <c r="AV83" s="42"/>
      <c r="BC83" s="42"/>
      <c r="BE83" s="64"/>
      <c r="BF83" s="65"/>
      <c r="BI83" s="64"/>
      <c r="BO83" s="114"/>
      <c r="BP83" s="114"/>
      <c r="BU83" s="101"/>
      <c r="BW83" s="114"/>
      <c r="BY83" s="44">
        <f>Tabelle4[[#This Row],[Industry Funding from DE (IPK)]]+Tabelle4[[#This Row],[Industry Funding from BR (IPK)]]+Tabelle4[[#This Row],[Public Funding from DE (IPK)]]+Tabelle4[[#This Row],[Public Funding from BR (IPK)]]+Tabelle4[[#This Row],[In-kind Contribution (IPK)]]</f>
        <v>0</v>
      </c>
      <c r="BZ83" s="44">
        <f>Tabelle4[[#This Row],[Industry Funding from DE (IPK)]]+Tabelle4[[#This Row],[Industry Funding from BR (IPK)]]+Tabelle4[[#This Row],[Public Funding from DE (IPK)]]+Tabelle4[[#This Row],[Public Funding from BR (IPK)]]</f>
        <v>0</v>
      </c>
      <c r="CA83" s="44">
        <f>Tabelle4[[#This Row],[Industry Funding from DE (IPK)]]+Tabelle4[[#This Row],[Industry Funding from BR (IPK)]]</f>
        <v>0</v>
      </c>
      <c r="CB83" s="44">
        <f>Tabelle4[[#This Row],[Public Funding from DE (IPK)]]+Tabelle4[[#This Row],[Public Funding from BR (IPK)]]</f>
        <v>0</v>
      </c>
      <c r="CC83" s="44">
        <f>Tabelle4[[#This Row],[In-kind Contribution (IPK)]]</f>
        <v>0</v>
      </c>
      <c r="CD83" s="47" t="e">
        <f>(Tabelle4[[#This Row],[Total Industry Funding (IPK)]] + Tabelle4[[#This Row],[Total Public Funding (IPK)]])/Tabelle4[[#This Row],[Total Project Volume (IPK)]]</f>
        <v>#DIV/0!</v>
      </c>
      <c r="CE83" s="47" t="e">
        <f>Tabelle4[[#This Row],[Total Industry Funding (IPK)]] / Tabelle4[[#This Row],[Total Project Volume (IPK)]]</f>
        <v>#DIV/0!</v>
      </c>
      <c r="CF83" s="33" t="str">
        <f>Tabelle4[[#This Row],[Project Funding Classification]]</f>
        <v>Public Funding</v>
      </c>
      <c r="CG83" s="44">
        <f>Tabelle4[[#This Row],[Industry Funding from DE (IPK)]]+Tabelle4[[#This Row],[Public Funding from DE (IPK)]]</f>
        <v>0</v>
      </c>
      <c r="CH83" s="46">
        <f>Tabelle4[[#This Row],[Industry Funding from BR (IPK)]]+Tabelle4[[#This Row],[Public Funding from BR (IPK)]]</f>
        <v>0</v>
      </c>
      <c r="CI83" s="44">
        <f>Tabelle4[[#This Row],[Industry Funding from DE (ITA)]]+Tabelle4[[#This Row],[Industry Funding from BR (ITA)]]+Tabelle4[[#This Row],[Public Funding from DE (ITA)]]+Tabelle4[[#This Row],[Public Funding from BR (ITA)]]</f>
        <v>0</v>
      </c>
      <c r="CJ83" s="44">
        <f>Tabelle4[[#This Row],[Industry Funding from DE (ITA)]]+Tabelle4[[#This Row],[Industry Funding from BR (ITA)]]</f>
        <v>0</v>
      </c>
      <c r="CK83" s="44">
        <f>Tabelle4[[#This Row],[Public Funding from DE (ITA)]]+Tabelle4[[#This Row],[Public Funding from BR (ITA)]]</f>
        <v>0</v>
      </c>
      <c r="CL83" s="47" t="e">
        <f>Tabelle4[[#This Row],[Total Industry Funding (ITA)]]/Tabelle4[[#This Row],[Total Project Volume (ITA)]]</f>
        <v>#DIV/0!</v>
      </c>
      <c r="CM83" s="33" t="e">
        <f>IF(Tabelle4[[#This Row],[Funding Ratio (ITA)]]&lt;0.5,"Public Funding","Industry")</f>
        <v>#DIV/0!</v>
      </c>
      <c r="CN83" s="44">
        <f>Tabelle4[[#This Row],[Industry Funding from DE (ITA)]]+Tabelle4[[#This Row],[Public Funding from DE (ITA)]]</f>
        <v>0</v>
      </c>
      <c r="CO83" s="111">
        <f>Tabelle4[[#This Row],[Industry Funding from BR (ITA)]]+Tabelle4[[#This Row],[Public Funding from BR (ITA)]]</f>
        <v>0</v>
      </c>
      <c r="CP83" s="44">
        <f>Tabelle4[[#This Row],[Total Project Volume (IPK)]]+Tabelle4[[#This Row],[Total Project Volume (ITA)]]</f>
        <v>0</v>
      </c>
      <c r="CQ83" s="44">
        <f>Tabelle4[[#This Row],[Total Industry Funding (IPK)]]+Tabelle4[[#This Row],[Total Industry Funding (ITA)]]</f>
        <v>0</v>
      </c>
      <c r="CR83" s="44">
        <f>Tabelle4[[#This Row],[Industry Funding from DE (IPK)]]+Tabelle4[[#This Row],[Industry Funding from DE (ITA)]]</f>
        <v>0</v>
      </c>
      <c r="CS83" s="44">
        <f>Tabelle4[[#This Row],[Industry Funding from BR (IPK)]]+Tabelle4[[#This Row],[Industry Funding from BR (ITA)]]</f>
        <v>0</v>
      </c>
      <c r="CT83" s="44">
        <f>Tabelle4[[#This Row],[Total Public Funding (IPK)]]+Tabelle4[[#This Row],[Total Public Funding (ITA)]]</f>
        <v>0</v>
      </c>
      <c r="CU83" s="44">
        <f>Tabelle4[[#This Row],[Public Funding from DE (IPK)]]+Tabelle4[[#This Row],[Public Funding from DE (ITA)]]</f>
        <v>0</v>
      </c>
      <c r="CV83" s="44">
        <f>Tabelle4[[#This Row],[Public Funding from BR (IPK)]]+Tabelle4[[#This Row],[Public Funding from BR (ITA)]]</f>
        <v>0</v>
      </c>
      <c r="CW83" s="44">
        <f>Tabelle4[[#This Row],[Industry Funding from DE (FPC)]]+Tabelle4[[#This Row],[Public Funding from DE (FPC)]]</f>
        <v>0</v>
      </c>
      <c r="CX83" s="46">
        <f>Tabelle4[[#This Row],[Industry Funding from BR (FPC)]]+Tabelle4[[#This Row],[Public Funding from BR (FPC)]]</f>
        <v>0</v>
      </c>
      <c r="CY83" s="44">
        <f>Tabelle4[[#This Row],[Total Financial Budget (Other)]]+Tabelle4[[#This Row],[Total In-kind Contribution (Other)]]</f>
        <v>0</v>
      </c>
      <c r="CZ8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83" s="44">
        <f>Tabelle4[[#This Row],[In-kind Contribution (R&amp;D III)]]+Tabelle4[[#This Row],[In-kind Contribution (R&amp;D IV)]]</f>
        <v>0</v>
      </c>
      <c r="DB83" s="158">
        <f>Tabelle4[[#This Row],[Total Budget (FPC)]]+Tabelle4[[#This Row],[Total Volume (Other)]]</f>
        <v>0</v>
      </c>
      <c r="DC83" s="104">
        <f>Tabelle4[[#This Row],[Total Revenues (IPK)]]</f>
        <v>0</v>
      </c>
      <c r="DE83" s="44">
        <f>Tabelle4[[#This Row],[Total Revenues IPK]]*Tabelle4[[#This Row],[Probability of Success]]</f>
        <v>0</v>
      </c>
      <c r="DL83" s="44">
        <f>Tabelle4[[#This Row],[Real Budget IPK]]*Tabelle4[[#This Row],[Acquisition Factor OE810]]</f>
        <v>0</v>
      </c>
      <c r="DN83" s="46">
        <f>Tabelle4[[#This Row],[Acquisition Bonus OE810]]+Tabelle4[[#This Row],[Project Execution OE810]]</f>
        <v>0</v>
      </c>
    </row>
    <row r="84" spans="1:118" ht="42" customHeight="1" x14ac:dyDescent="0.45">
      <c r="A84" s="70" t="s">
        <v>626</v>
      </c>
      <c r="B84" s="33" t="s">
        <v>628</v>
      </c>
      <c r="C84" s="57" t="s">
        <v>545</v>
      </c>
      <c r="D84" s="57" t="s">
        <v>706</v>
      </c>
      <c r="E84" s="33">
        <v>21</v>
      </c>
      <c r="G84" s="49" t="s">
        <v>2</v>
      </c>
      <c r="H84" s="33" t="s">
        <v>0</v>
      </c>
      <c r="J84" s="59">
        <v>43972</v>
      </c>
      <c r="K84" s="33" t="s">
        <v>244</v>
      </c>
      <c r="L84" s="43" t="s">
        <v>651</v>
      </c>
      <c r="M84" s="144">
        <v>6.38</v>
      </c>
      <c r="N84" s="33" t="s">
        <v>667</v>
      </c>
      <c r="Q84" s="58">
        <v>24</v>
      </c>
      <c r="U84" s="59">
        <v>43992</v>
      </c>
      <c r="V84" s="59">
        <v>44048</v>
      </c>
      <c r="W84" s="59">
        <v>44177</v>
      </c>
      <c r="Z84" s="42" t="str">
        <f t="shared" si="16"/>
        <v>IPK</v>
      </c>
      <c r="AG84" s="42" t="str">
        <f t="shared" si="18"/>
        <v>ITA</v>
      </c>
      <c r="AH84" s="33" t="s">
        <v>395</v>
      </c>
      <c r="AI84" s="33" t="s">
        <v>331</v>
      </c>
      <c r="AK84" s="64"/>
      <c r="AL84" s="64"/>
      <c r="AM84" s="64">
        <f>(3000000/M84)</f>
        <v>470219.43573667714</v>
      </c>
      <c r="AO84" s="42"/>
      <c r="AV84" s="42"/>
      <c r="BC84" s="42"/>
      <c r="BE84" s="64"/>
      <c r="BF84" s="65"/>
      <c r="BU84" s="67"/>
      <c r="BY84" s="44">
        <f>Tabelle4[[#This Row],[Industry Funding from DE (IPK)]]+Tabelle4[[#This Row],[Industry Funding from BR (IPK)]]+Tabelle4[[#This Row],[Public Funding from DE (IPK)]]+Tabelle4[[#This Row],[Public Funding from BR (IPK)]]+Tabelle4[[#This Row],[In-kind Contribution (IPK)]]</f>
        <v>0</v>
      </c>
      <c r="BZ84" s="44">
        <f>Tabelle4[[#This Row],[Industry Funding from DE (IPK)]]+Tabelle4[[#This Row],[Industry Funding from BR (IPK)]]+Tabelle4[[#This Row],[Public Funding from DE (IPK)]]+Tabelle4[[#This Row],[Public Funding from BR (IPK)]]</f>
        <v>0</v>
      </c>
      <c r="CA84" s="44">
        <f>Tabelle4[[#This Row],[Industry Funding from DE (IPK)]]+Tabelle4[[#This Row],[Industry Funding from BR (IPK)]]</f>
        <v>0</v>
      </c>
      <c r="CB84" s="44">
        <f>Tabelle4[[#This Row],[Public Funding from DE (IPK)]]+Tabelle4[[#This Row],[Public Funding from BR (IPK)]]</f>
        <v>0</v>
      </c>
      <c r="CC84" s="44">
        <f>Tabelle4[[#This Row],[In-kind Contribution (IPK)]]</f>
        <v>0</v>
      </c>
      <c r="CD84" s="47" t="e">
        <f>(Tabelle4[[#This Row],[Total Industry Funding (IPK)]] + Tabelle4[[#This Row],[Total Public Funding (IPK)]])/Tabelle4[[#This Row],[Total Project Volume (IPK)]]</f>
        <v>#DIV/0!</v>
      </c>
      <c r="CE84" s="47" t="e">
        <f>Tabelle4[[#This Row],[Total Industry Funding (IPK)]] / Tabelle4[[#This Row],[Total Project Volume (IPK)]]</f>
        <v>#DIV/0!</v>
      </c>
      <c r="CF84" s="33" t="str">
        <f>Tabelle4[[#This Row],[Project Funding Classification]]</f>
        <v>Industry</v>
      </c>
      <c r="CG84" s="44">
        <f>Tabelle4[[#This Row],[Industry Funding from DE (IPK)]]+Tabelle4[[#This Row],[Public Funding from DE (IPK)]]</f>
        <v>0</v>
      </c>
      <c r="CH84" s="46">
        <f>Tabelle4[[#This Row],[Industry Funding from BR (IPK)]]+Tabelle4[[#This Row],[Public Funding from BR (IPK)]]</f>
        <v>0</v>
      </c>
      <c r="CI84" s="44">
        <f>Tabelle4[[#This Row],[Industry Funding from DE (ITA)]]+Tabelle4[[#This Row],[Industry Funding from BR (ITA)]]+Tabelle4[[#This Row],[Public Funding from DE (ITA)]]+Tabelle4[[#This Row],[Public Funding from BR (ITA)]]</f>
        <v>470219.43573667714</v>
      </c>
      <c r="CJ84" s="44">
        <f>Tabelle4[[#This Row],[Industry Funding from DE (ITA)]]+Tabelle4[[#This Row],[Industry Funding from BR (ITA)]]</f>
        <v>0</v>
      </c>
      <c r="CK84" s="44">
        <f>Tabelle4[[#This Row],[Public Funding from DE (ITA)]]+Tabelle4[[#This Row],[Public Funding from BR (ITA)]]</f>
        <v>470219.43573667714</v>
      </c>
      <c r="CL84" s="47">
        <f>Tabelle4[[#This Row],[Total Industry Funding (ITA)]]/Tabelle4[[#This Row],[Total Project Volume (ITA)]]</f>
        <v>0</v>
      </c>
      <c r="CM84" s="33" t="str">
        <f>IF(Tabelle4[[#This Row],[Funding Ratio (ITA)]]&lt;0.5,"Public Funding","Industry")</f>
        <v>Public Funding</v>
      </c>
      <c r="CN84" s="44">
        <f>Tabelle4[[#This Row],[Industry Funding from DE (ITA)]]+Tabelle4[[#This Row],[Public Funding from DE (ITA)]]</f>
        <v>0</v>
      </c>
      <c r="CO84" s="46">
        <f>Tabelle4[[#This Row],[Industry Funding from BR (ITA)]]+Tabelle4[[#This Row],[Public Funding from BR (ITA)]]</f>
        <v>470219.43573667714</v>
      </c>
      <c r="CP84" s="44">
        <f>Tabelle4[[#This Row],[Total Project Volume (IPK)]]+Tabelle4[[#This Row],[Total Project Volume (ITA)]]</f>
        <v>470219.43573667714</v>
      </c>
      <c r="CQ84" s="44">
        <f>Tabelle4[[#This Row],[Total Industry Funding (IPK)]]+Tabelle4[[#This Row],[Total Industry Funding (ITA)]]</f>
        <v>0</v>
      </c>
      <c r="CR84" s="44">
        <f>Tabelle4[[#This Row],[Industry Funding from DE (IPK)]]+Tabelle4[[#This Row],[Industry Funding from DE (ITA)]]</f>
        <v>0</v>
      </c>
      <c r="CS84" s="44">
        <f>Tabelle4[[#This Row],[Industry Funding from BR (IPK)]]+Tabelle4[[#This Row],[Industry Funding from BR (ITA)]]</f>
        <v>0</v>
      </c>
      <c r="CT84" s="44">
        <f>Tabelle4[[#This Row],[Total Public Funding (IPK)]]+Tabelle4[[#This Row],[Total Public Funding (ITA)]]</f>
        <v>470219.43573667714</v>
      </c>
      <c r="CU84" s="44">
        <f>Tabelle4[[#This Row],[Public Funding from DE (IPK)]]+Tabelle4[[#This Row],[Public Funding from DE (ITA)]]</f>
        <v>0</v>
      </c>
      <c r="CV84" s="44">
        <f>Tabelle4[[#This Row],[Public Funding from BR (IPK)]]+Tabelle4[[#This Row],[Public Funding from BR (ITA)]]</f>
        <v>470219.43573667714</v>
      </c>
      <c r="CW84" s="44">
        <f>Tabelle4[[#This Row],[Industry Funding from DE (FPC)]]+Tabelle4[[#This Row],[Public Funding from DE (FPC)]]</f>
        <v>0</v>
      </c>
      <c r="CX84" s="46">
        <f>Tabelle4[[#This Row],[Industry Funding from BR (FPC)]]+Tabelle4[[#This Row],[Public Funding from BR (FPC)]]</f>
        <v>470219.43573667714</v>
      </c>
      <c r="CY84" s="44">
        <f>Tabelle4[[#This Row],[Total Financial Budget (Other)]]+Tabelle4[[#This Row],[Total In-kind Contribution (Other)]]</f>
        <v>0</v>
      </c>
      <c r="CZ8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84" s="44">
        <f>Tabelle4[[#This Row],[In-kind Contribution (R&amp;D III)]]+Tabelle4[[#This Row],[In-kind Contribution (R&amp;D IV)]]</f>
        <v>0</v>
      </c>
      <c r="DB84" s="158">
        <f>Tabelle4[[#This Row],[Total Budget (FPC)]]+Tabelle4[[#This Row],[Total Volume (Other)]]</f>
        <v>470219.43573667714</v>
      </c>
      <c r="DC84" s="104">
        <f>Tabelle4[[#This Row],[Total Revenues (IPK)]]</f>
        <v>0</v>
      </c>
      <c r="DE84" s="44">
        <f>Tabelle4[[#This Row],[Total Revenues IPK]]*Tabelle4[[#This Row],[Probability of Success]]</f>
        <v>0</v>
      </c>
      <c r="DL84" s="44">
        <f>Tabelle4[[#This Row],[Real Budget IPK]]*Tabelle4[[#This Row],[Acquisition Factor OE810]]</f>
        <v>0</v>
      </c>
      <c r="DN84" s="46">
        <f>Tabelle4[[#This Row],[Acquisition Bonus OE810]]+Tabelle4[[#This Row],[Project Execution OE810]]</f>
        <v>0</v>
      </c>
    </row>
    <row r="85" spans="1:118" ht="42" customHeight="1" x14ac:dyDescent="0.45">
      <c r="A85" s="70" t="s">
        <v>167</v>
      </c>
      <c r="B85" s="49"/>
      <c r="C85" s="49" t="s">
        <v>133</v>
      </c>
      <c r="D85" s="49" t="s">
        <v>711</v>
      </c>
      <c r="E85" s="49"/>
      <c r="F85" s="49"/>
      <c r="G85" s="49" t="s">
        <v>2</v>
      </c>
      <c r="H85" s="49" t="s">
        <v>96</v>
      </c>
      <c r="I85" s="49"/>
      <c r="J85" s="50"/>
      <c r="K85" s="49" t="s">
        <v>244</v>
      </c>
      <c r="L85" s="33" t="s">
        <v>651</v>
      </c>
      <c r="M85" s="146"/>
      <c r="N85" s="49"/>
      <c r="O85" s="50"/>
      <c r="P85" s="50"/>
      <c r="Q85" s="49">
        <v>24</v>
      </c>
      <c r="R85" s="50"/>
      <c r="S85" s="50"/>
      <c r="T85" s="50"/>
      <c r="U85" s="50"/>
      <c r="V85" s="50"/>
      <c r="W85" s="59">
        <v>43442</v>
      </c>
      <c r="X85" s="50"/>
      <c r="Y85" s="50"/>
      <c r="Z85" s="48" t="str">
        <f t="shared" si="16"/>
        <v>IPK</v>
      </c>
      <c r="AA85" s="49"/>
      <c r="AB85" s="105"/>
      <c r="AC85" s="105"/>
      <c r="AD85" s="120"/>
      <c r="AE85" s="105"/>
      <c r="AF85" s="105"/>
      <c r="AG85" s="48" t="str">
        <f t="shared" si="18"/>
        <v>ITA</v>
      </c>
      <c r="AH85" s="33" t="s">
        <v>361</v>
      </c>
      <c r="AI85" s="33" t="s">
        <v>320</v>
      </c>
      <c r="AM85" s="104">
        <f>(118234.8/4.3111)</f>
        <v>27425.668622857276</v>
      </c>
      <c r="AO85" s="48"/>
      <c r="AP85" s="49"/>
      <c r="AQ85" s="105"/>
      <c r="AR85" s="105"/>
      <c r="AS85" s="105"/>
      <c r="AT85" s="105"/>
      <c r="AU85" s="105"/>
      <c r="AV85" s="48"/>
      <c r="AW85" s="49"/>
      <c r="AX85" s="105"/>
      <c r="AY85" s="105"/>
      <c r="AZ85" s="105"/>
      <c r="BA85" s="105"/>
      <c r="BB85" s="105"/>
      <c r="BC85" s="48"/>
      <c r="BD85" s="49"/>
      <c r="BE85" s="105"/>
      <c r="BF85" s="102"/>
      <c r="BG85" s="49"/>
      <c r="BH85" s="49"/>
      <c r="BI85" s="105"/>
      <c r="BJ85" s="102"/>
      <c r="BK85" s="49"/>
      <c r="BL85" s="49"/>
      <c r="BM85" s="105"/>
      <c r="BN85" s="102"/>
      <c r="BO85" s="49"/>
      <c r="BP85" s="49"/>
      <c r="BQ85" s="105"/>
      <c r="BR85" s="102"/>
      <c r="BS85" s="49" t="s">
        <v>133</v>
      </c>
      <c r="BT85" s="49"/>
      <c r="BU85" s="102">
        <f>Tabelle4[[#This Row],[Public Funding from BR (ITA)]]</f>
        <v>27425.668622857276</v>
      </c>
      <c r="BV85" s="49"/>
      <c r="BW85" s="49"/>
      <c r="BX85" s="102"/>
      <c r="BY85" s="51">
        <f>Tabelle4[[#This Row],[Industry Funding from DE (IPK)]]+Tabelle4[[#This Row],[Industry Funding from BR (IPK)]]+Tabelle4[[#This Row],[Public Funding from DE (IPK)]]+Tabelle4[[#This Row],[Public Funding from BR (IPK)]]+Tabelle4[[#This Row],[In-kind Contribution (IPK)]]</f>
        <v>0</v>
      </c>
      <c r="BZ85" s="51">
        <f>Tabelle4[[#This Row],[Industry Funding from DE (IPK)]]+Tabelle4[[#This Row],[Industry Funding from BR (IPK)]]+Tabelle4[[#This Row],[Public Funding from DE (IPK)]]+Tabelle4[[#This Row],[Public Funding from BR (IPK)]]</f>
        <v>0</v>
      </c>
      <c r="CA85" s="51">
        <f>Tabelle4[[#This Row],[Industry Funding from DE (IPK)]]+Tabelle4[[#This Row],[Industry Funding from BR (IPK)]]</f>
        <v>0</v>
      </c>
      <c r="CB85" s="51">
        <f>Tabelle4[[#This Row],[Public Funding from DE (IPK)]]+Tabelle4[[#This Row],[Public Funding from BR (IPK)]]</f>
        <v>0</v>
      </c>
      <c r="CC85" s="51">
        <f>Tabelle4[[#This Row],[In-kind Contribution (IPK)]]</f>
        <v>0</v>
      </c>
      <c r="CD85" s="53" t="e">
        <f>(Tabelle4[[#This Row],[Total Industry Funding (IPK)]] + Tabelle4[[#This Row],[Total Public Funding (IPK)]])/Tabelle4[[#This Row],[Total Project Volume (IPK)]]</f>
        <v>#DIV/0!</v>
      </c>
      <c r="CE85" s="53" t="e">
        <f>Tabelle4[[#This Row],[Total Industry Funding (IPK)]] / Tabelle4[[#This Row],[Total Project Volume (IPK)]]</f>
        <v>#DIV/0!</v>
      </c>
      <c r="CF85" s="49" t="str">
        <f>Tabelle4[[#This Row],[Project Funding Classification]]</f>
        <v>Public Funding</v>
      </c>
      <c r="CG85" s="51">
        <f>Tabelle4[[#This Row],[Industry Funding from DE (IPK)]]+Tabelle4[[#This Row],[Public Funding from DE (IPK)]]</f>
        <v>0</v>
      </c>
      <c r="CH85" s="52">
        <f>Tabelle4[[#This Row],[Industry Funding from BR (IPK)]]+Tabelle4[[#This Row],[Public Funding from BR (IPK)]]</f>
        <v>0</v>
      </c>
      <c r="CI85" s="51">
        <f>Tabelle4[[#This Row],[Industry Funding from DE (ITA)]]+Tabelle4[[#This Row],[Industry Funding from BR (ITA)]]+Tabelle4[[#This Row],[Public Funding from DE (ITA)]]+Tabelle4[[#This Row],[Public Funding from BR (ITA)]]</f>
        <v>27425.668622857276</v>
      </c>
      <c r="CJ85" s="51">
        <f>Tabelle4[[#This Row],[Industry Funding from DE (ITA)]]+Tabelle4[[#This Row],[Industry Funding from BR (ITA)]]</f>
        <v>0</v>
      </c>
      <c r="CK85" s="51">
        <f>Tabelle4[[#This Row],[Public Funding from DE (ITA)]]+Tabelle4[[#This Row],[Public Funding from BR (ITA)]]</f>
        <v>27425.668622857276</v>
      </c>
      <c r="CL85" s="53">
        <f>Tabelle4[[#This Row],[Total Industry Funding (ITA)]]/Tabelle4[[#This Row],[Total Project Volume (ITA)]]</f>
        <v>0</v>
      </c>
      <c r="CM85" s="49" t="str">
        <f>IF(Tabelle4[[#This Row],[Funding Ratio (ITA)]]&lt;0.5,"Public Funding","Industry")</f>
        <v>Public Funding</v>
      </c>
      <c r="CN85" s="51">
        <f>Tabelle4[[#This Row],[Industry Funding from DE (ITA)]]+Tabelle4[[#This Row],[Public Funding from DE (ITA)]]</f>
        <v>0</v>
      </c>
      <c r="CO85" s="52">
        <f>Tabelle4[[#This Row],[Industry Funding from BR (ITA)]]+Tabelle4[[#This Row],[Public Funding from BR (ITA)]]</f>
        <v>27425.668622857276</v>
      </c>
      <c r="CP85" s="51">
        <f>Tabelle4[[#This Row],[Total Project Volume (IPK)]]+Tabelle4[[#This Row],[Total Project Volume (ITA)]]</f>
        <v>27425.668622857276</v>
      </c>
      <c r="CQ85" s="51">
        <f>Tabelle4[[#This Row],[Total Industry Funding (IPK)]]+Tabelle4[[#This Row],[Total Industry Funding (ITA)]]</f>
        <v>0</v>
      </c>
      <c r="CR85" s="51">
        <f>Tabelle4[[#This Row],[Industry Funding from DE (IPK)]]+Tabelle4[[#This Row],[Industry Funding from DE (ITA)]]</f>
        <v>0</v>
      </c>
      <c r="CS85" s="51">
        <f>Tabelle4[[#This Row],[Industry Funding from BR (IPK)]]+Tabelle4[[#This Row],[Industry Funding from BR (ITA)]]</f>
        <v>0</v>
      </c>
      <c r="CT85" s="51">
        <f>Tabelle4[[#This Row],[Total Public Funding (IPK)]]+Tabelle4[[#This Row],[Total Public Funding (ITA)]]</f>
        <v>27425.668622857276</v>
      </c>
      <c r="CU85" s="51">
        <f>Tabelle4[[#This Row],[Public Funding from DE (IPK)]]+Tabelle4[[#This Row],[Public Funding from DE (ITA)]]</f>
        <v>0</v>
      </c>
      <c r="CV85" s="51">
        <f>Tabelle4[[#This Row],[Public Funding from BR (IPK)]]+Tabelle4[[#This Row],[Public Funding from BR (ITA)]]</f>
        <v>27425.668622857276</v>
      </c>
      <c r="CW85" s="51">
        <f>Tabelle4[[#This Row],[Industry Funding from DE (FPC)]]+Tabelle4[[#This Row],[Public Funding from DE (FPC)]]</f>
        <v>0</v>
      </c>
      <c r="CX85" s="52">
        <f>Tabelle4[[#This Row],[Industry Funding from BR (FPC)]]+Tabelle4[[#This Row],[Public Funding from BR (FPC)]]</f>
        <v>27425.668622857276</v>
      </c>
      <c r="CY85" s="44">
        <f>Tabelle4[[#This Row],[Total Financial Budget (Other)]]+Tabelle4[[#This Row],[Total In-kind Contribution (Other)]]</f>
        <v>0</v>
      </c>
      <c r="CZ85"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85" s="44">
        <f>Tabelle4[[#This Row],[In-kind Contribution (R&amp;D III)]]+Tabelle4[[#This Row],[In-kind Contribution (R&amp;D IV)]]</f>
        <v>0</v>
      </c>
      <c r="DB85" s="158">
        <f>Tabelle4[[#This Row],[Total Budget (FPC)]]+Tabelle4[[#This Row],[Total Volume (Other)]]</f>
        <v>27425.668622857276</v>
      </c>
      <c r="DC85" s="105">
        <f>Tabelle4[[#This Row],[Total Revenues (IPK)]]</f>
        <v>0</v>
      </c>
      <c r="DD85" s="53"/>
      <c r="DE85" s="51">
        <f>Tabelle4[[#This Row],[Total Revenues IPK]]*Tabelle4[[#This Row],[Probability of Success]]</f>
        <v>0</v>
      </c>
      <c r="DF85" s="51"/>
      <c r="DG85" s="51"/>
      <c r="DH85" s="51"/>
      <c r="DI85" s="51"/>
      <c r="DJ85" s="51"/>
      <c r="DK85" s="53"/>
      <c r="DL85" s="51">
        <f>Tabelle4[[#This Row],[Real Budget IPK]]*Tabelle4[[#This Row],[Acquisition Factor OE810]]</f>
        <v>0</v>
      </c>
      <c r="DM85" s="51">
        <v>0</v>
      </c>
      <c r="DN85" s="52">
        <f>Tabelle4[[#This Row],[Acquisition Bonus OE810]]+Tabelle4[[#This Row],[Project Execution OE810]]</f>
        <v>0</v>
      </c>
    </row>
    <row r="86" spans="1:118" ht="42" customHeight="1" x14ac:dyDescent="0.45">
      <c r="A86" s="70" t="s">
        <v>125</v>
      </c>
      <c r="C86" s="33" t="s">
        <v>121</v>
      </c>
      <c r="D86" s="33" t="s">
        <v>711</v>
      </c>
      <c r="G86" s="33" t="s">
        <v>2</v>
      </c>
      <c r="H86" s="33" t="s">
        <v>0</v>
      </c>
      <c r="K86" s="33" t="s">
        <v>245</v>
      </c>
      <c r="L86" s="33" t="s">
        <v>651</v>
      </c>
      <c r="X86" s="59">
        <v>43769</v>
      </c>
      <c r="Z86" s="42" t="str">
        <f t="shared" si="16"/>
        <v>IPK</v>
      </c>
      <c r="AA86" s="33" t="s">
        <v>116</v>
      </c>
      <c r="AB86" s="104">
        <v>0</v>
      </c>
      <c r="AC86" s="104">
        <v>0</v>
      </c>
      <c r="AD86" s="104">
        <v>0</v>
      </c>
      <c r="AE86" s="104">
        <v>0</v>
      </c>
      <c r="AF86" s="104">
        <v>0</v>
      </c>
      <c r="AG86" s="42" t="str">
        <f t="shared" si="18"/>
        <v>ITA</v>
      </c>
      <c r="AH86" s="33" t="s">
        <v>378</v>
      </c>
      <c r="AI86" s="33" t="s">
        <v>130</v>
      </c>
      <c r="AJ86" s="104">
        <v>0</v>
      </c>
      <c r="AL86" s="104">
        <v>0</v>
      </c>
      <c r="AM86" s="104">
        <v>23095</v>
      </c>
      <c r="AN86" s="104">
        <v>0</v>
      </c>
      <c r="AO86" s="42" t="s">
        <v>116</v>
      </c>
      <c r="AP86" s="33" t="s">
        <v>116</v>
      </c>
      <c r="AQ86" s="104">
        <v>0</v>
      </c>
      <c r="AR86" s="104">
        <v>0</v>
      </c>
      <c r="AS86" s="104">
        <v>0</v>
      </c>
      <c r="AT86" s="104">
        <v>0</v>
      </c>
      <c r="AU86" s="104">
        <v>0</v>
      </c>
      <c r="AV86" s="42" t="s">
        <v>116</v>
      </c>
      <c r="AW86" s="33" t="s">
        <v>116</v>
      </c>
      <c r="AX86" s="104">
        <v>0</v>
      </c>
      <c r="AY86" s="104">
        <v>0</v>
      </c>
      <c r="AZ86" s="104">
        <v>0</v>
      </c>
      <c r="BA86" s="104">
        <v>0</v>
      </c>
      <c r="BB86" s="104">
        <v>0</v>
      </c>
      <c r="BC86" s="42" t="s">
        <v>121</v>
      </c>
      <c r="BE86" s="104">
        <v>23095</v>
      </c>
      <c r="BF86" s="101">
        <v>0</v>
      </c>
      <c r="BG86" s="33" t="s">
        <v>116</v>
      </c>
      <c r="BH86" s="33" t="s">
        <v>116</v>
      </c>
      <c r="BI86" s="104">
        <v>0</v>
      </c>
      <c r="BJ86" s="101">
        <v>0</v>
      </c>
      <c r="BK86" s="33" t="s">
        <v>116</v>
      </c>
      <c r="BL86" s="33" t="s">
        <v>116</v>
      </c>
      <c r="BM86" s="104">
        <v>0</v>
      </c>
      <c r="BN86" s="101">
        <v>0</v>
      </c>
      <c r="BO86" s="33" t="s">
        <v>116</v>
      </c>
      <c r="BP86" s="33" t="s">
        <v>116</v>
      </c>
      <c r="BQ86" s="104">
        <v>0</v>
      </c>
      <c r="BR86" s="101">
        <v>0</v>
      </c>
      <c r="BS86" s="33" t="s">
        <v>116</v>
      </c>
      <c r="BT86" s="33" t="s">
        <v>116</v>
      </c>
      <c r="BU86" s="101">
        <v>0</v>
      </c>
      <c r="BV86" s="33" t="s">
        <v>116</v>
      </c>
      <c r="BW86" s="33" t="s">
        <v>116</v>
      </c>
      <c r="BX86" s="101">
        <v>0</v>
      </c>
      <c r="BY86" s="44">
        <f>Tabelle4[[#This Row],[Industry Funding from DE (IPK)]]+Tabelle4[[#This Row],[Industry Funding from BR (IPK)]]+Tabelle4[[#This Row],[Public Funding from DE (IPK)]]+Tabelle4[[#This Row],[Public Funding from BR (IPK)]]+Tabelle4[[#This Row],[In-kind Contribution (IPK)]]</f>
        <v>0</v>
      </c>
      <c r="BZ86" s="44">
        <f>Tabelle4[[#This Row],[Industry Funding from DE (IPK)]]+Tabelle4[[#This Row],[Industry Funding from BR (IPK)]]+Tabelle4[[#This Row],[Public Funding from DE (IPK)]]+Tabelle4[[#This Row],[Public Funding from BR (IPK)]]</f>
        <v>0</v>
      </c>
      <c r="CA86" s="44">
        <f>Tabelle4[[#This Row],[Industry Funding from DE (IPK)]]+Tabelle4[[#This Row],[Industry Funding from BR (IPK)]]</f>
        <v>0</v>
      </c>
      <c r="CB86" s="44">
        <f>Tabelle4[[#This Row],[Public Funding from DE (IPK)]]+Tabelle4[[#This Row],[Public Funding from BR (IPK)]]</f>
        <v>0</v>
      </c>
      <c r="CC86" s="44">
        <f>Tabelle4[[#This Row],[In-kind Contribution (IPK)]]</f>
        <v>0</v>
      </c>
      <c r="CD86" s="47" t="e">
        <f>(Tabelle4[[#This Row],[Total Industry Funding (IPK)]] + Tabelle4[[#This Row],[Total Public Funding (IPK)]])/Tabelle4[[#This Row],[Total Project Volume (IPK)]]</f>
        <v>#DIV/0!</v>
      </c>
      <c r="CE86" s="47" t="e">
        <f>Tabelle4[[#This Row],[Total Industry Funding (IPK)]] / Tabelle4[[#This Row],[Total Project Volume (IPK)]]</f>
        <v>#DIV/0!</v>
      </c>
      <c r="CF86" s="33" t="str">
        <f>Tabelle4[[#This Row],[Project Funding Classification]]</f>
        <v>Industry</v>
      </c>
      <c r="CG86" s="44">
        <f>Tabelle4[[#This Row],[Industry Funding from DE (IPK)]]+Tabelle4[[#This Row],[Public Funding from DE (IPK)]]</f>
        <v>0</v>
      </c>
      <c r="CH86" s="46">
        <f>Tabelle4[[#This Row],[Industry Funding from BR (IPK)]]+Tabelle4[[#This Row],[Public Funding from BR (IPK)]]</f>
        <v>0</v>
      </c>
      <c r="CI86" s="44">
        <f>Tabelle4[[#This Row],[Industry Funding from DE (ITA)]]+Tabelle4[[#This Row],[Industry Funding from BR (ITA)]]+Tabelle4[[#This Row],[Public Funding from DE (ITA)]]+Tabelle4[[#This Row],[Public Funding from BR (ITA)]]</f>
        <v>23095</v>
      </c>
      <c r="CJ86" s="44">
        <f>Tabelle4[[#This Row],[Industry Funding from DE (ITA)]]+Tabelle4[[#This Row],[Industry Funding from BR (ITA)]]</f>
        <v>0</v>
      </c>
      <c r="CK86" s="44">
        <f>Tabelle4[[#This Row],[Public Funding from DE (ITA)]]+Tabelle4[[#This Row],[Public Funding from BR (ITA)]]</f>
        <v>23095</v>
      </c>
      <c r="CL86" s="47">
        <f>Tabelle4[[#This Row],[Total Industry Funding (ITA)]]/Tabelle4[[#This Row],[Total Project Volume (ITA)]]</f>
        <v>0</v>
      </c>
      <c r="CM86" s="33" t="str">
        <f>IF(Tabelle4[[#This Row],[Funding Ratio (ITA)]]&lt;0.5,"Public Funding","Industry")</f>
        <v>Public Funding</v>
      </c>
      <c r="CN86" s="44">
        <f>Tabelle4[[#This Row],[Industry Funding from DE (ITA)]]+Tabelle4[[#This Row],[Public Funding from DE (ITA)]]</f>
        <v>0</v>
      </c>
      <c r="CO86" s="46">
        <f>Tabelle4[[#This Row],[Industry Funding from BR (ITA)]]+Tabelle4[[#This Row],[Public Funding from BR (ITA)]]</f>
        <v>23095</v>
      </c>
      <c r="CP86" s="44">
        <f>Tabelle4[[#This Row],[Total Project Volume (IPK)]]+Tabelle4[[#This Row],[Total Project Volume (ITA)]]</f>
        <v>23095</v>
      </c>
      <c r="CQ86" s="44">
        <f>Tabelle4[[#This Row],[Total Industry Funding (IPK)]]+Tabelle4[[#This Row],[Total Industry Funding (ITA)]]</f>
        <v>0</v>
      </c>
      <c r="CR86" s="44">
        <f>Tabelle4[[#This Row],[Industry Funding from DE (IPK)]]+Tabelle4[[#This Row],[Industry Funding from DE (ITA)]]</f>
        <v>0</v>
      </c>
      <c r="CS86" s="44">
        <f>Tabelle4[[#This Row],[Industry Funding from BR (IPK)]]+Tabelle4[[#This Row],[Industry Funding from BR (ITA)]]</f>
        <v>0</v>
      </c>
      <c r="CT86" s="44">
        <f>Tabelle4[[#This Row],[Total Public Funding (IPK)]]+Tabelle4[[#This Row],[Total Public Funding (ITA)]]</f>
        <v>23095</v>
      </c>
      <c r="CU86" s="44">
        <f>Tabelle4[[#This Row],[Public Funding from DE (IPK)]]+Tabelle4[[#This Row],[Public Funding from DE (ITA)]]</f>
        <v>0</v>
      </c>
      <c r="CV86" s="44">
        <f>Tabelle4[[#This Row],[Public Funding from BR (IPK)]]+Tabelle4[[#This Row],[Public Funding from BR (ITA)]]</f>
        <v>23095</v>
      </c>
      <c r="CW86" s="44">
        <f>Tabelle4[[#This Row],[Industry Funding from DE (FPC)]]+Tabelle4[[#This Row],[Public Funding from DE (FPC)]]</f>
        <v>0</v>
      </c>
      <c r="CX86" s="46">
        <f>Tabelle4[[#This Row],[Industry Funding from BR (FPC)]]+Tabelle4[[#This Row],[Public Funding from BR (FPC)]]</f>
        <v>23095</v>
      </c>
      <c r="CY86" s="44">
        <f>Tabelle4[[#This Row],[Total Financial Budget (Other)]]+Tabelle4[[#This Row],[Total In-kind Contribution (Other)]]</f>
        <v>0</v>
      </c>
      <c r="CZ8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86" s="44">
        <f>Tabelle4[[#This Row],[In-kind Contribution (R&amp;D III)]]+Tabelle4[[#This Row],[In-kind Contribution (R&amp;D IV)]]</f>
        <v>0</v>
      </c>
      <c r="DB86" s="158">
        <f>Tabelle4[[#This Row],[Total Budget (FPC)]]+Tabelle4[[#This Row],[Total Volume (Other)]]</f>
        <v>23095</v>
      </c>
      <c r="DC86" s="104">
        <f>Tabelle4[[#This Row],[Total Revenues (IPK)]]</f>
        <v>0</v>
      </c>
      <c r="DD86" s="47">
        <v>0</v>
      </c>
      <c r="DE86" s="44">
        <f>Tabelle4[[#This Row],[Total Revenues IPK]]*Tabelle4[[#This Row],[Probability of Success]]</f>
        <v>0</v>
      </c>
      <c r="DK86" s="47">
        <v>0</v>
      </c>
      <c r="DL86" s="44">
        <f>Tabelle4[[#This Row],[Real Budget IPK]]*Tabelle4[[#This Row],[Acquisition Factor OE810]]</f>
        <v>0</v>
      </c>
      <c r="DM86" s="44">
        <v>0</v>
      </c>
      <c r="DN86" s="46">
        <f>Tabelle4[[#This Row],[Acquisition Bonus OE810]]+Tabelle4[[#This Row],[Project Execution OE810]]</f>
        <v>0</v>
      </c>
    </row>
    <row r="87" spans="1:118" ht="42" customHeight="1" x14ac:dyDescent="0.45">
      <c r="A87" s="42" t="s">
        <v>158</v>
      </c>
      <c r="C87" s="33" t="s">
        <v>138</v>
      </c>
      <c r="D87" s="33" t="s">
        <v>705</v>
      </c>
      <c r="G87" s="33" t="s">
        <v>1</v>
      </c>
      <c r="H87" s="33" t="s">
        <v>0</v>
      </c>
      <c r="K87" s="33" t="s">
        <v>246</v>
      </c>
      <c r="Y87" s="59">
        <v>43709</v>
      </c>
      <c r="Z87" s="42" t="str">
        <f t="shared" si="16"/>
        <v>IPK</v>
      </c>
      <c r="AC87" s="61">
        <v>76000</v>
      </c>
      <c r="AG87" s="42" t="str">
        <f t="shared" si="18"/>
        <v>ITA</v>
      </c>
      <c r="AO87" s="42"/>
      <c r="AU87" s="104"/>
      <c r="AV87" s="42"/>
      <c r="BC87" s="42" t="s">
        <v>138</v>
      </c>
      <c r="BE87" s="104">
        <v>76000</v>
      </c>
      <c r="BF87" s="65"/>
      <c r="BY87" s="44">
        <f>Tabelle4[[#This Row],[Industry Funding from DE (IPK)]]+Tabelle4[[#This Row],[Industry Funding from BR (IPK)]]+Tabelle4[[#This Row],[Public Funding from DE (IPK)]]+Tabelle4[[#This Row],[Public Funding from BR (IPK)]]+Tabelle4[[#This Row],[In-kind Contribution (IPK)]]</f>
        <v>76000</v>
      </c>
      <c r="BZ87" s="44">
        <f>Tabelle4[[#This Row],[Industry Funding from DE (IPK)]]+Tabelle4[[#This Row],[Industry Funding from BR (IPK)]]+Tabelle4[[#This Row],[Public Funding from DE (IPK)]]+Tabelle4[[#This Row],[Public Funding from BR (IPK)]]</f>
        <v>76000</v>
      </c>
      <c r="CA87" s="44">
        <f>Tabelle4[[#This Row],[Industry Funding from DE (IPK)]]+Tabelle4[[#This Row],[Industry Funding from BR (IPK)]]</f>
        <v>76000</v>
      </c>
      <c r="CB87" s="44">
        <f>Tabelle4[[#This Row],[Public Funding from DE (IPK)]]+Tabelle4[[#This Row],[Public Funding from BR (IPK)]]</f>
        <v>0</v>
      </c>
      <c r="CC87" s="44">
        <f>Tabelle4[[#This Row],[In-kind Contribution (IPK)]]</f>
        <v>0</v>
      </c>
      <c r="CD87" s="47">
        <f>(Tabelle4[[#This Row],[Total Industry Funding (IPK)]] + Tabelle4[[#This Row],[Total Public Funding (IPK)]])/Tabelle4[[#This Row],[Total Project Volume (IPK)]]</f>
        <v>1</v>
      </c>
      <c r="CE87" s="47">
        <f>Tabelle4[[#This Row],[Total Industry Funding (IPK)]] / Tabelle4[[#This Row],[Total Project Volume (IPK)]]</f>
        <v>1</v>
      </c>
      <c r="CF87" s="33" t="str">
        <f>Tabelle4[[#This Row],[Project Funding Classification]]</f>
        <v>Industry</v>
      </c>
      <c r="CG87" s="44">
        <f>Tabelle4[[#This Row],[Industry Funding from DE (IPK)]]+Tabelle4[[#This Row],[Public Funding from DE (IPK)]]</f>
        <v>0</v>
      </c>
      <c r="CH87" s="46">
        <f>Tabelle4[[#This Row],[Industry Funding from BR (IPK)]]+Tabelle4[[#This Row],[Public Funding from BR (IPK)]]</f>
        <v>76000</v>
      </c>
      <c r="CI87" s="44">
        <f>Tabelle4[[#This Row],[Industry Funding from DE (ITA)]]+Tabelle4[[#This Row],[Industry Funding from BR (ITA)]]+Tabelle4[[#This Row],[Public Funding from DE (ITA)]]+Tabelle4[[#This Row],[Public Funding from BR (ITA)]]</f>
        <v>0</v>
      </c>
      <c r="CJ87" s="44">
        <f>Tabelle4[[#This Row],[Industry Funding from DE (ITA)]]+Tabelle4[[#This Row],[Industry Funding from BR (ITA)]]</f>
        <v>0</v>
      </c>
      <c r="CK87" s="44">
        <f>Tabelle4[[#This Row],[Public Funding from DE (ITA)]]+Tabelle4[[#This Row],[Public Funding from BR (ITA)]]</f>
        <v>0</v>
      </c>
      <c r="CL87" s="47" t="e">
        <f>Tabelle4[[#This Row],[Total Industry Funding (ITA)]]/Tabelle4[[#This Row],[Total Project Volume (ITA)]]</f>
        <v>#DIV/0!</v>
      </c>
      <c r="CM87" s="33" t="e">
        <f>IF(Tabelle4[[#This Row],[Funding Ratio (ITA)]]&lt;0.5,"Public Funding","Industry")</f>
        <v>#DIV/0!</v>
      </c>
      <c r="CN87" s="44">
        <f>Tabelle4[[#This Row],[Industry Funding from DE (ITA)]]+Tabelle4[[#This Row],[Public Funding from DE (ITA)]]</f>
        <v>0</v>
      </c>
      <c r="CO87" s="46">
        <f>Tabelle4[[#This Row],[Industry Funding from BR (ITA)]]+Tabelle4[[#This Row],[Public Funding from BR (ITA)]]</f>
        <v>0</v>
      </c>
      <c r="CP87" s="44">
        <f>Tabelle4[[#This Row],[Total Project Volume (IPK)]]+Tabelle4[[#This Row],[Total Project Volume (ITA)]]</f>
        <v>76000</v>
      </c>
      <c r="CQ87" s="44">
        <f>Tabelle4[[#This Row],[Total Industry Funding (IPK)]]+Tabelle4[[#This Row],[Total Industry Funding (ITA)]]</f>
        <v>76000</v>
      </c>
      <c r="CR87" s="44">
        <f>Tabelle4[[#This Row],[Industry Funding from DE (IPK)]]+Tabelle4[[#This Row],[Industry Funding from DE (ITA)]]</f>
        <v>0</v>
      </c>
      <c r="CS87" s="44">
        <f>Tabelle4[[#This Row],[Industry Funding from BR (IPK)]]+Tabelle4[[#This Row],[Industry Funding from BR (ITA)]]</f>
        <v>76000</v>
      </c>
      <c r="CT87" s="44">
        <f>Tabelle4[[#This Row],[Total Public Funding (IPK)]]+Tabelle4[[#This Row],[Total Public Funding (ITA)]]</f>
        <v>0</v>
      </c>
      <c r="CU87" s="44">
        <f>Tabelle4[[#This Row],[Public Funding from DE (IPK)]]+Tabelle4[[#This Row],[Public Funding from DE (ITA)]]</f>
        <v>0</v>
      </c>
      <c r="CV87" s="44">
        <f>Tabelle4[[#This Row],[Public Funding from BR (IPK)]]+Tabelle4[[#This Row],[Public Funding from BR (ITA)]]</f>
        <v>0</v>
      </c>
      <c r="CW87" s="44">
        <f>Tabelle4[[#This Row],[Industry Funding from DE (FPC)]]+Tabelle4[[#This Row],[Public Funding from DE (FPC)]]</f>
        <v>0</v>
      </c>
      <c r="CX87" s="46">
        <f>Tabelle4[[#This Row],[Industry Funding from BR (FPC)]]+Tabelle4[[#This Row],[Public Funding from BR (FPC)]]</f>
        <v>76000</v>
      </c>
      <c r="CY87" s="44">
        <f>Tabelle4[[#This Row],[Total Financial Budget (Other)]]+Tabelle4[[#This Row],[Total In-kind Contribution (Other)]]</f>
        <v>0</v>
      </c>
      <c r="CZ8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87" s="44">
        <f>Tabelle4[[#This Row],[In-kind Contribution (R&amp;D III)]]+Tabelle4[[#This Row],[In-kind Contribution (R&amp;D IV)]]</f>
        <v>0</v>
      </c>
      <c r="DB87" s="158">
        <f>Tabelle4[[#This Row],[Total Budget (FPC)]]+Tabelle4[[#This Row],[Total Volume (Other)]]</f>
        <v>76000</v>
      </c>
      <c r="DC87" s="104">
        <f>Tabelle4[[#This Row],[Total Revenues (IPK)]]</f>
        <v>76000</v>
      </c>
      <c r="DD87" s="47">
        <v>0</v>
      </c>
      <c r="DE87" s="44">
        <f>Tabelle4[[#This Row],[Total Revenues IPK]]*Tabelle4[[#This Row],[Probability of Success]]</f>
        <v>0</v>
      </c>
      <c r="DK87" s="47">
        <v>0.2</v>
      </c>
      <c r="DL87" s="44">
        <f>Tabelle4[[#This Row],[Real Budget IPK]]*Tabelle4[[#This Row],[Acquisition Factor OE810]]</f>
        <v>0</v>
      </c>
      <c r="DM87" s="44">
        <v>0</v>
      </c>
      <c r="DN87" s="46">
        <f>Tabelle4[[#This Row],[Acquisition Bonus OE810]]+Tabelle4[[#This Row],[Project Execution OE810]]</f>
        <v>0</v>
      </c>
    </row>
    <row r="88" spans="1:118" ht="27.75" x14ac:dyDescent="0.45">
      <c r="A88" s="70" t="s">
        <v>412</v>
      </c>
      <c r="B88" s="49" t="s">
        <v>194</v>
      </c>
      <c r="C88" s="49" t="s">
        <v>177</v>
      </c>
      <c r="D88" s="49" t="s">
        <v>709</v>
      </c>
      <c r="E88" s="49"/>
      <c r="F88" s="49"/>
      <c r="G88" s="49" t="s">
        <v>2</v>
      </c>
      <c r="H88" s="49" t="s">
        <v>0</v>
      </c>
      <c r="I88" s="49"/>
      <c r="J88" s="50"/>
      <c r="K88" s="49" t="s">
        <v>246</v>
      </c>
      <c r="L88" s="49" t="s">
        <v>309</v>
      </c>
      <c r="M88" s="146"/>
      <c r="N88" s="49"/>
      <c r="O88" s="50"/>
      <c r="P88" s="50"/>
      <c r="Q88" s="49">
        <v>24</v>
      </c>
      <c r="R88" s="50"/>
      <c r="S88" s="50"/>
      <c r="T88" s="50"/>
      <c r="U88" s="50">
        <v>43745</v>
      </c>
      <c r="V88" s="50"/>
      <c r="W88" s="50"/>
      <c r="X88" s="50"/>
      <c r="Y88" s="50">
        <v>43767</v>
      </c>
      <c r="Z88" s="48" t="str">
        <f t="shared" si="16"/>
        <v>IPK</v>
      </c>
      <c r="AA88" s="49"/>
      <c r="AB88" s="105"/>
      <c r="AC88" s="105"/>
      <c r="AD88" s="105"/>
      <c r="AE88" s="105"/>
      <c r="AF88" s="105"/>
      <c r="AG88" s="48" t="str">
        <f t="shared" si="18"/>
        <v>ITA</v>
      </c>
      <c r="AH88" s="33" t="s">
        <v>354</v>
      </c>
      <c r="AI88" s="33" t="s">
        <v>320</v>
      </c>
      <c r="AM88" s="104">
        <v>124762</v>
      </c>
      <c r="AO88" s="48"/>
      <c r="AP88" s="49"/>
      <c r="AQ88" s="105"/>
      <c r="AR88" s="105"/>
      <c r="AS88" s="105"/>
      <c r="AT88" s="105"/>
      <c r="AU88" s="105"/>
      <c r="AV88" s="48"/>
      <c r="AW88" s="49"/>
      <c r="AX88" s="105"/>
      <c r="AY88" s="105"/>
      <c r="AZ88" s="105"/>
      <c r="BA88" s="105"/>
      <c r="BB88" s="105"/>
      <c r="BC88" s="48" t="s">
        <v>177</v>
      </c>
      <c r="BD88" s="49"/>
      <c r="BE88" s="105">
        <v>124762</v>
      </c>
      <c r="BF88" s="102"/>
      <c r="BG88" s="49"/>
      <c r="BH88" s="49"/>
      <c r="BI88" s="105"/>
      <c r="BJ88" s="102"/>
      <c r="BK88" s="49"/>
      <c r="BL88" s="49"/>
      <c r="BM88" s="105"/>
      <c r="BN88" s="102"/>
      <c r="BO88" s="49"/>
      <c r="BP88" s="49"/>
      <c r="BQ88" s="105"/>
      <c r="BR88" s="102"/>
      <c r="BS88" s="49"/>
      <c r="BT88" s="49"/>
      <c r="BU88" s="102"/>
      <c r="BV88" s="49"/>
      <c r="BW88" s="49"/>
      <c r="BX88" s="102"/>
      <c r="BY88" s="51">
        <f>Tabelle4[[#This Row],[Industry Funding from DE (IPK)]]+Tabelle4[[#This Row],[Industry Funding from BR (IPK)]]+Tabelle4[[#This Row],[Public Funding from DE (IPK)]]+Tabelle4[[#This Row],[Public Funding from BR (IPK)]]+Tabelle4[[#This Row],[In-kind Contribution (IPK)]]</f>
        <v>0</v>
      </c>
      <c r="BZ88" s="51">
        <f>Tabelle4[[#This Row],[Industry Funding from DE (IPK)]]+Tabelle4[[#This Row],[Industry Funding from BR (IPK)]]+Tabelle4[[#This Row],[Public Funding from DE (IPK)]]+Tabelle4[[#This Row],[Public Funding from BR (IPK)]]</f>
        <v>0</v>
      </c>
      <c r="CA88" s="51">
        <f>Tabelle4[[#This Row],[Industry Funding from DE (IPK)]]+Tabelle4[[#This Row],[Industry Funding from BR (IPK)]]</f>
        <v>0</v>
      </c>
      <c r="CB88" s="51">
        <f>Tabelle4[[#This Row],[Public Funding from DE (IPK)]]+Tabelle4[[#This Row],[Public Funding from BR (IPK)]]</f>
        <v>0</v>
      </c>
      <c r="CC88" s="51">
        <f>Tabelle4[[#This Row],[In-kind Contribution (IPK)]]</f>
        <v>0</v>
      </c>
      <c r="CD88" s="53" t="e">
        <f>(Tabelle4[[#This Row],[Total Industry Funding (IPK)]] + Tabelle4[[#This Row],[Total Public Funding (IPK)]])/Tabelle4[[#This Row],[Total Project Volume (IPK)]]</f>
        <v>#DIV/0!</v>
      </c>
      <c r="CE88" s="53" t="e">
        <f>Tabelle4[[#This Row],[Total Industry Funding (IPK)]] / Tabelle4[[#This Row],[Total Project Volume (IPK)]]</f>
        <v>#DIV/0!</v>
      </c>
      <c r="CF88" s="49" t="str">
        <f>Tabelle4[[#This Row],[Project Funding Classification]]</f>
        <v>Industry</v>
      </c>
      <c r="CG88" s="51">
        <f>Tabelle4[[#This Row],[Industry Funding from DE (IPK)]]+Tabelle4[[#This Row],[Public Funding from DE (IPK)]]</f>
        <v>0</v>
      </c>
      <c r="CH88" s="52">
        <f>Tabelle4[[#This Row],[Industry Funding from BR (IPK)]]+Tabelle4[[#This Row],[Public Funding from BR (IPK)]]</f>
        <v>0</v>
      </c>
      <c r="CI88" s="51">
        <f>Tabelle4[[#This Row],[Industry Funding from DE (ITA)]]+Tabelle4[[#This Row],[Industry Funding from BR (ITA)]]+Tabelle4[[#This Row],[Public Funding from DE (ITA)]]+Tabelle4[[#This Row],[Public Funding from BR (ITA)]]</f>
        <v>124762</v>
      </c>
      <c r="CJ88" s="51">
        <f>Tabelle4[[#This Row],[Industry Funding from DE (ITA)]]+Tabelle4[[#This Row],[Industry Funding from BR (ITA)]]</f>
        <v>0</v>
      </c>
      <c r="CK88" s="51">
        <f>Tabelle4[[#This Row],[Public Funding from DE (ITA)]]+Tabelle4[[#This Row],[Public Funding from BR (ITA)]]</f>
        <v>124762</v>
      </c>
      <c r="CL88" s="53">
        <f>Tabelle4[[#This Row],[Total Industry Funding (ITA)]]/Tabelle4[[#This Row],[Total Project Volume (ITA)]]</f>
        <v>0</v>
      </c>
      <c r="CM88" s="49" t="str">
        <f>IF(Tabelle4[[#This Row],[Funding Ratio (ITA)]]&lt;0.5,"Public Funding","Industry")</f>
        <v>Public Funding</v>
      </c>
      <c r="CN88" s="51">
        <f>Tabelle4[[#This Row],[Industry Funding from DE (ITA)]]+Tabelle4[[#This Row],[Public Funding from DE (ITA)]]</f>
        <v>0</v>
      </c>
      <c r="CO88" s="52">
        <f>Tabelle4[[#This Row],[Industry Funding from BR (ITA)]]+Tabelle4[[#This Row],[Public Funding from BR (ITA)]]</f>
        <v>124762</v>
      </c>
      <c r="CP88" s="51">
        <f>Tabelle4[[#This Row],[Total Project Volume (IPK)]]+Tabelle4[[#This Row],[Total Project Volume (ITA)]]</f>
        <v>124762</v>
      </c>
      <c r="CQ88" s="51">
        <f>Tabelle4[[#This Row],[Total Industry Funding (IPK)]]+Tabelle4[[#This Row],[Total Industry Funding (ITA)]]</f>
        <v>0</v>
      </c>
      <c r="CR88" s="51">
        <f>Tabelle4[[#This Row],[Industry Funding from DE (IPK)]]+Tabelle4[[#This Row],[Industry Funding from DE (ITA)]]</f>
        <v>0</v>
      </c>
      <c r="CS88" s="51">
        <f>Tabelle4[[#This Row],[Industry Funding from BR (IPK)]]+Tabelle4[[#This Row],[Industry Funding from BR (ITA)]]</f>
        <v>0</v>
      </c>
      <c r="CT88" s="51">
        <f>Tabelle4[[#This Row],[Total Public Funding (IPK)]]+Tabelle4[[#This Row],[Total Public Funding (ITA)]]</f>
        <v>124762</v>
      </c>
      <c r="CU88" s="51">
        <f>Tabelle4[[#This Row],[Public Funding from DE (IPK)]]+Tabelle4[[#This Row],[Public Funding from DE (ITA)]]</f>
        <v>0</v>
      </c>
      <c r="CV88" s="51">
        <f>Tabelle4[[#This Row],[Public Funding from BR (IPK)]]+Tabelle4[[#This Row],[Public Funding from BR (ITA)]]</f>
        <v>124762</v>
      </c>
      <c r="CW88" s="51">
        <f>Tabelle4[[#This Row],[Industry Funding from DE (FPC)]]+Tabelle4[[#This Row],[Public Funding from DE (FPC)]]</f>
        <v>0</v>
      </c>
      <c r="CX88" s="52">
        <f>Tabelle4[[#This Row],[Industry Funding from BR (FPC)]]+Tabelle4[[#This Row],[Public Funding from BR (FPC)]]</f>
        <v>124762</v>
      </c>
      <c r="CY88" s="44">
        <f>Tabelle4[[#This Row],[Total Financial Budget (Other)]]+Tabelle4[[#This Row],[Total In-kind Contribution (Other)]]</f>
        <v>0</v>
      </c>
      <c r="CZ88"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88" s="44">
        <f>Tabelle4[[#This Row],[In-kind Contribution (R&amp;D III)]]+Tabelle4[[#This Row],[In-kind Contribution (R&amp;D IV)]]</f>
        <v>0</v>
      </c>
      <c r="DB88" s="158">
        <f>Tabelle4[[#This Row],[Total Budget (FPC)]]+Tabelle4[[#This Row],[Total Volume (Other)]]</f>
        <v>124762</v>
      </c>
      <c r="DC88" s="105">
        <f>Tabelle4[[#This Row],[Total Revenues (IPK)]]</f>
        <v>0</v>
      </c>
      <c r="DD88" s="53"/>
      <c r="DE88" s="51">
        <f>Tabelle4[[#This Row],[Total Revenues IPK]]*Tabelle4[[#This Row],[Probability of Success]]</f>
        <v>0</v>
      </c>
      <c r="DF88" s="51"/>
      <c r="DG88" s="51"/>
      <c r="DH88" s="51"/>
      <c r="DI88" s="51"/>
      <c r="DJ88" s="51"/>
      <c r="DK88" s="53"/>
      <c r="DL88" s="51">
        <f>Tabelle4[[#This Row],[Real Budget IPK]]*Tabelle4[[#This Row],[Acquisition Factor OE810]]</f>
        <v>0</v>
      </c>
      <c r="DM88" s="51">
        <v>0</v>
      </c>
      <c r="DN88" s="52">
        <f>Tabelle4[[#This Row],[Acquisition Bonus OE810]]+Tabelle4[[#This Row],[Project Execution OE810]]</f>
        <v>0</v>
      </c>
    </row>
    <row r="89" spans="1:118" ht="29.25" customHeight="1" x14ac:dyDescent="0.45">
      <c r="A89" s="42" t="s">
        <v>790</v>
      </c>
      <c r="C89" s="33" t="s">
        <v>157</v>
      </c>
      <c r="D89" s="33" t="s">
        <v>711</v>
      </c>
      <c r="G89" s="33" t="s">
        <v>97</v>
      </c>
      <c r="H89" s="33" t="s">
        <v>96</v>
      </c>
      <c r="K89" s="33" t="s">
        <v>245</v>
      </c>
      <c r="L89" s="33" t="s">
        <v>651</v>
      </c>
      <c r="Q89" s="33">
        <v>3</v>
      </c>
      <c r="W89" s="59">
        <v>43466</v>
      </c>
      <c r="X89" s="59">
        <v>43585</v>
      </c>
      <c r="Z89" s="42" t="str">
        <f t="shared" si="16"/>
        <v>IPK</v>
      </c>
      <c r="AD89" s="61">
        <v>8400</v>
      </c>
      <c r="AG89" s="42" t="str">
        <f t="shared" si="18"/>
        <v>ITA</v>
      </c>
      <c r="AO89" s="42"/>
      <c r="AU89" s="104"/>
      <c r="AV89" s="42"/>
      <c r="BC89" s="42"/>
      <c r="BF89" s="65"/>
      <c r="BS89" s="33" t="s">
        <v>157</v>
      </c>
      <c r="BU89" s="65">
        <v>8400</v>
      </c>
      <c r="BY89" s="44">
        <f>Tabelle4[[#This Row],[Industry Funding from DE (IPK)]]+Tabelle4[[#This Row],[Industry Funding from BR (IPK)]]+Tabelle4[[#This Row],[Public Funding from DE (IPK)]]+Tabelle4[[#This Row],[Public Funding from BR (IPK)]]+Tabelle4[[#This Row],[In-kind Contribution (IPK)]]</f>
        <v>8400</v>
      </c>
      <c r="BZ89" s="44">
        <f>Tabelle4[[#This Row],[Industry Funding from DE (IPK)]]+Tabelle4[[#This Row],[Industry Funding from BR (IPK)]]+Tabelle4[[#This Row],[Public Funding from DE (IPK)]]+Tabelle4[[#This Row],[Public Funding from BR (IPK)]]</f>
        <v>8400</v>
      </c>
      <c r="CA89" s="44">
        <f>Tabelle4[[#This Row],[Industry Funding from DE (IPK)]]+Tabelle4[[#This Row],[Industry Funding from BR (IPK)]]</f>
        <v>0</v>
      </c>
      <c r="CB89" s="44">
        <f>Tabelle4[[#This Row],[Public Funding from DE (IPK)]]+Tabelle4[[#This Row],[Public Funding from BR (IPK)]]</f>
        <v>8400</v>
      </c>
      <c r="CC89" s="44">
        <f>Tabelle4[[#This Row],[In-kind Contribution (IPK)]]</f>
        <v>0</v>
      </c>
      <c r="CD89" s="47">
        <f>(Tabelle4[[#This Row],[Total Industry Funding (IPK)]] + Tabelle4[[#This Row],[Total Public Funding (IPK)]])/Tabelle4[[#This Row],[Total Project Volume (IPK)]]</f>
        <v>1</v>
      </c>
      <c r="CE89" s="47">
        <f>Tabelle4[[#This Row],[Total Industry Funding (IPK)]] / Tabelle4[[#This Row],[Total Project Volume (IPK)]]</f>
        <v>0</v>
      </c>
      <c r="CF89" s="33" t="str">
        <f>Tabelle4[[#This Row],[Project Funding Classification]]</f>
        <v>Public Funding</v>
      </c>
      <c r="CG89" s="44">
        <f>Tabelle4[[#This Row],[Industry Funding from DE (IPK)]]+Tabelle4[[#This Row],[Public Funding from DE (IPK)]]</f>
        <v>8400</v>
      </c>
      <c r="CH89" s="46">
        <f>Tabelle4[[#This Row],[Industry Funding from BR (IPK)]]+Tabelle4[[#This Row],[Public Funding from BR (IPK)]]</f>
        <v>0</v>
      </c>
      <c r="CI89" s="44">
        <f>Tabelle4[[#This Row],[Industry Funding from DE (ITA)]]+Tabelle4[[#This Row],[Industry Funding from BR (ITA)]]+Tabelle4[[#This Row],[Public Funding from DE (ITA)]]+Tabelle4[[#This Row],[Public Funding from BR (ITA)]]</f>
        <v>0</v>
      </c>
      <c r="CJ89" s="44">
        <f>Tabelle4[[#This Row],[Industry Funding from DE (ITA)]]+Tabelle4[[#This Row],[Industry Funding from BR (ITA)]]</f>
        <v>0</v>
      </c>
      <c r="CK89" s="44">
        <f>Tabelle4[[#This Row],[Public Funding from DE (ITA)]]+Tabelle4[[#This Row],[Public Funding from BR (ITA)]]</f>
        <v>0</v>
      </c>
      <c r="CL89" s="47" t="e">
        <f>Tabelle4[[#This Row],[Total Industry Funding (ITA)]]/Tabelle4[[#This Row],[Total Project Volume (ITA)]]</f>
        <v>#DIV/0!</v>
      </c>
      <c r="CM89" s="33" t="e">
        <f>IF(Tabelle4[[#This Row],[Funding Ratio (ITA)]]&lt;0.5,"Public Funding","Industry")</f>
        <v>#DIV/0!</v>
      </c>
      <c r="CN89" s="44">
        <f>Tabelle4[[#This Row],[Industry Funding from DE (ITA)]]+Tabelle4[[#This Row],[Public Funding from DE (ITA)]]</f>
        <v>0</v>
      </c>
      <c r="CO89" s="46">
        <f>Tabelle4[[#This Row],[Industry Funding from BR (ITA)]]+Tabelle4[[#This Row],[Public Funding from BR (ITA)]]</f>
        <v>0</v>
      </c>
      <c r="CP89" s="44">
        <f>Tabelle4[[#This Row],[Total Project Volume (IPK)]]+Tabelle4[[#This Row],[Total Project Volume (ITA)]]</f>
        <v>8400</v>
      </c>
      <c r="CQ89" s="44">
        <f>Tabelle4[[#This Row],[Total Industry Funding (IPK)]]+Tabelle4[[#This Row],[Total Industry Funding (ITA)]]</f>
        <v>0</v>
      </c>
      <c r="CR89" s="44">
        <f>Tabelle4[[#This Row],[Industry Funding from DE (IPK)]]+Tabelle4[[#This Row],[Industry Funding from DE (ITA)]]</f>
        <v>0</v>
      </c>
      <c r="CS89" s="44">
        <f>Tabelle4[[#This Row],[Industry Funding from BR (IPK)]]+Tabelle4[[#This Row],[Industry Funding from BR (ITA)]]</f>
        <v>0</v>
      </c>
      <c r="CT89" s="44">
        <f>Tabelle4[[#This Row],[Total Public Funding (IPK)]]+Tabelle4[[#This Row],[Total Public Funding (ITA)]]</f>
        <v>8400</v>
      </c>
      <c r="CU89" s="44">
        <f>Tabelle4[[#This Row],[Public Funding from DE (IPK)]]+Tabelle4[[#This Row],[Public Funding from DE (ITA)]]</f>
        <v>8400</v>
      </c>
      <c r="CV89" s="44">
        <f>Tabelle4[[#This Row],[Public Funding from BR (IPK)]]+Tabelle4[[#This Row],[Public Funding from BR (ITA)]]</f>
        <v>0</v>
      </c>
      <c r="CW89" s="44">
        <f>Tabelle4[[#This Row],[Industry Funding from DE (FPC)]]+Tabelle4[[#This Row],[Public Funding from DE (FPC)]]</f>
        <v>8400</v>
      </c>
      <c r="CX89" s="46">
        <f>Tabelle4[[#This Row],[Industry Funding from BR (FPC)]]+Tabelle4[[#This Row],[Public Funding from BR (FPC)]]</f>
        <v>0</v>
      </c>
      <c r="CY89" s="44">
        <f>Tabelle4[[#This Row],[Total Financial Budget (Other)]]+Tabelle4[[#This Row],[Total In-kind Contribution (Other)]]</f>
        <v>0</v>
      </c>
      <c r="CZ8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89" s="44">
        <f>Tabelle4[[#This Row],[In-kind Contribution (R&amp;D III)]]+Tabelle4[[#This Row],[In-kind Contribution (R&amp;D IV)]]</f>
        <v>0</v>
      </c>
      <c r="DB89" s="158">
        <f>Tabelle4[[#This Row],[Total Budget (FPC)]]+Tabelle4[[#This Row],[Total Volume (Other)]]</f>
        <v>8400</v>
      </c>
      <c r="DC89" s="104">
        <f>Tabelle4[[#This Row],[Total Revenues (IPK)]]</f>
        <v>8400</v>
      </c>
      <c r="DD89" s="47">
        <v>1</v>
      </c>
      <c r="DE89" s="44">
        <f>Tabelle4[[#This Row],[Total Revenues IPK]]*Tabelle4[[#This Row],[Probability of Success]]</f>
        <v>8400</v>
      </c>
      <c r="DH89" s="44">
        <v>8400</v>
      </c>
      <c r="DL89" s="44">
        <f>Tabelle4[[#This Row],[Real Budget IPK]]*Tabelle4[[#This Row],[Acquisition Factor OE810]]</f>
        <v>0</v>
      </c>
      <c r="DM89" s="44">
        <v>4000</v>
      </c>
      <c r="DN89" s="46">
        <f>Tabelle4[[#This Row],[Acquisition Bonus OE810]]+Tabelle4[[#This Row],[Project Execution OE810]]</f>
        <v>4000</v>
      </c>
    </row>
    <row r="90" spans="1:118" ht="41.65" x14ac:dyDescent="0.45">
      <c r="A90" s="70" t="s">
        <v>443</v>
      </c>
      <c r="B90" s="33" t="s">
        <v>373</v>
      </c>
      <c r="C90" s="57" t="s">
        <v>445</v>
      </c>
      <c r="D90" s="57" t="s">
        <v>705</v>
      </c>
      <c r="E90" s="33">
        <v>1</v>
      </c>
      <c r="F90" s="33">
        <v>0</v>
      </c>
      <c r="G90" s="33" t="s">
        <v>2</v>
      </c>
      <c r="H90" s="33" t="s">
        <v>0</v>
      </c>
      <c r="I90" s="33" t="s">
        <v>581</v>
      </c>
      <c r="K90" s="33" t="s">
        <v>246</v>
      </c>
      <c r="L90" s="43" t="s">
        <v>309</v>
      </c>
      <c r="Q90" s="58"/>
      <c r="S90" s="59">
        <v>43745</v>
      </c>
      <c r="Z90" s="42" t="str">
        <f t="shared" si="16"/>
        <v>IPK</v>
      </c>
      <c r="AG90" s="42" t="str">
        <f t="shared" si="18"/>
        <v>ITA</v>
      </c>
      <c r="AH90" s="33" t="s">
        <v>728</v>
      </c>
      <c r="AI90" s="33" t="s">
        <v>728</v>
      </c>
      <c r="AK90" s="64"/>
      <c r="AL90" s="64"/>
      <c r="AM90" s="64"/>
      <c r="AO90" s="42"/>
      <c r="AQ90" s="64"/>
      <c r="AU90" s="64"/>
      <c r="AV90" s="42"/>
      <c r="AW90" s="114"/>
      <c r="BC90" s="42"/>
      <c r="BD90" s="114"/>
      <c r="BE90" s="64"/>
      <c r="BF90" s="65"/>
      <c r="BU90" s="67"/>
      <c r="BV90" s="114"/>
      <c r="BY90" s="44">
        <f>Tabelle4[[#This Row],[Industry Funding from DE (IPK)]]+Tabelle4[[#This Row],[Industry Funding from BR (IPK)]]+Tabelle4[[#This Row],[Public Funding from DE (IPK)]]+Tabelle4[[#This Row],[Public Funding from BR (IPK)]]+Tabelle4[[#This Row],[In-kind Contribution (IPK)]]</f>
        <v>0</v>
      </c>
      <c r="BZ90" s="44">
        <f>Tabelle4[[#This Row],[Industry Funding from DE (IPK)]]+Tabelle4[[#This Row],[Industry Funding from BR (IPK)]]+Tabelle4[[#This Row],[Public Funding from DE (IPK)]]+Tabelle4[[#This Row],[Public Funding from BR (IPK)]]</f>
        <v>0</v>
      </c>
      <c r="CA90" s="44">
        <f>Tabelle4[[#This Row],[Industry Funding from DE (IPK)]]+Tabelle4[[#This Row],[Industry Funding from BR (IPK)]]</f>
        <v>0</v>
      </c>
      <c r="CB90" s="44">
        <f>Tabelle4[[#This Row],[Public Funding from DE (IPK)]]+Tabelle4[[#This Row],[Public Funding from BR (IPK)]]</f>
        <v>0</v>
      </c>
      <c r="CC90" s="44">
        <f>Tabelle4[[#This Row],[In-kind Contribution (IPK)]]</f>
        <v>0</v>
      </c>
      <c r="CD90" s="47" t="e">
        <f>(Tabelle4[[#This Row],[Total Industry Funding (IPK)]] + Tabelle4[[#This Row],[Total Public Funding (IPK)]])/Tabelle4[[#This Row],[Total Project Volume (IPK)]]</f>
        <v>#DIV/0!</v>
      </c>
      <c r="CE90" s="47" t="e">
        <f>Tabelle4[[#This Row],[Total Industry Funding (IPK)]] / Tabelle4[[#This Row],[Total Project Volume (IPK)]]</f>
        <v>#DIV/0!</v>
      </c>
      <c r="CF90" s="33" t="str">
        <f>Tabelle4[[#This Row],[Project Funding Classification]]</f>
        <v>Industry</v>
      </c>
      <c r="CG90" s="44">
        <f>Tabelle4[[#This Row],[Industry Funding from DE (IPK)]]+Tabelle4[[#This Row],[Public Funding from DE (IPK)]]</f>
        <v>0</v>
      </c>
      <c r="CH90" s="46">
        <f>Tabelle4[[#This Row],[Industry Funding from BR (IPK)]]+Tabelle4[[#This Row],[Public Funding from BR (IPK)]]</f>
        <v>0</v>
      </c>
      <c r="CI90" s="44">
        <f>Tabelle4[[#This Row],[Industry Funding from DE (ITA)]]+Tabelle4[[#This Row],[Industry Funding from BR (ITA)]]+Tabelle4[[#This Row],[Public Funding from DE (ITA)]]+Tabelle4[[#This Row],[Public Funding from BR (ITA)]]</f>
        <v>0</v>
      </c>
      <c r="CJ90" s="44">
        <f>Tabelle4[[#This Row],[Industry Funding from DE (ITA)]]+Tabelle4[[#This Row],[Industry Funding from BR (ITA)]]</f>
        <v>0</v>
      </c>
      <c r="CK90" s="44">
        <f>Tabelle4[[#This Row],[Public Funding from DE (ITA)]]+Tabelle4[[#This Row],[Public Funding from BR (ITA)]]</f>
        <v>0</v>
      </c>
      <c r="CL90" s="47" t="e">
        <f>Tabelle4[[#This Row],[Total Industry Funding (ITA)]]/Tabelle4[[#This Row],[Total Project Volume (ITA)]]</f>
        <v>#DIV/0!</v>
      </c>
      <c r="CM90" s="33" t="e">
        <f>IF(Tabelle4[[#This Row],[Funding Ratio (ITA)]]&lt;0.5,"Public Funding","Industry")</f>
        <v>#DIV/0!</v>
      </c>
      <c r="CN90" s="44">
        <f>Tabelle4[[#This Row],[Industry Funding from DE (ITA)]]+Tabelle4[[#This Row],[Public Funding from DE (ITA)]]</f>
        <v>0</v>
      </c>
      <c r="CO90" s="46">
        <f>Tabelle4[[#This Row],[Industry Funding from BR (ITA)]]+Tabelle4[[#This Row],[Public Funding from BR (ITA)]]</f>
        <v>0</v>
      </c>
      <c r="CP90" s="44">
        <f>Tabelle4[[#This Row],[Total Project Volume (IPK)]]+Tabelle4[[#This Row],[Total Project Volume (ITA)]]</f>
        <v>0</v>
      </c>
      <c r="CQ90" s="44">
        <f>Tabelle4[[#This Row],[Total Industry Funding (IPK)]]+Tabelle4[[#This Row],[Total Industry Funding (ITA)]]</f>
        <v>0</v>
      </c>
      <c r="CR90" s="44">
        <f>Tabelle4[[#This Row],[Industry Funding from DE (IPK)]]+Tabelle4[[#This Row],[Industry Funding from DE (ITA)]]</f>
        <v>0</v>
      </c>
      <c r="CS90" s="44">
        <f>Tabelle4[[#This Row],[Industry Funding from BR (IPK)]]+Tabelle4[[#This Row],[Industry Funding from BR (ITA)]]</f>
        <v>0</v>
      </c>
      <c r="CT90" s="44">
        <f>Tabelle4[[#This Row],[Total Public Funding (IPK)]]+Tabelle4[[#This Row],[Total Public Funding (ITA)]]</f>
        <v>0</v>
      </c>
      <c r="CU90" s="44">
        <f>Tabelle4[[#This Row],[Public Funding from DE (IPK)]]+Tabelle4[[#This Row],[Public Funding from DE (ITA)]]</f>
        <v>0</v>
      </c>
      <c r="CV90" s="44">
        <f>Tabelle4[[#This Row],[Public Funding from BR (IPK)]]+Tabelle4[[#This Row],[Public Funding from BR (ITA)]]</f>
        <v>0</v>
      </c>
      <c r="CW90" s="44">
        <f>Tabelle4[[#This Row],[Industry Funding from DE (FPC)]]+Tabelle4[[#This Row],[Public Funding from DE (FPC)]]</f>
        <v>0</v>
      </c>
      <c r="CX90" s="46">
        <f>Tabelle4[[#This Row],[Industry Funding from BR (FPC)]]+Tabelle4[[#This Row],[Public Funding from BR (FPC)]]</f>
        <v>0</v>
      </c>
      <c r="CY90" s="44">
        <f>Tabelle4[[#This Row],[Total Financial Budget (Other)]]+Tabelle4[[#This Row],[Total In-kind Contribution (Other)]]</f>
        <v>0</v>
      </c>
      <c r="CZ9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90" s="44">
        <f>Tabelle4[[#This Row],[In-kind Contribution (R&amp;D III)]]+Tabelle4[[#This Row],[In-kind Contribution (R&amp;D IV)]]</f>
        <v>0</v>
      </c>
      <c r="DB90" s="158">
        <f>Tabelle4[[#This Row],[Total Budget (FPC)]]+Tabelle4[[#This Row],[Total Volume (Other)]]</f>
        <v>0</v>
      </c>
      <c r="DC90" s="104">
        <f>Tabelle4[[#This Row],[Total Revenues (IPK)]]</f>
        <v>0</v>
      </c>
      <c r="DE90" s="44">
        <f>Tabelle4[[#This Row],[Total Revenues IPK]]*Tabelle4[[#This Row],[Probability of Success]]</f>
        <v>0</v>
      </c>
      <c r="DL90" s="44">
        <f>Tabelle4[[#This Row],[Real Budget IPK]]*Tabelle4[[#This Row],[Acquisition Factor OE810]]</f>
        <v>0</v>
      </c>
      <c r="DN90" s="46">
        <f>Tabelle4[[#This Row],[Acquisition Bonus OE810]]+Tabelle4[[#This Row],[Project Execution OE810]]</f>
        <v>0</v>
      </c>
    </row>
    <row r="91" spans="1:118" ht="27.75" x14ac:dyDescent="0.45">
      <c r="A91" s="70" t="s">
        <v>413</v>
      </c>
      <c r="B91" s="33" t="s">
        <v>164</v>
      </c>
      <c r="C91" s="33" t="s">
        <v>165</v>
      </c>
      <c r="D91" s="33" t="s">
        <v>709</v>
      </c>
      <c r="G91" s="33" t="s">
        <v>2</v>
      </c>
      <c r="H91" s="33" t="s">
        <v>0</v>
      </c>
      <c r="K91" s="33" t="s">
        <v>246</v>
      </c>
      <c r="L91" s="33" t="s">
        <v>309</v>
      </c>
      <c r="Q91" s="33">
        <v>12</v>
      </c>
      <c r="Y91" s="59">
        <v>43745</v>
      </c>
      <c r="Z91" s="42" t="str">
        <f t="shared" si="16"/>
        <v>IPK</v>
      </c>
      <c r="AB91" s="104"/>
      <c r="AC91" s="104"/>
      <c r="AD91" s="104"/>
      <c r="AE91" s="104"/>
      <c r="AF91" s="104"/>
      <c r="AG91" s="42" t="str">
        <f t="shared" si="18"/>
        <v>ITA</v>
      </c>
      <c r="AH91" s="33" t="s">
        <v>438</v>
      </c>
      <c r="AI91" s="33" t="s">
        <v>320</v>
      </c>
      <c r="AM91" s="104">
        <v>60714</v>
      </c>
      <c r="AO91" s="42"/>
      <c r="AQ91" s="104"/>
      <c r="AR91" s="104"/>
      <c r="AS91" s="104"/>
      <c r="AT91" s="104"/>
      <c r="AU91" s="104"/>
      <c r="AV91" s="42"/>
      <c r="AX91" s="104"/>
      <c r="AY91" s="104"/>
      <c r="AZ91" s="104"/>
      <c r="BA91" s="104"/>
      <c r="BB91" s="104"/>
      <c r="BC91" s="42" t="s">
        <v>165</v>
      </c>
      <c r="BE91" s="104">
        <v>60714</v>
      </c>
      <c r="BF91" s="101"/>
      <c r="BI91" s="104"/>
      <c r="BJ91" s="101"/>
      <c r="BM91" s="104"/>
      <c r="BN91" s="101"/>
      <c r="BQ91" s="104"/>
      <c r="BR91" s="101"/>
      <c r="BU91" s="101"/>
      <c r="BX91" s="101"/>
      <c r="BY91" s="44">
        <f>Tabelle4[[#This Row],[Industry Funding from DE (IPK)]]+Tabelle4[[#This Row],[Industry Funding from BR (IPK)]]+Tabelle4[[#This Row],[Public Funding from DE (IPK)]]+Tabelle4[[#This Row],[Public Funding from BR (IPK)]]+Tabelle4[[#This Row],[In-kind Contribution (IPK)]]</f>
        <v>0</v>
      </c>
      <c r="BZ91" s="44">
        <f>Tabelle4[[#This Row],[Industry Funding from DE (IPK)]]+Tabelle4[[#This Row],[Industry Funding from BR (IPK)]]+Tabelle4[[#This Row],[Public Funding from DE (IPK)]]+Tabelle4[[#This Row],[Public Funding from BR (IPK)]]</f>
        <v>0</v>
      </c>
      <c r="CA91" s="44">
        <f>Tabelle4[[#This Row],[Industry Funding from DE (IPK)]]+Tabelle4[[#This Row],[Industry Funding from BR (IPK)]]</f>
        <v>0</v>
      </c>
      <c r="CB91" s="44">
        <f>Tabelle4[[#This Row],[Public Funding from DE (IPK)]]+Tabelle4[[#This Row],[Public Funding from BR (IPK)]]</f>
        <v>0</v>
      </c>
      <c r="CC91" s="44">
        <f>Tabelle4[[#This Row],[In-kind Contribution (IPK)]]</f>
        <v>0</v>
      </c>
      <c r="CD91" s="47" t="e">
        <f>(Tabelle4[[#This Row],[Total Industry Funding (IPK)]] + Tabelle4[[#This Row],[Total Public Funding (IPK)]])/Tabelle4[[#This Row],[Total Project Volume (IPK)]]</f>
        <v>#DIV/0!</v>
      </c>
      <c r="CE91" s="47" t="e">
        <f>Tabelle4[[#This Row],[Total Industry Funding (IPK)]] / Tabelle4[[#This Row],[Total Project Volume (IPK)]]</f>
        <v>#DIV/0!</v>
      </c>
      <c r="CF91" s="33" t="str">
        <f>Tabelle4[[#This Row],[Project Funding Classification]]</f>
        <v>Industry</v>
      </c>
      <c r="CG91" s="44">
        <f>Tabelle4[[#This Row],[Industry Funding from DE (IPK)]]+Tabelle4[[#This Row],[Public Funding from DE (IPK)]]</f>
        <v>0</v>
      </c>
      <c r="CH91" s="46">
        <f>Tabelle4[[#This Row],[Industry Funding from BR (IPK)]]+Tabelle4[[#This Row],[Public Funding from BR (IPK)]]</f>
        <v>0</v>
      </c>
      <c r="CI91" s="44">
        <f>Tabelle4[[#This Row],[Industry Funding from DE (ITA)]]+Tabelle4[[#This Row],[Industry Funding from BR (ITA)]]+Tabelle4[[#This Row],[Public Funding from DE (ITA)]]+Tabelle4[[#This Row],[Public Funding from BR (ITA)]]</f>
        <v>60714</v>
      </c>
      <c r="CJ91" s="44">
        <f>Tabelle4[[#This Row],[Industry Funding from DE (ITA)]]+Tabelle4[[#This Row],[Industry Funding from BR (ITA)]]</f>
        <v>0</v>
      </c>
      <c r="CK91" s="44">
        <f>Tabelle4[[#This Row],[Public Funding from DE (ITA)]]+Tabelle4[[#This Row],[Public Funding from BR (ITA)]]</f>
        <v>60714</v>
      </c>
      <c r="CL91" s="47">
        <f>Tabelle4[[#This Row],[Total Industry Funding (ITA)]]/Tabelle4[[#This Row],[Total Project Volume (ITA)]]</f>
        <v>0</v>
      </c>
      <c r="CM91" s="33" t="str">
        <f>IF(Tabelle4[[#This Row],[Funding Ratio (ITA)]]&lt;0.5,"Public Funding","Industry")</f>
        <v>Public Funding</v>
      </c>
      <c r="CN91" s="44">
        <f>Tabelle4[[#This Row],[Industry Funding from DE (ITA)]]+Tabelle4[[#This Row],[Public Funding from DE (ITA)]]</f>
        <v>0</v>
      </c>
      <c r="CO91" s="46">
        <f>Tabelle4[[#This Row],[Industry Funding from BR (ITA)]]+Tabelle4[[#This Row],[Public Funding from BR (ITA)]]</f>
        <v>60714</v>
      </c>
      <c r="CP91" s="44">
        <f>Tabelle4[[#This Row],[Total Project Volume (IPK)]]+Tabelle4[[#This Row],[Total Project Volume (ITA)]]</f>
        <v>60714</v>
      </c>
      <c r="CQ91" s="44">
        <f>Tabelle4[[#This Row],[Total Industry Funding (IPK)]]+Tabelle4[[#This Row],[Total Industry Funding (ITA)]]</f>
        <v>0</v>
      </c>
      <c r="CR91" s="44">
        <f>Tabelle4[[#This Row],[Industry Funding from DE (IPK)]]+Tabelle4[[#This Row],[Industry Funding from DE (ITA)]]</f>
        <v>0</v>
      </c>
      <c r="CS91" s="44">
        <f>Tabelle4[[#This Row],[Industry Funding from BR (IPK)]]+Tabelle4[[#This Row],[Industry Funding from BR (ITA)]]</f>
        <v>0</v>
      </c>
      <c r="CT91" s="44">
        <f>Tabelle4[[#This Row],[Total Public Funding (IPK)]]+Tabelle4[[#This Row],[Total Public Funding (ITA)]]</f>
        <v>60714</v>
      </c>
      <c r="CU91" s="44">
        <f>Tabelle4[[#This Row],[Public Funding from DE (IPK)]]+Tabelle4[[#This Row],[Public Funding from DE (ITA)]]</f>
        <v>0</v>
      </c>
      <c r="CV91" s="44">
        <f>Tabelle4[[#This Row],[Public Funding from BR (IPK)]]+Tabelle4[[#This Row],[Public Funding from BR (ITA)]]</f>
        <v>60714</v>
      </c>
      <c r="CW91" s="44">
        <f>Tabelle4[[#This Row],[Industry Funding from DE (FPC)]]+Tabelle4[[#This Row],[Public Funding from DE (FPC)]]</f>
        <v>0</v>
      </c>
      <c r="CX91" s="46">
        <f>Tabelle4[[#This Row],[Industry Funding from BR (FPC)]]+Tabelle4[[#This Row],[Public Funding from BR (FPC)]]</f>
        <v>60714</v>
      </c>
      <c r="CY91" s="44">
        <f>Tabelle4[[#This Row],[Total Financial Budget (Other)]]+Tabelle4[[#This Row],[Total In-kind Contribution (Other)]]</f>
        <v>0</v>
      </c>
      <c r="CZ9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91" s="44">
        <f>Tabelle4[[#This Row],[In-kind Contribution (R&amp;D III)]]+Tabelle4[[#This Row],[In-kind Contribution (R&amp;D IV)]]</f>
        <v>0</v>
      </c>
      <c r="DB91" s="158">
        <f>Tabelle4[[#This Row],[Total Budget (FPC)]]+Tabelle4[[#This Row],[Total Volume (Other)]]</f>
        <v>60714</v>
      </c>
      <c r="DC91" s="104">
        <f>Tabelle4[[#This Row],[Total Revenues (IPK)]]</f>
        <v>0</v>
      </c>
      <c r="DE91" s="44">
        <f>Tabelle4[[#This Row],[Total Revenues IPK]]*Tabelle4[[#This Row],[Probability of Success]]</f>
        <v>0</v>
      </c>
      <c r="DL91" s="44">
        <f>Tabelle4[[#This Row],[Real Budget IPK]]*Tabelle4[[#This Row],[Acquisition Factor OE810]]</f>
        <v>0</v>
      </c>
      <c r="DM91" s="44">
        <v>0</v>
      </c>
      <c r="DN91" s="46">
        <f>Tabelle4[[#This Row],[Acquisition Bonus OE810]]+Tabelle4[[#This Row],[Project Execution OE810]]</f>
        <v>0</v>
      </c>
    </row>
    <row r="92" spans="1:118" ht="41.65" x14ac:dyDescent="0.45">
      <c r="A92" s="42" t="s">
        <v>175</v>
      </c>
      <c r="C92" s="33" t="s">
        <v>138</v>
      </c>
      <c r="D92" s="33" t="s">
        <v>705</v>
      </c>
      <c r="G92" s="33" t="s">
        <v>1</v>
      </c>
      <c r="H92" s="33" t="s">
        <v>0</v>
      </c>
      <c r="K92" s="33" t="s">
        <v>246</v>
      </c>
      <c r="Y92" s="59">
        <v>44343</v>
      </c>
      <c r="Z92" s="42" t="str">
        <f t="shared" si="16"/>
        <v>IPK</v>
      </c>
      <c r="AC92" s="61">
        <v>65000</v>
      </c>
      <c r="AG92" s="42"/>
      <c r="AO92" s="42"/>
      <c r="AU92" s="104"/>
      <c r="AV92" s="42"/>
      <c r="BC92" s="42" t="s">
        <v>138</v>
      </c>
      <c r="BE92" s="61">
        <v>65000</v>
      </c>
      <c r="BF92" s="65"/>
      <c r="BY92" s="44">
        <f>Tabelle4[[#This Row],[Industry Funding from DE (IPK)]]+Tabelle4[[#This Row],[Industry Funding from BR (IPK)]]+Tabelle4[[#This Row],[Public Funding from DE (IPK)]]+Tabelle4[[#This Row],[Public Funding from BR (IPK)]]+Tabelle4[[#This Row],[In-kind Contribution (IPK)]]</f>
        <v>65000</v>
      </c>
      <c r="BZ92" s="44">
        <f>Tabelle4[[#This Row],[Industry Funding from DE (IPK)]]+Tabelle4[[#This Row],[Industry Funding from BR (IPK)]]+Tabelle4[[#This Row],[Public Funding from DE (IPK)]]+Tabelle4[[#This Row],[Public Funding from BR (IPK)]]</f>
        <v>65000</v>
      </c>
      <c r="CA92" s="44">
        <f>Tabelle4[[#This Row],[Industry Funding from DE (IPK)]]+Tabelle4[[#This Row],[Industry Funding from BR (IPK)]]</f>
        <v>65000</v>
      </c>
      <c r="CB92" s="44">
        <f>Tabelle4[[#This Row],[Public Funding from DE (IPK)]]+Tabelle4[[#This Row],[Public Funding from BR (IPK)]]</f>
        <v>0</v>
      </c>
      <c r="CC92" s="44">
        <f>Tabelle4[[#This Row],[In-kind Contribution (IPK)]]</f>
        <v>0</v>
      </c>
      <c r="CD92" s="47">
        <f>(Tabelle4[[#This Row],[Total Industry Funding (IPK)]] + Tabelle4[[#This Row],[Total Public Funding (IPK)]])/Tabelle4[[#This Row],[Total Project Volume (IPK)]]</f>
        <v>1</v>
      </c>
      <c r="CE92" s="47">
        <f>Tabelle4[[#This Row],[Total Industry Funding (IPK)]] / Tabelle4[[#This Row],[Total Project Volume (IPK)]]</f>
        <v>1</v>
      </c>
      <c r="CF92" s="33" t="str">
        <f>Tabelle4[[#This Row],[Project Funding Classification]]</f>
        <v>Industry</v>
      </c>
      <c r="CG92" s="44">
        <f>Tabelle4[[#This Row],[Industry Funding from DE (IPK)]]+Tabelle4[[#This Row],[Public Funding from DE (IPK)]]</f>
        <v>0</v>
      </c>
      <c r="CH92" s="46">
        <f>Tabelle4[[#This Row],[Industry Funding from BR (IPK)]]+Tabelle4[[#This Row],[Public Funding from BR (IPK)]]</f>
        <v>65000</v>
      </c>
      <c r="CI92" s="44">
        <f>Tabelle4[[#This Row],[Industry Funding from DE (ITA)]]+Tabelle4[[#This Row],[Industry Funding from BR (ITA)]]+Tabelle4[[#This Row],[Public Funding from DE (ITA)]]+Tabelle4[[#This Row],[Public Funding from BR (ITA)]]</f>
        <v>0</v>
      </c>
      <c r="CJ92" s="44">
        <f>Tabelle4[[#This Row],[Industry Funding from DE (ITA)]]+Tabelle4[[#This Row],[Industry Funding from BR (ITA)]]</f>
        <v>0</v>
      </c>
      <c r="CK92" s="44">
        <f>Tabelle4[[#This Row],[Public Funding from DE (ITA)]]+Tabelle4[[#This Row],[Public Funding from BR (ITA)]]</f>
        <v>0</v>
      </c>
      <c r="CL92" s="47" t="e">
        <f>Tabelle4[[#This Row],[Total Industry Funding (ITA)]]/Tabelle4[[#This Row],[Total Project Volume (ITA)]]</f>
        <v>#DIV/0!</v>
      </c>
      <c r="CM92" s="33" t="e">
        <f>IF(Tabelle4[[#This Row],[Funding Ratio (ITA)]]&lt;0.5,"Public Funding","Industry")</f>
        <v>#DIV/0!</v>
      </c>
      <c r="CN92" s="44">
        <f>Tabelle4[[#This Row],[Industry Funding from DE (ITA)]]+Tabelle4[[#This Row],[Public Funding from DE (ITA)]]</f>
        <v>0</v>
      </c>
      <c r="CO92" s="46">
        <f>Tabelle4[[#This Row],[Industry Funding from BR (ITA)]]+Tabelle4[[#This Row],[Public Funding from BR (ITA)]]</f>
        <v>0</v>
      </c>
      <c r="CP92" s="44">
        <f>Tabelle4[[#This Row],[Total Project Volume (IPK)]]+Tabelle4[[#This Row],[Total Project Volume (ITA)]]</f>
        <v>65000</v>
      </c>
      <c r="CQ92" s="44">
        <f>Tabelle4[[#This Row],[Total Industry Funding (IPK)]]+Tabelle4[[#This Row],[Total Industry Funding (ITA)]]</f>
        <v>65000</v>
      </c>
      <c r="CR92" s="44">
        <f>Tabelle4[[#This Row],[Industry Funding from DE (IPK)]]+Tabelle4[[#This Row],[Industry Funding from DE (ITA)]]</f>
        <v>0</v>
      </c>
      <c r="CS92" s="44">
        <f>Tabelle4[[#This Row],[Industry Funding from BR (IPK)]]+Tabelle4[[#This Row],[Industry Funding from BR (ITA)]]</f>
        <v>65000</v>
      </c>
      <c r="CT92" s="44">
        <f>Tabelle4[[#This Row],[Total Public Funding (IPK)]]+Tabelle4[[#This Row],[Total Public Funding (ITA)]]</f>
        <v>0</v>
      </c>
      <c r="CU92" s="44">
        <f>Tabelle4[[#This Row],[Public Funding from DE (IPK)]]+Tabelle4[[#This Row],[Public Funding from DE (ITA)]]</f>
        <v>0</v>
      </c>
      <c r="CV92" s="44">
        <f>Tabelle4[[#This Row],[Public Funding from BR (IPK)]]+Tabelle4[[#This Row],[Public Funding from BR (ITA)]]</f>
        <v>0</v>
      </c>
      <c r="CW92" s="44">
        <f>Tabelle4[[#This Row],[Industry Funding from DE (FPC)]]+Tabelle4[[#This Row],[Public Funding from DE (FPC)]]</f>
        <v>0</v>
      </c>
      <c r="CX92" s="46">
        <f>Tabelle4[[#This Row],[Industry Funding from BR (FPC)]]+Tabelle4[[#This Row],[Public Funding from BR (FPC)]]</f>
        <v>65000</v>
      </c>
      <c r="CY92" s="44">
        <f>Tabelle4[[#This Row],[Total Financial Budget (Other)]]+Tabelle4[[#This Row],[Total In-kind Contribution (Other)]]</f>
        <v>0</v>
      </c>
      <c r="CZ9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92" s="44">
        <f>Tabelle4[[#This Row],[In-kind Contribution (R&amp;D III)]]+Tabelle4[[#This Row],[In-kind Contribution (R&amp;D IV)]]</f>
        <v>0</v>
      </c>
      <c r="DB92" s="158">
        <f>Tabelle4[[#This Row],[Total Budget (FPC)]]+Tabelle4[[#This Row],[Total Volume (Other)]]</f>
        <v>65000</v>
      </c>
      <c r="DC92" s="104">
        <f>Tabelle4[[#This Row],[Total Revenues (IPK)]]</f>
        <v>65000</v>
      </c>
      <c r="DD92" s="47">
        <v>0.01</v>
      </c>
      <c r="DE92" s="44">
        <f>Tabelle4[[#This Row],[Total Revenues IPK]]*Tabelle4[[#This Row],[Probability of Success]]</f>
        <v>650</v>
      </c>
      <c r="DK92" s="47">
        <v>0.2</v>
      </c>
      <c r="DL92" s="44">
        <f>Tabelle4[[#This Row],[Real Budget IPK]]*Tabelle4[[#This Row],[Acquisition Factor OE810]]</f>
        <v>130</v>
      </c>
      <c r="DM92" s="44">
        <v>0</v>
      </c>
      <c r="DN92" s="46">
        <f>Tabelle4[[#This Row],[Acquisition Bonus OE810]]+Tabelle4[[#This Row],[Project Execution OE810]]</f>
        <v>130</v>
      </c>
    </row>
    <row r="93" spans="1:118" ht="41.65" x14ac:dyDescent="0.45">
      <c r="A93" s="70" t="s">
        <v>405</v>
      </c>
      <c r="B93" s="33" t="s">
        <v>840</v>
      </c>
      <c r="C93" s="33" t="s">
        <v>166</v>
      </c>
      <c r="D93" s="33" t="s">
        <v>708</v>
      </c>
      <c r="E93" s="33">
        <v>1</v>
      </c>
      <c r="F93" s="33">
        <v>0</v>
      </c>
      <c r="G93" s="33" t="s">
        <v>2</v>
      </c>
      <c r="H93" s="33" t="s">
        <v>0</v>
      </c>
      <c r="J93" s="59">
        <v>43282</v>
      </c>
      <c r="K93" s="33" t="s">
        <v>246</v>
      </c>
      <c r="L93" s="59" t="s">
        <v>309</v>
      </c>
      <c r="M93" s="144">
        <v>6.7</v>
      </c>
      <c r="N93" s="33" t="s">
        <v>644</v>
      </c>
      <c r="Q93" s="33">
        <v>24</v>
      </c>
      <c r="U93" s="59">
        <v>44293</v>
      </c>
      <c r="Z93" s="42" t="str">
        <f t="shared" ref="Z93:Z124" si="19">"IPK"</f>
        <v>IPK</v>
      </c>
      <c r="AG93" s="42" t="str">
        <f>"ITA"</f>
        <v>ITA</v>
      </c>
      <c r="AH93" s="33" t="s">
        <v>438</v>
      </c>
      <c r="AI93" s="33" t="s">
        <v>438</v>
      </c>
      <c r="AK93" s="64"/>
      <c r="AM93" s="64"/>
      <c r="AO93" s="42"/>
      <c r="AU93" s="104"/>
      <c r="AV93" s="42"/>
      <c r="BC93" s="42" t="s">
        <v>166</v>
      </c>
      <c r="BF93" s="65"/>
      <c r="BY93" s="44">
        <f>Tabelle4[[#This Row],[Industry Funding from DE (IPK)]]+Tabelle4[[#This Row],[Industry Funding from BR (IPK)]]+Tabelle4[[#This Row],[Public Funding from DE (IPK)]]+Tabelle4[[#This Row],[Public Funding from BR (IPK)]]+Tabelle4[[#This Row],[In-kind Contribution (IPK)]]</f>
        <v>0</v>
      </c>
      <c r="BZ93" s="44">
        <f>Tabelle4[[#This Row],[Industry Funding from DE (IPK)]]+Tabelle4[[#This Row],[Industry Funding from BR (IPK)]]+Tabelle4[[#This Row],[Public Funding from DE (IPK)]]+Tabelle4[[#This Row],[Public Funding from BR (IPK)]]</f>
        <v>0</v>
      </c>
      <c r="CA93" s="44">
        <f>Tabelle4[[#This Row],[Industry Funding from DE (IPK)]]+Tabelle4[[#This Row],[Industry Funding from BR (IPK)]]</f>
        <v>0</v>
      </c>
      <c r="CB93" s="44">
        <f>Tabelle4[[#This Row],[Public Funding from DE (IPK)]]+Tabelle4[[#This Row],[Public Funding from BR (IPK)]]</f>
        <v>0</v>
      </c>
      <c r="CC93" s="44">
        <f>Tabelle4[[#This Row],[In-kind Contribution (IPK)]]</f>
        <v>0</v>
      </c>
      <c r="CD93" s="47" t="e">
        <f>(Tabelle4[[#This Row],[Total Industry Funding (IPK)]] + Tabelle4[[#This Row],[Total Public Funding (IPK)]])/Tabelle4[[#This Row],[Total Project Volume (IPK)]]</f>
        <v>#DIV/0!</v>
      </c>
      <c r="CE93" s="47" t="e">
        <f>Tabelle4[[#This Row],[Total Industry Funding (IPK)]] / Tabelle4[[#This Row],[Total Project Volume (IPK)]]</f>
        <v>#DIV/0!</v>
      </c>
      <c r="CF93" s="33" t="str">
        <f>Tabelle4[[#This Row],[Project Funding Classification]]</f>
        <v>Industry</v>
      </c>
      <c r="CG93" s="44">
        <f>Tabelle4[[#This Row],[Industry Funding from DE (IPK)]]+Tabelle4[[#This Row],[Public Funding from DE (IPK)]]</f>
        <v>0</v>
      </c>
      <c r="CH93" s="46">
        <f>Tabelle4[[#This Row],[Industry Funding from BR (IPK)]]+Tabelle4[[#This Row],[Public Funding from BR (IPK)]]</f>
        <v>0</v>
      </c>
      <c r="CI93" s="44">
        <f>Tabelle4[[#This Row],[Industry Funding from DE (ITA)]]+Tabelle4[[#This Row],[Industry Funding from BR (ITA)]]+Tabelle4[[#This Row],[Public Funding from DE (ITA)]]+Tabelle4[[#This Row],[Public Funding from BR (ITA)]]</f>
        <v>0</v>
      </c>
      <c r="CJ93" s="44">
        <f>Tabelle4[[#This Row],[Industry Funding from DE (ITA)]]+Tabelle4[[#This Row],[Industry Funding from BR (ITA)]]</f>
        <v>0</v>
      </c>
      <c r="CK93" s="44">
        <f>Tabelle4[[#This Row],[Public Funding from DE (ITA)]]+Tabelle4[[#This Row],[Public Funding from BR (ITA)]]</f>
        <v>0</v>
      </c>
      <c r="CL93" s="47" t="e">
        <f>Tabelle4[[#This Row],[Total Industry Funding (ITA)]]/Tabelle4[[#This Row],[Total Project Volume (ITA)]]</f>
        <v>#DIV/0!</v>
      </c>
      <c r="CM93" s="33" t="e">
        <f>IF(Tabelle4[[#This Row],[Funding Ratio (ITA)]]&lt;0.5,"Public Funding","Industry")</f>
        <v>#DIV/0!</v>
      </c>
      <c r="CN93" s="44">
        <f>Tabelle4[[#This Row],[Industry Funding from DE (ITA)]]+Tabelle4[[#This Row],[Public Funding from DE (ITA)]]</f>
        <v>0</v>
      </c>
      <c r="CO93" s="46">
        <f>Tabelle4[[#This Row],[Industry Funding from BR (ITA)]]+Tabelle4[[#This Row],[Public Funding from BR (ITA)]]</f>
        <v>0</v>
      </c>
      <c r="CP93" s="44">
        <f>Tabelle4[[#This Row],[Total Project Volume (IPK)]]+Tabelle4[[#This Row],[Total Project Volume (ITA)]]</f>
        <v>0</v>
      </c>
      <c r="CQ93" s="44">
        <f>Tabelle4[[#This Row],[Total Industry Funding (IPK)]]+Tabelle4[[#This Row],[Total Industry Funding (ITA)]]</f>
        <v>0</v>
      </c>
      <c r="CR93" s="44">
        <f>Tabelle4[[#This Row],[Industry Funding from DE (IPK)]]+Tabelle4[[#This Row],[Industry Funding from DE (ITA)]]</f>
        <v>0</v>
      </c>
      <c r="CS93" s="44">
        <f>Tabelle4[[#This Row],[Industry Funding from BR (IPK)]]+Tabelle4[[#This Row],[Industry Funding from BR (ITA)]]</f>
        <v>0</v>
      </c>
      <c r="CT93" s="44">
        <f>Tabelle4[[#This Row],[Total Public Funding (IPK)]]+Tabelle4[[#This Row],[Total Public Funding (ITA)]]</f>
        <v>0</v>
      </c>
      <c r="CU93" s="44">
        <f>Tabelle4[[#This Row],[Public Funding from DE (IPK)]]+Tabelle4[[#This Row],[Public Funding from DE (ITA)]]</f>
        <v>0</v>
      </c>
      <c r="CV93" s="44">
        <f>Tabelle4[[#This Row],[Public Funding from BR (IPK)]]+Tabelle4[[#This Row],[Public Funding from BR (ITA)]]</f>
        <v>0</v>
      </c>
      <c r="CW93" s="44">
        <f>Tabelle4[[#This Row],[Industry Funding from DE (FPC)]]+Tabelle4[[#This Row],[Public Funding from DE (FPC)]]</f>
        <v>0</v>
      </c>
      <c r="CX93" s="46">
        <f>Tabelle4[[#This Row],[Industry Funding from BR (FPC)]]+Tabelle4[[#This Row],[Public Funding from BR (FPC)]]</f>
        <v>0</v>
      </c>
      <c r="CY93" s="44">
        <f>Tabelle4[[#This Row],[Total Financial Budget (Other)]]+Tabelle4[[#This Row],[Total In-kind Contribution (Other)]]</f>
        <v>0</v>
      </c>
      <c r="CZ9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93" s="44">
        <f>Tabelle4[[#This Row],[In-kind Contribution (R&amp;D III)]]+Tabelle4[[#This Row],[In-kind Contribution (R&amp;D IV)]]</f>
        <v>0</v>
      </c>
      <c r="DB93" s="158">
        <f>Tabelle4[[#This Row],[Total Budget (FPC)]]+Tabelle4[[#This Row],[Total Volume (Other)]]</f>
        <v>0</v>
      </c>
      <c r="DC93" s="104">
        <f>Tabelle4[[#This Row],[Total Revenues (IPK)]]</f>
        <v>0</v>
      </c>
      <c r="DE93" s="44">
        <f>Tabelle4[[#This Row],[Total Revenues IPK]]*Tabelle4[[#This Row],[Probability of Success]]</f>
        <v>0</v>
      </c>
      <c r="DL93" s="44">
        <f>Tabelle4[[#This Row],[Real Budget IPK]]*Tabelle4[[#This Row],[Acquisition Factor OE810]]</f>
        <v>0</v>
      </c>
      <c r="DN93" s="46">
        <f>Tabelle4[[#This Row],[Acquisition Bonus OE810]]+Tabelle4[[#This Row],[Project Execution OE810]]</f>
        <v>0</v>
      </c>
    </row>
    <row r="94" spans="1:118" ht="27.75" x14ac:dyDescent="0.45">
      <c r="A94" s="73" t="s">
        <v>494</v>
      </c>
      <c r="C94" s="33" t="s">
        <v>495</v>
      </c>
      <c r="D94" s="33" t="s">
        <v>711</v>
      </c>
      <c r="E94" s="33">
        <v>1</v>
      </c>
      <c r="F94" s="33">
        <v>1</v>
      </c>
      <c r="G94" s="33" t="s">
        <v>1</v>
      </c>
      <c r="H94" s="33" t="s">
        <v>0</v>
      </c>
      <c r="J94" s="59">
        <v>43768</v>
      </c>
      <c r="K94" s="33" t="s">
        <v>244</v>
      </c>
      <c r="P94" s="59">
        <v>43983</v>
      </c>
      <c r="Q94" s="33">
        <v>60</v>
      </c>
      <c r="R94" s="59">
        <v>45808</v>
      </c>
      <c r="V94" s="59">
        <v>43799</v>
      </c>
      <c r="W94" s="59">
        <v>44136</v>
      </c>
      <c r="Z94" s="42" t="str">
        <f t="shared" si="19"/>
        <v>IPK</v>
      </c>
      <c r="AA94" s="33" t="s">
        <v>141</v>
      </c>
      <c r="AC94" s="61">
        <v>3000000</v>
      </c>
      <c r="AG94" s="42"/>
      <c r="AJ94" s="64"/>
      <c r="AK94" s="64"/>
      <c r="AO94" s="42"/>
      <c r="AU94" s="104"/>
      <c r="AV94" s="42"/>
      <c r="BC94" s="42" t="s">
        <v>495</v>
      </c>
      <c r="BD94" s="33" t="s">
        <v>496</v>
      </c>
      <c r="BE94" s="61">
        <v>3000000</v>
      </c>
      <c r="BF94" s="65"/>
      <c r="BY94" s="44">
        <f>Tabelle4[[#This Row],[Industry Funding from DE (IPK)]]+Tabelle4[[#This Row],[Industry Funding from BR (IPK)]]+Tabelle4[[#This Row],[Public Funding from DE (IPK)]]+Tabelle4[[#This Row],[Public Funding from BR (IPK)]]+Tabelle4[[#This Row],[In-kind Contribution (IPK)]]</f>
        <v>3000000</v>
      </c>
      <c r="BZ94" s="44">
        <f>Tabelle4[[#This Row],[Industry Funding from DE (IPK)]]+Tabelle4[[#This Row],[Industry Funding from BR (IPK)]]+Tabelle4[[#This Row],[Public Funding from DE (IPK)]]+Tabelle4[[#This Row],[Public Funding from BR (IPK)]]</f>
        <v>3000000</v>
      </c>
      <c r="CA94" s="44">
        <f>Tabelle4[[#This Row],[Industry Funding from DE (IPK)]]+Tabelle4[[#This Row],[Industry Funding from BR (IPK)]]</f>
        <v>3000000</v>
      </c>
      <c r="CB94" s="44">
        <f>Tabelle4[[#This Row],[Public Funding from DE (IPK)]]+Tabelle4[[#This Row],[Public Funding from BR (IPK)]]</f>
        <v>0</v>
      </c>
      <c r="CC94" s="44">
        <f>Tabelle4[[#This Row],[In-kind Contribution (IPK)]]</f>
        <v>0</v>
      </c>
      <c r="CD94" s="47">
        <f>(Tabelle4[[#This Row],[Total Industry Funding (IPK)]] + Tabelle4[[#This Row],[Total Public Funding (IPK)]])/Tabelle4[[#This Row],[Total Project Volume (IPK)]]</f>
        <v>1</v>
      </c>
      <c r="CE94" s="47">
        <f>Tabelle4[[#This Row],[Total Industry Funding (IPK)]] / Tabelle4[[#This Row],[Total Project Volume (IPK)]]</f>
        <v>1</v>
      </c>
      <c r="CF94" s="33" t="str">
        <f>Tabelle4[[#This Row],[Project Funding Classification]]</f>
        <v>Industry</v>
      </c>
      <c r="CG94" s="44">
        <f>Tabelle4[[#This Row],[Industry Funding from DE (IPK)]]+Tabelle4[[#This Row],[Public Funding from DE (IPK)]]</f>
        <v>0</v>
      </c>
      <c r="CH94" s="46">
        <f>Tabelle4[[#This Row],[Industry Funding from BR (IPK)]]+Tabelle4[[#This Row],[Public Funding from BR (IPK)]]</f>
        <v>3000000</v>
      </c>
      <c r="CI94" s="44">
        <f>Tabelle4[[#This Row],[Industry Funding from DE (ITA)]]+Tabelle4[[#This Row],[Industry Funding from BR (ITA)]]+Tabelle4[[#This Row],[Public Funding from DE (ITA)]]+Tabelle4[[#This Row],[Public Funding from BR (ITA)]]</f>
        <v>0</v>
      </c>
      <c r="CJ94" s="44">
        <f>Tabelle4[[#This Row],[Industry Funding from DE (ITA)]]+Tabelle4[[#This Row],[Industry Funding from BR (ITA)]]</f>
        <v>0</v>
      </c>
      <c r="CK94" s="44">
        <f>Tabelle4[[#This Row],[Public Funding from DE (ITA)]]+Tabelle4[[#This Row],[Public Funding from BR (ITA)]]</f>
        <v>0</v>
      </c>
      <c r="CL94" s="47" t="e">
        <f>Tabelle4[[#This Row],[Total Industry Funding (ITA)]]/Tabelle4[[#This Row],[Total Project Volume (ITA)]]</f>
        <v>#DIV/0!</v>
      </c>
      <c r="CM94" s="33" t="e">
        <f>IF(Tabelle4[[#This Row],[Funding Ratio (ITA)]]&lt;0.5,"Public Funding","Industry")</f>
        <v>#DIV/0!</v>
      </c>
      <c r="CN94" s="44">
        <f>Tabelle4[[#This Row],[Industry Funding from DE (ITA)]]+Tabelle4[[#This Row],[Public Funding from DE (ITA)]]</f>
        <v>0</v>
      </c>
      <c r="CO94" s="46">
        <f>Tabelle4[[#This Row],[Industry Funding from BR (ITA)]]+Tabelle4[[#This Row],[Public Funding from BR (ITA)]]</f>
        <v>0</v>
      </c>
      <c r="CP94" s="44">
        <f>Tabelle4[[#This Row],[Total Project Volume (IPK)]]+Tabelle4[[#This Row],[Total Project Volume (ITA)]]</f>
        <v>3000000</v>
      </c>
      <c r="CQ94" s="44">
        <f>Tabelle4[[#This Row],[Total Industry Funding (IPK)]]+Tabelle4[[#This Row],[Total Industry Funding (ITA)]]</f>
        <v>3000000</v>
      </c>
      <c r="CR94" s="44">
        <f>Tabelle4[[#This Row],[Industry Funding from DE (IPK)]]+Tabelle4[[#This Row],[Industry Funding from DE (ITA)]]</f>
        <v>0</v>
      </c>
      <c r="CS94" s="44">
        <f>Tabelle4[[#This Row],[Industry Funding from BR (IPK)]]+Tabelle4[[#This Row],[Industry Funding from BR (ITA)]]</f>
        <v>3000000</v>
      </c>
      <c r="CT94" s="44">
        <f>Tabelle4[[#This Row],[Total Public Funding (IPK)]]+Tabelle4[[#This Row],[Total Public Funding (ITA)]]</f>
        <v>0</v>
      </c>
      <c r="CU94" s="44">
        <f>Tabelle4[[#This Row],[Public Funding from DE (IPK)]]+Tabelle4[[#This Row],[Public Funding from DE (ITA)]]</f>
        <v>0</v>
      </c>
      <c r="CV94" s="44">
        <f>Tabelle4[[#This Row],[Public Funding from BR (IPK)]]+Tabelle4[[#This Row],[Public Funding from BR (ITA)]]</f>
        <v>0</v>
      </c>
      <c r="CW94" s="44">
        <f>Tabelle4[[#This Row],[Industry Funding from DE (FPC)]]+Tabelle4[[#This Row],[Public Funding from DE (FPC)]]</f>
        <v>0</v>
      </c>
      <c r="CX94" s="46">
        <f>Tabelle4[[#This Row],[Industry Funding from BR (FPC)]]+Tabelle4[[#This Row],[Public Funding from BR (FPC)]]</f>
        <v>3000000</v>
      </c>
      <c r="CY94" s="44">
        <f>Tabelle4[[#This Row],[Total Financial Budget (Other)]]+Tabelle4[[#This Row],[Total In-kind Contribution (Other)]]</f>
        <v>0</v>
      </c>
      <c r="CZ9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94" s="44">
        <f>Tabelle4[[#This Row],[In-kind Contribution (R&amp;D III)]]+Tabelle4[[#This Row],[In-kind Contribution (R&amp;D IV)]]</f>
        <v>0</v>
      </c>
      <c r="DB94" s="158">
        <f>Tabelle4[[#This Row],[Total Budget (FPC)]]+Tabelle4[[#This Row],[Total Volume (Other)]]</f>
        <v>3000000</v>
      </c>
      <c r="DC94" s="104">
        <f>Tabelle4[[#This Row],[Total Revenues (IPK)]]</f>
        <v>3000000</v>
      </c>
      <c r="DD94" s="47">
        <v>1</v>
      </c>
      <c r="DE94" s="44">
        <f>Tabelle4[[#This Row],[Total Revenues IPK]]*Tabelle4[[#This Row],[Probability of Success]]</f>
        <v>3000000</v>
      </c>
      <c r="DK94" s="47">
        <v>0</v>
      </c>
      <c r="DL94" s="44">
        <f>Tabelle4[[#This Row],[Real Budget IPK]]*Tabelle4[[#This Row],[Acquisition Factor OE810]]</f>
        <v>0</v>
      </c>
      <c r="DM94" s="44">
        <v>45000</v>
      </c>
      <c r="DN94" s="46">
        <f>Tabelle4[[#This Row],[Acquisition Bonus OE810]]+Tabelle4[[#This Row],[Project Execution OE810]]</f>
        <v>45000</v>
      </c>
    </row>
    <row r="95" spans="1:118" ht="27.75" x14ac:dyDescent="0.45">
      <c r="A95" s="70" t="s">
        <v>223</v>
      </c>
      <c r="B95" s="49"/>
      <c r="C95" s="49" t="s">
        <v>133</v>
      </c>
      <c r="D95" s="49" t="s">
        <v>711</v>
      </c>
      <c r="E95" s="49"/>
      <c r="F95" s="49"/>
      <c r="G95" s="49" t="s">
        <v>2</v>
      </c>
      <c r="H95" s="49" t="s">
        <v>96</v>
      </c>
      <c r="I95" s="49"/>
      <c r="J95" s="50"/>
      <c r="K95" s="49" t="s">
        <v>246</v>
      </c>
      <c r="L95" s="49" t="s">
        <v>309</v>
      </c>
      <c r="M95" s="146"/>
      <c r="N95" s="49"/>
      <c r="O95" s="50"/>
      <c r="P95" s="50"/>
      <c r="Q95" s="49"/>
      <c r="R95" s="50"/>
      <c r="S95" s="50"/>
      <c r="T95" s="50"/>
      <c r="U95" s="50"/>
      <c r="V95" s="50"/>
      <c r="W95" s="50"/>
      <c r="X95" s="50"/>
      <c r="Y95" s="50">
        <v>43745</v>
      </c>
      <c r="Z95" s="48" t="str">
        <f t="shared" si="19"/>
        <v>IPK</v>
      </c>
      <c r="AA95" s="49"/>
      <c r="AB95" s="62"/>
      <c r="AC95" s="62"/>
      <c r="AD95" s="62"/>
      <c r="AE95" s="62"/>
      <c r="AF95" s="62"/>
      <c r="AG95" s="48" t="str">
        <f t="shared" ref="AG95:AG120" si="20">"ITA"</f>
        <v>ITA</v>
      </c>
      <c r="AH95" s="33" t="s">
        <v>423</v>
      </c>
      <c r="AI95" s="33" t="s">
        <v>130</v>
      </c>
      <c r="AO95" s="48"/>
      <c r="AP95" s="49"/>
      <c r="AQ95" s="62"/>
      <c r="AR95" s="62"/>
      <c r="AS95" s="62"/>
      <c r="AT95" s="62"/>
      <c r="AU95" s="105"/>
      <c r="AV95" s="48"/>
      <c r="AW95" s="49"/>
      <c r="AX95" s="62"/>
      <c r="AY95" s="62"/>
      <c r="AZ95" s="62"/>
      <c r="BA95" s="62"/>
      <c r="BB95" s="62"/>
      <c r="BC95" s="48"/>
      <c r="BD95" s="49"/>
      <c r="BE95" s="62"/>
      <c r="BF95" s="66"/>
      <c r="BG95" s="49"/>
      <c r="BH95" s="49"/>
      <c r="BI95" s="62"/>
      <c r="BJ95" s="66"/>
      <c r="BK95" s="49"/>
      <c r="BL95" s="49"/>
      <c r="BM95" s="62"/>
      <c r="BN95" s="66"/>
      <c r="BO95" s="49"/>
      <c r="BP95" s="49"/>
      <c r="BQ95" s="62"/>
      <c r="BR95" s="66"/>
      <c r="BS95" s="49"/>
      <c r="BT95" s="49"/>
      <c r="BU95" s="66"/>
      <c r="BV95" s="49"/>
      <c r="BW95" s="49"/>
      <c r="BX95" s="66"/>
      <c r="BY95" s="51">
        <f>Tabelle4[[#This Row],[Industry Funding from DE (IPK)]]+Tabelle4[[#This Row],[Industry Funding from BR (IPK)]]+Tabelle4[[#This Row],[Public Funding from DE (IPK)]]+Tabelle4[[#This Row],[Public Funding from BR (IPK)]]+Tabelle4[[#This Row],[In-kind Contribution (IPK)]]</f>
        <v>0</v>
      </c>
      <c r="BZ95" s="51">
        <f>Tabelle4[[#This Row],[Industry Funding from DE (IPK)]]+Tabelle4[[#This Row],[Industry Funding from BR (IPK)]]+Tabelle4[[#This Row],[Public Funding from DE (IPK)]]+Tabelle4[[#This Row],[Public Funding from BR (IPK)]]</f>
        <v>0</v>
      </c>
      <c r="CA95" s="51">
        <f>Tabelle4[[#This Row],[Industry Funding from DE (IPK)]]+Tabelle4[[#This Row],[Industry Funding from BR (IPK)]]</f>
        <v>0</v>
      </c>
      <c r="CB95" s="51">
        <f>Tabelle4[[#This Row],[Public Funding from DE (IPK)]]+Tabelle4[[#This Row],[Public Funding from BR (IPK)]]</f>
        <v>0</v>
      </c>
      <c r="CC95" s="51">
        <f>Tabelle4[[#This Row],[In-kind Contribution (IPK)]]</f>
        <v>0</v>
      </c>
      <c r="CD95" s="53" t="e">
        <f>(Tabelle4[[#This Row],[Total Industry Funding (IPK)]] + Tabelle4[[#This Row],[Total Public Funding (IPK)]])/Tabelle4[[#This Row],[Total Project Volume (IPK)]]</f>
        <v>#DIV/0!</v>
      </c>
      <c r="CE95" s="53" t="e">
        <f>Tabelle4[[#This Row],[Total Industry Funding (IPK)]] / Tabelle4[[#This Row],[Total Project Volume (IPK)]]</f>
        <v>#DIV/0!</v>
      </c>
      <c r="CF95" s="49" t="str">
        <f>Tabelle4[[#This Row],[Project Funding Classification]]</f>
        <v>Public Funding</v>
      </c>
      <c r="CG95" s="51">
        <f>Tabelle4[[#This Row],[Industry Funding from DE (IPK)]]+Tabelle4[[#This Row],[Public Funding from DE (IPK)]]</f>
        <v>0</v>
      </c>
      <c r="CH95" s="52">
        <f>Tabelle4[[#This Row],[Industry Funding from BR (IPK)]]+Tabelle4[[#This Row],[Public Funding from BR (IPK)]]</f>
        <v>0</v>
      </c>
      <c r="CI95" s="51">
        <f>Tabelle4[[#This Row],[Industry Funding from DE (ITA)]]+Tabelle4[[#This Row],[Industry Funding from BR (ITA)]]+Tabelle4[[#This Row],[Public Funding from DE (ITA)]]+Tabelle4[[#This Row],[Public Funding from BR (ITA)]]</f>
        <v>0</v>
      </c>
      <c r="CJ95" s="51">
        <f>Tabelle4[[#This Row],[Industry Funding from DE (ITA)]]+Tabelle4[[#This Row],[Industry Funding from BR (ITA)]]</f>
        <v>0</v>
      </c>
      <c r="CK95" s="51">
        <f>Tabelle4[[#This Row],[Public Funding from DE (ITA)]]+Tabelle4[[#This Row],[Public Funding from BR (ITA)]]</f>
        <v>0</v>
      </c>
      <c r="CL95" s="53" t="e">
        <f>Tabelle4[[#This Row],[Total Industry Funding (ITA)]]/Tabelle4[[#This Row],[Total Project Volume (ITA)]]</f>
        <v>#DIV/0!</v>
      </c>
      <c r="CM95" s="49" t="e">
        <f>IF(Tabelle4[[#This Row],[Funding Ratio (ITA)]]&lt;0.5,"Public Funding","Industry")</f>
        <v>#DIV/0!</v>
      </c>
      <c r="CN95" s="51">
        <f>Tabelle4[[#This Row],[Industry Funding from DE (ITA)]]+Tabelle4[[#This Row],[Public Funding from DE (ITA)]]</f>
        <v>0</v>
      </c>
      <c r="CO95" s="52">
        <f>Tabelle4[[#This Row],[Industry Funding from BR (ITA)]]+Tabelle4[[#This Row],[Public Funding from BR (ITA)]]</f>
        <v>0</v>
      </c>
      <c r="CP95" s="51">
        <f>Tabelle4[[#This Row],[Total Project Volume (IPK)]]+Tabelle4[[#This Row],[Total Project Volume (ITA)]]</f>
        <v>0</v>
      </c>
      <c r="CQ95" s="51">
        <f>Tabelle4[[#This Row],[Total Industry Funding (IPK)]]+Tabelle4[[#This Row],[Total Industry Funding (ITA)]]</f>
        <v>0</v>
      </c>
      <c r="CR95" s="51">
        <f>Tabelle4[[#This Row],[Industry Funding from DE (IPK)]]+Tabelle4[[#This Row],[Industry Funding from DE (ITA)]]</f>
        <v>0</v>
      </c>
      <c r="CS95" s="51">
        <f>Tabelle4[[#This Row],[Industry Funding from BR (IPK)]]+Tabelle4[[#This Row],[Industry Funding from BR (ITA)]]</f>
        <v>0</v>
      </c>
      <c r="CT95" s="51">
        <f>Tabelle4[[#This Row],[Total Public Funding (IPK)]]+Tabelle4[[#This Row],[Total Public Funding (ITA)]]</f>
        <v>0</v>
      </c>
      <c r="CU95" s="51">
        <f>Tabelle4[[#This Row],[Public Funding from DE (IPK)]]+Tabelle4[[#This Row],[Public Funding from DE (ITA)]]</f>
        <v>0</v>
      </c>
      <c r="CV95" s="51">
        <f>Tabelle4[[#This Row],[Public Funding from BR (IPK)]]+Tabelle4[[#This Row],[Public Funding from BR (ITA)]]</f>
        <v>0</v>
      </c>
      <c r="CW95" s="51">
        <f>Tabelle4[[#This Row],[Industry Funding from DE (FPC)]]+Tabelle4[[#This Row],[Public Funding from DE (FPC)]]</f>
        <v>0</v>
      </c>
      <c r="CX95" s="52">
        <f>Tabelle4[[#This Row],[Industry Funding from BR (FPC)]]+Tabelle4[[#This Row],[Public Funding from BR (FPC)]]</f>
        <v>0</v>
      </c>
      <c r="CY95" s="44">
        <f>Tabelle4[[#This Row],[Total Financial Budget (Other)]]+Tabelle4[[#This Row],[Total In-kind Contribution (Other)]]</f>
        <v>0</v>
      </c>
      <c r="CZ95"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95" s="44">
        <f>Tabelle4[[#This Row],[In-kind Contribution (R&amp;D III)]]+Tabelle4[[#This Row],[In-kind Contribution (R&amp;D IV)]]</f>
        <v>0</v>
      </c>
      <c r="DB95" s="158">
        <f>Tabelle4[[#This Row],[Total Budget (FPC)]]+Tabelle4[[#This Row],[Total Volume (Other)]]</f>
        <v>0</v>
      </c>
      <c r="DC95" s="105">
        <f>Tabelle4[[#This Row],[Total Revenues (IPK)]]</f>
        <v>0</v>
      </c>
      <c r="DD95" s="53"/>
      <c r="DE95" s="51">
        <f>Tabelle4[[#This Row],[Total Revenues IPK]]*Tabelle4[[#This Row],[Probability of Success]]</f>
        <v>0</v>
      </c>
      <c r="DF95" s="51"/>
      <c r="DG95" s="51"/>
      <c r="DH95" s="51"/>
      <c r="DI95" s="51"/>
      <c r="DJ95" s="51"/>
      <c r="DK95" s="53"/>
      <c r="DL95" s="51">
        <f>Tabelle4[[#This Row],[Real Budget IPK]]*Tabelle4[[#This Row],[Acquisition Factor OE810]]</f>
        <v>0</v>
      </c>
      <c r="DM95" s="51">
        <v>0</v>
      </c>
      <c r="DN95" s="52">
        <f>Tabelle4[[#This Row],[Acquisition Bonus OE810]]+Tabelle4[[#This Row],[Project Execution OE810]]</f>
        <v>0</v>
      </c>
    </row>
    <row r="96" spans="1:118" ht="27.75" x14ac:dyDescent="0.45">
      <c r="A96" s="42" t="s">
        <v>578</v>
      </c>
      <c r="B96" s="33" t="s">
        <v>530</v>
      </c>
      <c r="C96" s="33" t="s">
        <v>529</v>
      </c>
      <c r="D96" s="33" t="s">
        <v>706</v>
      </c>
      <c r="E96" s="33">
        <v>4</v>
      </c>
      <c r="F96" s="33">
        <v>0</v>
      </c>
      <c r="G96" s="33" t="s">
        <v>2</v>
      </c>
      <c r="H96" s="33" t="s">
        <v>0</v>
      </c>
      <c r="I96" s="33" t="s">
        <v>559</v>
      </c>
      <c r="J96" s="59">
        <v>43881</v>
      </c>
      <c r="K96" s="33" t="s">
        <v>246</v>
      </c>
      <c r="L96" s="33" t="s">
        <v>309</v>
      </c>
      <c r="Q96" s="33">
        <v>36</v>
      </c>
      <c r="U96" s="59">
        <v>43923</v>
      </c>
      <c r="V96" s="59">
        <v>43971</v>
      </c>
      <c r="Y96" s="59">
        <v>44020</v>
      </c>
      <c r="Z96" s="42" t="str">
        <f t="shared" si="19"/>
        <v>IPK</v>
      </c>
      <c r="AG96" s="42" t="str">
        <f t="shared" si="20"/>
        <v>ITA</v>
      </c>
      <c r="AH96" s="33" t="s">
        <v>437</v>
      </c>
      <c r="AI96" s="33" t="s">
        <v>130</v>
      </c>
      <c r="AJ96" s="64"/>
      <c r="AK96" s="104">
        <f>1650000/4.31</f>
        <v>382830.62645011605</v>
      </c>
      <c r="AM96" s="104">
        <f>4000000/4.31</f>
        <v>928074.24593967525</v>
      </c>
      <c r="AN96" s="104">
        <f>1780000/4.31</f>
        <v>412993.03944315552</v>
      </c>
      <c r="AO96" s="42"/>
      <c r="AV96" s="42"/>
      <c r="BC96" s="42" t="s">
        <v>594</v>
      </c>
      <c r="BD96" s="33" t="s">
        <v>595</v>
      </c>
      <c r="BE96" s="61">
        <f>955000/4.31</f>
        <v>221577.72621809746</v>
      </c>
      <c r="BF96" s="65"/>
      <c r="BY96" s="44">
        <f>Tabelle4[[#This Row],[Industry Funding from DE (IPK)]]+Tabelle4[[#This Row],[Industry Funding from BR (IPK)]]+Tabelle4[[#This Row],[Public Funding from DE (IPK)]]+Tabelle4[[#This Row],[Public Funding from BR (IPK)]]+Tabelle4[[#This Row],[In-kind Contribution (IPK)]]</f>
        <v>0</v>
      </c>
      <c r="BZ96" s="44">
        <f>Tabelle4[[#This Row],[Industry Funding from DE (IPK)]]+Tabelle4[[#This Row],[Industry Funding from BR (IPK)]]+Tabelle4[[#This Row],[Public Funding from DE (IPK)]]+Tabelle4[[#This Row],[Public Funding from BR (IPK)]]</f>
        <v>0</v>
      </c>
      <c r="CA96" s="44">
        <f>Tabelle4[[#This Row],[Industry Funding from DE (IPK)]]+Tabelle4[[#This Row],[Industry Funding from BR (IPK)]]</f>
        <v>0</v>
      </c>
      <c r="CB96" s="44">
        <f>Tabelle4[[#This Row],[Public Funding from DE (IPK)]]+Tabelle4[[#This Row],[Public Funding from BR (IPK)]]</f>
        <v>0</v>
      </c>
      <c r="CC96" s="44">
        <f>Tabelle4[[#This Row],[In-kind Contribution (IPK)]]</f>
        <v>0</v>
      </c>
      <c r="CD96" s="47" t="e">
        <f>(Tabelle4[[#This Row],[Total Industry Funding (IPK)]] + Tabelle4[[#This Row],[Total Public Funding (IPK)]])/Tabelle4[[#This Row],[Total Project Volume (IPK)]]</f>
        <v>#DIV/0!</v>
      </c>
      <c r="CE96" s="47" t="e">
        <f>Tabelle4[[#This Row],[Total Industry Funding (IPK)]] / Tabelle4[[#This Row],[Total Project Volume (IPK)]]</f>
        <v>#DIV/0!</v>
      </c>
      <c r="CF96" s="33" t="str">
        <f>Tabelle4[[#This Row],[Project Funding Classification]]</f>
        <v>Industry</v>
      </c>
      <c r="CG96" s="44">
        <f>Tabelle4[[#This Row],[Industry Funding from DE (IPK)]]+Tabelle4[[#This Row],[Public Funding from DE (IPK)]]</f>
        <v>0</v>
      </c>
      <c r="CH96" s="46">
        <f>Tabelle4[[#This Row],[Industry Funding from BR (IPK)]]+Tabelle4[[#This Row],[Public Funding from BR (IPK)]]</f>
        <v>0</v>
      </c>
      <c r="CI96" s="44">
        <f>Tabelle4[[#This Row],[Industry Funding from DE (ITA)]]+Tabelle4[[#This Row],[Industry Funding from BR (ITA)]]+Tabelle4[[#This Row],[Public Funding from DE (ITA)]]+Tabelle4[[#This Row],[Public Funding from BR (ITA)]]</f>
        <v>1310904.8723897913</v>
      </c>
      <c r="CJ96" s="44">
        <f>Tabelle4[[#This Row],[Industry Funding from DE (ITA)]]+Tabelle4[[#This Row],[Industry Funding from BR (ITA)]]</f>
        <v>382830.62645011605</v>
      </c>
      <c r="CK96" s="44">
        <f>Tabelle4[[#This Row],[Public Funding from DE (ITA)]]+Tabelle4[[#This Row],[Public Funding from BR (ITA)]]</f>
        <v>928074.24593967525</v>
      </c>
      <c r="CL96" s="47">
        <f>Tabelle4[[#This Row],[Total Industry Funding (ITA)]]/Tabelle4[[#This Row],[Total Project Volume (ITA)]]</f>
        <v>0.29203539823008851</v>
      </c>
      <c r="CM96" s="33" t="str">
        <f>IF(Tabelle4[[#This Row],[Funding Ratio (ITA)]]&lt;0.5,"Public Funding","Industry")</f>
        <v>Public Funding</v>
      </c>
      <c r="CN96" s="44">
        <f>Tabelle4[[#This Row],[Industry Funding from DE (ITA)]]+Tabelle4[[#This Row],[Public Funding from DE (ITA)]]</f>
        <v>0</v>
      </c>
      <c r="CO96" s="46">
        <f>Tabelle4[[#This Row],[Industry Funding from BR (ITA)]]+Tabelle4[[#This Row],[Public Funding from BR (ITA)]]</f>
        <v>1310904.8723897913</v>
      </c>
      <c r="CP96" s="44">
        <f>Tabelle4[[#This Row],[Total Project Volume (IPK)]]+Tabelle4[[#This Row],[Total Project Volume (ITA)]]</f>
        <v>1310904.8723897913</v>
      </c>
      <c r="CQ96" s="44">
        <f>Tabelle4[[#This Row],[Total Industry Funding (IPK)]]+Tabelle4[[#This Row],[Total Industry Funding (ITA)]]</f>
        <v>382830.62645011605</v>
      </c>
      <c r="CR96" s="44">
        <f>Tabelle4[[#This Row],[Industry Funding from DE (IPK)]]+Tabelle4[[#This Row],[Industry Funding from DE (ITA)]]</f>
        <v>0</v>
      </c>
      <c r="CS96" s="44">
        <f>Tabelle4[[#This Row],[Industry Funding from BR (IPK)]]+Tabelle4[[#This Row],[Industry Funding from BR (ITA)]]</f>
        <v>382830.62645011605</v>
      </c>
      <c r="CT96" s="44">
        <f>Tabelle4[[#This Row],[Total Public Funding (IPK)]]+Tabelle4[[#This Row],[Total Public Funding (ITA)]]</f>
        <v>928074.24593967525</v>
      </c>
      <c r="CU96" s="44">
        <f>Tabelle4[[#This Row],[Public Funding from DE (IPK)]]+Tabelle4[[#This Row],[Public Funding from DE (ITA)]]</f>
        <v>0</v>
      </c>
      <c r="CV96" s="44">
        <f>Tabelle4[[#This Row],[Public Funding from BR (IPK)]]+Tabelle4[[#This Row],[Public Funding from BR (ITA)]]</f>
        <v>928074.24593967525</v>
      </c>
      <c r="CW96" s="44">
        <f>Tabelle4[[#This Row],[Industry Funding from DE (FPC)]]+Tabelle4[[#This Row],[Public Funding from DE (FPC)]]</f>
        <v>0</v>
      </c>
      <c r="CX96" s="46">
        <f>Tabelle4[[#This Row],[Industry Funding from BR (FPC)]]+Tabelle4[[#This Row],[Public Funding from BR (FPC)]]</f>
        <v>1310904.8723897913</v>
      </c>
      <c r="CY96" s="44">
        <f>Tabelle4[[#This Row],[Total Financial Budget (Other)]]+Tabelle4[[#This Row],[Total In-kind Contribution (Other)]]</f>
        <v>0</v>
      </c>
      <c r="CZ9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96" s="44">
        <f>Tabelle4[[#This Row],[In-kind Contribution (R&amp;D III)]]+Tabelle4[[#This Row],[In-kind Contribution (R&amp;D IV)]]</f>
        <v>0</v>
      </c>
      <c r="DB96" s="158">
        <f>Tabelle4[[#This Row],[Total Budget (FPC)]]+Tabelle4[[#This Row],[Total Volume (Other)]]</f>
        <v>1310904.8723897913</v>
      </c>
      <c r="DC96" s="104">
        <f>Tabelle4[[#This Row],[Total Revenues (IPK)]]</f>
        <v>0</v>
      </c>
      <c r="DE96" s="44">
        <f>Tabelle4[[#This Row],[Total Revenues IPK]]*Tabelle4[[#This Row],[Probability of Success]]</f>
        <v>0</v>
      </c>
      <c r="DL96" s="44">
        <f>Tabelle4[[#This Row],[Real Budget IPK]]*Tabelle4[[#This Row],[Acquisition Factor OE810]]</f>
        <v>0</v>
      </c>
      <c r="DN96" s="46">
        <f>Tabelle4[[#This Row],[Acquisition Bonus OE810]]+Tabelle4[[#This Row],[Project Execution OE810]]</f>
        <v>0</v>
      </c>
    </row>
    <row r="97" spans="1:16379" ht="27.75" x14ac:dyDescent="0.45">
      <c r="A97" s="69" t="s">
        <v>549</v>
      </c>
      <c r="B97" s="33" t="s">
        <v>549</v>
      </c>
      <c r="C97" s="57" t="s">
        <v>550</v>
      </c>
      <c r="D97" s="57" t="s">
        <v>711</v>
      </c>
      <c r="G97" s="33" t="s">
        <v>2</v>
      </c>
      <c r="H97" s="33" t="s">
        <v>96</v>
      </c>
      <c r="K97" s="33" t="s">
        <v>246</v>
      </c>
      <c r="L97" s="59" t="s">
        <v>309</v>
      </c>
      <c r="M97" s="144">
        <v>4.3110999999999997</v>
      </c>
      <c r="N97" s="33" t="s">
        <v>671</v>
      </c>
      <c r="Q97" s="58"/>
      <c r="U97" s="59">
        <v>43944</v>
      </c>
      <c r="Y97" s="59">
        <v>44103</v>
      </c>
      <c r="Z97" s="42" t="str">
        <f t="shared" si="19"/>
        <v>IPK</v>
      </c>
      <c r="AG97" s="42" t="str">
        <f t="shared" si="20"/>
        <v>ITA</v>
      </c>
      <c r="AH97" s="33" t="s">
        <v>395</v>
      </c>
      <c r="AI97" s="33" t="s">
        <v>331</v>
      </c>
      <c r="AK97" s="64"/>
      <c r="AL97" s="64"/>
      <c r="AM97" s="64">
        <f>(1400000/M97)</f>
        <v>324743.1050080026</v>
      </c>
      <c r="AN97" s="101"/>
      <c r="AO97" s="42"/>
      <c r="AU97" s="101"/>
      <c r="BB97" s="101"/>
      <c r="BE97" s="64"/>
      <c r="BF97" s="65"/>
      <c r="BU97" s="67"/>
      <c r="BY97" s="44">
        <f>Tabelle4[[#This Row],[Industry Funding from DE (IPK)]]+Tabelle4[[#This Row],[Industry Funding from BR (IPK)]]+Tabelle4[[#This Row],[Public Funding from DE (IPK)]]+Tabelle4[[#This Row],[Public Funding from BR (IPK)]]+Tabelle4[[#This Row],[In-kind Contribution (IPK)]]</f>
        <v>0</v>
      </c>
      <c r="BZ97" s="44">
        <f>Tabelle4[[#This Row],[Industry Funding from DE (IPK)]]+Tabelle4[[#This Row],[Industry Funding from BR (IPK)]]+Tabelle4[[#This Row],[Public Funding from DE (IPK)]]+Tabelle4[[#This Row],[Public Funding from BR (IPK)]]</f>
        <v>0</v>
      </c>
      <c r="CA97" s="44">
        <f>Tabelle4[[#This Row],[Industry Funding from DE (IPK)]]+Tabelle4[[#This Row],[Industry Funding from BR (IPK)]]</f>
        <v>0</v>
      </c>
      <c r="CB97" s="44">
        <f>Tabelle4[[#This Row],[Public Funding from DE (IPK)]]+Tabelle4[[#This Row],[Public Funding from BR (IPK)]]</f>
        <v>0</v>
      </c>
      <c r="CC97" s="44">
        <f>Tabelle4[[#This Row],[In-kind Contribution (IPK)]]</f>
        <v>0</v>
      </c>
      <c r="CD97" s="47" t="e">
        <f>(Tabelle4[[#This Row],[Total Industry Funding (IPK)]] + Tabelle4[[#This Row],[Total Public Funding (IPK)]])/Tabelle4[[#This Row],[Total Project Volume (IPK)]]</f>
        <v>#DIV/0!</v>
      </c>
      <c r="CE97" s="47" t="e">
        <f>Tabelle4[[#This Row],[Total Industry Funding (IPK)]] / Tabelle4[[#This Row],[Total Project Volume (IPK)]]</f>
        <v>#DIV/0!</v>
      </c>
      <c r="CF97" s="33" t="str">
        <f>Tabelle4[[#This Row],[Project Funding Classification]]</f>
        <v>Public Funding</v>
      </c>
      <c r="CG97" s="44">
        <f>Tabelle4[[#This Row],[Industry Funding from DE (IPK)]]+Tabelle4[[#This Row],[Public Funding from DE (IPK)]]</f>
        <v>0</v>
      </c>
      <c r="CH97" s="46">
        <f>Tabelle4[[#This Row],[Industry Funding from BR (IPK)]]+Tabelle4[[#This Row],[Public Funding from BR (IPK)]]</f>
        <v>0</v>
      </c>
      <c r="CI97" s="44">
        <f>Tabelle4[[#This Row],[Industry Funding from DE (ITA)]]+Tabelle4[[#This Row],[Industry Funding from BR (ITA)]]+Tabelle4[[#This Row],[Public Funding from DE (ITA)]]+Tabelle4[[#This Row],[Public Funding from BR (ITA)]]</f>
        <v>324743.1050080026</v>
      </c>
      <c r="CJ97" s="44">
        <f>Tabelle4[[#This Row],[Industry Funding from DE (ITA)]]+Tabelle4[[#This Row],[Industry Funding from BR (ITA)]]</f>
        <v>0</v>
      </c>
      <c r="CK97" s="44">
        <f>Tabelle4[[#This Row],[Public Funding from DE (ITA)]]+Tabelle4[[#This Row],[Public Funding from BR (ITA)]]</f>
        <v>324743.1050080026</v>
      </c>
      <c r="CL97" s="47">
        <f>Tabelle4[[#This Row],[Total Industry Funding (ITA)]]/Tabelle4[[#This Row],[Total Project Volume (ITA)]]</f>
        <v>0</v>
      </c>
      <c r="CM97" s="33" t="str">
        <f>IF(Tabelle4[[#This Row],[Funding Ratio (ITA)]]&lt;0.5,"Public Funding","Industry")</f>
        <v>Public Funding</v>
      </c>
      <c r="CN97" s="44">
        <f>Tabelle4[[#This Row],[Industry Funding from DE (ITA)]]+Tabelle4[[#This Row],[Public Funding from DE (ITA)]]</f>
        <v>0</v>
      </c>
      <c r="CO97" s="46">
        <f>Tabelle4[[#This Row],[Industry Funding from BR (ITA)]]+Tabelle4[[#This Row],[Public Funding from BR (ITA)]]</f>
        <v>324743.1050080026</v>
      </c>
      <c r="CP97" s="44">
        <f>Tabelle4[[#This Row],[Total Project Volume (IPK)]]+Tabelle4[[#This Row],[Total Project Volume (ITA)]]</f>
        <v>324743.1050080026</v>
      </c>
      <c r="CQ97" s="44">
        <f>Tabelle4[[#This Row],[Total Industry Funding (IPK)]]+Tabelle4[[#This Row],[Total Industry Funding (ITA)]]</f>
        <v>0</v>
      </c>
      <c r="CR97" s="44">
        <f>Tabelle4[[#This Row],[Industry Funding from DE (IPK)]]+Tabelle4[[#This Row],[Industry Funding from DE (ITA)]]</f>
        <v>0</v>
      </c>
      <c r="CS97" s="44">
        <f>Tabelle4[[#This Row],[Industry Funding from BR (IPK)]]+Tabelle4[[#This Row],[Industry Funding from BR (ITA)]]</f>
        <v>0</v>
      </c>
      <c r="CT97" s="44">
        <f>Tabelle4[[#This Row],[Total Public Funding (IPK)]]+Tabelle4[[#This Row],[Total Public Funding (ITA)]]</f>
        <v>324743.1050080026</v>
      </c>
      <c r="CU97" s="44">
        <f>Tabelle4[[#This Row],[Public Funding from DE (IPK)]]+Tabelle4[[#This Row],[Public Funding from DE (ITA)]]</f>
        <v>0</v>
      </c>
      <c r="CV97" s="44">
        <f>Tabelle4[[#This Row],[Public Funding from BR (IPK)]]+Tabelle4[[#This Row],[Public Funding from BR (ITA)]]</f>
        <v>324743.1050080026</v>
      </c>
      <c r="CW97" s="44">
        <f>Tabelle4[[#This Row],[Industry Funding from DE (FPC)]]+Tabelle4[[#This Row],[Public Funding from DE (FPC)]]</f>
        <v>0</v>
      </c>
      <c r="CX97" s="46">
        <f>Tabelle4[[#This Row],[Industry Funding from BR (FPC)]]+Tabelle4[[#This Row],[Public Funding from BR (FPC)]]</f>
        <v>324743.1050080026</v>
      </c>
      <c r="CY97" s="44">
        <f>Tabelle4[[#This Row],[Total Financial Budget (Other)]]+Tabelle4[[#This Row],[Total In-kind Contribution (Other)]]</f>
        <v>0</v>
      </c>
      <c r="CZ9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97" s="44">
        <f>Tabelle4[[#This Row],[In-kind Contribution (R&amp;D III)]]+Tabelle4[[#This Row],[In-kind Contribution (R&amp;D IV)]]</f>
        <v>0</v>
      </c>
      <c r="DB97" s="158">
        <f>Tabelle4[[#This Row],[Total Budget (FPC)]]+Tabelle4[[#This Row],[Total Volume (Other)]]</f>
        <v>324743.1050080026</v>
      </c>
      <c r="DC97" s="104">
        <f>Tabelle4[[#This Row],[Total Revenues (IPK)]]</f>
        <v>0</v>
      </c>
      <c r="DE97" s="44">
        <f>Tabelle4[[#This Row],[Total Revenues IPK]]*Tabelle4[[#This Row],[Probability of Success]]</f>
        <v>0</v>
      </c>
      <c r="DL97" s="44">
        <f>Tabelle4[[#This Row],[Real Budget IPK]]*Tabelle4[[#This Row],[Acquisition Factor OE810]]</f>
        <v>0</v>
      </c>
      <c r="DN97" s="46">
        <f>Tabelle4[[#This Row],[Acquisition Bonus OE810]]+Tabelle4[[#This Row],[Project Execution OE810]]</f>
        <v>0</v>
      </c>
      <c r="XDM97" s="68"/>
      <c r="XDO97" s="57"/>
      <c r="XDU97" s="43"/>
      <c r="XDW97" s="43"/>
      <c r="XDX97" s="43"/>
      <c r="XDY97" s="43"/>
      <c r="XDZ97" s="58"/>
      <c r="XEA97" s="43"/>
      <c r="XEB97" s="43"/>
      <c r="XEC97" s="43"/>
      <c r="XED97" s="43"/>
      <c r="XEE97" s="43"/>
      <c r="XEF97" s="43"/>
      <c r="XEG97" s="43"/>
      <c r="XEH97" s="42"/>
      <c r="XEI97" s="44"/>
      <c r="XEJ97" s="61"/>
      <c r="XEK97" s="61"/>
      <c r="XEL97" s="61"/>
      <c r="XEM97" s="61"/>
      <c r="XEN97" s="61"/>
      <c r="XEO97" s="42"/>
      <c r="XER97" s="61"/>
      <c r="XES97" s="63"/>
      <c r="XET97" s="64"/>
      <c r="XEU97" s="64"/>
      <c r="XEV97" s="65"/>
      <c r="XEW97" s="45"/>
      <c r="XEX97" s="44"/>
      <c r="XEY97" s="64"/>
    </row>
    <row r="98" spans="1:16379" ht="75.75" customHeight="1" x14ac:dyDescent="0.45">
      <c r="A98" s="69" t="s">
        <v>372</v>
      </c>
      <c r="B98" s="33" t="s">
        <v>373</v>
      </c>
      <c r="C98" s="33" t="s">
        <v>138</v>
      </c>
      <c r="D98" s="33" t="s">
        <v>705</v>
      </c>
      <c r="E98" s="33">
        <v>1</v>
      </c>
      <c r="F98" s="33">
        <v>0</v>
      </c>
      <c r="G98" s="33" t="s">
        <v>2</v>
      </c>
      <c r="H98" s="33" t="s">
        <v>0</v>
      </c>
      <c r="K98" s="33" t="s">
        <v>245</v>
      </c>
      <c r="L98" s="43" t="s">
        <v>651</v>
      </c>
      <c r="M98" s="144">
        <f>4.31</f>
        <v>4.3099999999999996</v>
      </c>
      <c r="Q98" s="58">
        <v>12</v>
      </c>
      <c r="R98" s="60"/>
      <c r="S98" s="60"/>
      <c r="T98" s="60"/>
      <c r="U98" s="60"/>
      <c r="X98" s="59">
        <v>43798</v>
      </c>
      <c r="Z98" s="42" t="str">
        <f t="shared" si="19"/>
        <v>IPK</v>
      </c>
      <c r="AG98" s="42" t="str">
        <f t="shared" si="20"/>
        <v>ITA</v>
      </c>
      <c r="AH98" s="33" t="s">
        <v>444</v>
      </c>
      <c r="AI98" s="33" t="s">
        <v>375</v>
      </c>
      <c r="AK98" s="64">
        <f>(75000/M98)</f>
        <v>17401.39211136891</v>
      </c>
      <c r="AL98" s="64"/>
      <c r="AN98" s="101"/>
      <c r="AU98" s="65"/>
      <c r="BC98" s="42" t="s">
        <v>138</v>
      </c>
      <c r="BE98" s="61">
        <f>(75000/4.3111)</f>
        <v>17396.952054000139</v>
      </c>
      <c r="BF98" s="65"/>
      <c r="BY98" s="44">
        <f>Tabelle4[[#This Row],[Industry Funding from DE (IPK)]]+Tabelle4[[#This Row],[Industry Funding from BR (IPK)]]+Tabelle4[[#This Row],[Public Funding from DE (IPK)]]+Tabelle4[[#This Row],[Public Funding from BR (IPK)]]+Tabelle4[[#This Row],[In-kind Contribution (IPK)]]</f>
        <v>0</v>
      </c>
      <c r="BZ98" s="44">
        <f>Tabelle4[[#This Row],[Industry Funding from DE (IPK)]]+Tabelle4[[#This Row],[Industry Funding from BR (IPK)]]+Tabelle4[[#This Row],[Public Funding from DE (IPK)]]+Tabelle4[[#This Row],[Public Funding from BR (IPK)]]</f>
        <v>0</v>
      </c>
      <c r="CA98" s="44">
        <f>Tabelle4[[#This Row],[Industry Funding from DE (IPK)]]+Tabelle4[[#This Row],[Industry Funding from BR (IPK)]]</f>
        <v>0</v>
      </c>
      <c r="CB98" s="44">
        <f>Tabelle4[[#This Row],[Public Funding from DE (IPK)]]+Tabelle4[[#This Row],[Public Funding from BR (IPK)]]</f>
        <v>0</v>
      </c>
      <c r="CC98" s="44">
        <f>Tabelle4[[#This Row],[In-kind Contribution (IPK)]]</f>
        <v>0</v>
      </c>
      <c r="CD98" s="47" t="e">
        <f>(Tabelle4[[#This Row],[Total Industry Funding (IPK)]] + Tabelle4[[#This Row],[Total Public Funding (IPK)]])/Tabelle4[[#This Row],[Total Project Volume (IPK)]]</f>
        <v>#DIV/0!</v>
      </c>
      <c r="CE98" s="47" t="e">
        <f>Tabelle4[[#This Row],[Total Industry Funding (IPK)]] / Tabelle4[[#This Row],[Total Project Volume (IPK)]]</f>
        <v>#DIV/0!</v>
      </c>
      <c r="CF98" s="33" t="str">
        <f>Tabelle4[[#This Row],[Project Funding Classification]]</f>
        <v>Industry</v>
      </c>
      <c r="CG98" s="44">
        <f>Tabelle4[[#This Row],[Industry Funding from DE (IPK)]]+Tabelle4[[#This Row],[Public Funding from DE (IPK)]]</f>
        <v>0</v>
      </c>
      <c r="CH98" s="46">
        <f>Tabelle4[[#This Row],[Industry Funding from BR (IPK)]]+Tabelle4[[#This Row],[Public Funding from BR (IPK)]]</f>
        <v>0</v>
      </c>
      <c r="CI98" s="44">
        <f>Tabelle4[[#This Row],[Industry Funding from DE (ITA)]]+Tabelle4[[#This Row],[Industry Funding from BR (ITA)]]+Tabelle4[[#This Row],[Public Funding from DE (ITA)]]+Tabelle4[[#This Row],[Public Funding from BR (ITA)]]</f>
        <v>17401.39211136891</v>
      </c>
      <c r="CJ98" s="44">
        <f>Tabelle4[[#This Row],[Industry Funding from DE (ITA)]]+Tabelle4[[#This Row],[Industry Funding from BR (ITA)]]</f>
        <v>17401.39211136891</v>
      </c>
      <c r="CK98" s="44">
        <f>Tabelle4[[#This Row],[Public Funding from DE (ITA)]]+Tabelle4[[#This Row],[Public Funding from BR (ITA)]]</f>
        <v>0</v>
      </c>
      <c r="CL98" s="47">
        <f>Tabelle4[[#This Row],[Total Industry Funding (ITA)]]/Tabelle4[[#This Row],[Total Project Volume (ITA)]]</f>
        <v>1</v>
      </c>
      <c r="CM98" s="33" t="str">
        <f>IF(Tabelle4[[#This Row],[Funding Ratio (ITA)]]&lt;0.5,"Public Funding","Industry")</f>
        <v>Industry</v>
      </c>
      <c r="CN98" s="44">
        <f>Tabelle4[[#This Row],[Industry Funding from DE (ITA)]]+Tabelle4[[#This Row],[Public Funding from DE (ITA)]]</f>
        <v>0</v>
      </c>
      <c r="CO98" s="46">
        <f>Tabelle4[[#This Row],[Industry Funding from BR (ITA)]]+Tabelle4[[#This Row],[Public Funding from BR (ITA)]]</f>
        <v>17401.39211136891</v>
      </c>
      <c r="CP98" s="44">
        <f>Tabelle4[[#This Row],[Total Project Volume (IPK)]]+Tabelle4[[#This Row],[Total Project Volume (ITA)]]</f>
        <v>17401.39211136891</v>
      </c>
      <c r="CQ98" s="44">
        <f>Tabelle4[[#This Row],[Total Industry Funding (IPK)]]+Tabelle4[[#This Row],[Total Industry Funding (ITA)]]</f>
        <v>17401.39211136891</v>
      </c>
      <c r="CR98" s="44">
        <f>Tabelle4[[#This Row],[Industry Funding from DE (IPK)]]+Tabelle4[[#This Row],[Industry Funding from DE (ITA)]]</f>
        <v>0</v>
      </c>
      <c r="CS98" s="44">
        <f>Tabelle4[[#This Row],[Industry Funding from BR (IPK)]]+Tabelle4[[#This Row],[Industry Funding from BR (ITA)]]</f>
        <v>17401.39211136891</v>
      </c>
      <c r="CT98" s="44">
        <f>Tabelle4[[#This Row],[Total Public Funding (IPK)]]+Tabelle4[[#This Row],[Total Public Funding (ITA)]]</f>
        <v>0</v>
      </c>
      <c r="CU98" s="44">
        <f>Tabelle4[[#This Row],[Public Funding from DE (IPK)]]+Tabelle4[[#This Row],[Public Funding from DE (ITA)]]</f>
        <v>0</v>
      </c>
      <c r="CV98" s="44">
        <f>Tabelle4[[#This Row],[Public Funding from BR (IPK)]]+Tabelle4[[#This Row],[Public Funding from BR (ITA)]]</f>
        <v>0</v>
      </c>
      <c r="CW98" s="44">
        <f>Tabelle4[[#This Row],[Industry Funding from DE (FPC)]]+Tabelle4[[#This Row],[Public Funding from DE (FPC)]]</f>
        <v>0</v>
      </c>
      <c r="CX98" s="46">
        <f>Tabelle4[[#This Row],[Industry Funding from BR (FPC)]]+Tabelle4[[#This Row],[Public Funding from BR (FPC)]]</f>
        <v>17401.39211136891</v>
      </c>
      <c r="CY98" s="44">
        <f>Tabelle4[[#This Row],[Total Financial Budget (Other)]]+Tabelle4[[#This Row],[Total In-kind Contribution (Other)]]</f>
        <v>0</v>
      </c>
      <c r="CZ9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98" s="44">
        <f>Tabelle4[[#This Row],[In-kind Contribution (R&amp;D III)]]+Tabelle4[[#This Row],[In-kind Contribution (R&amp;D IV)]]</f>
        <v>0</v>
      </c>
      <c r="DB98" s="158">
        <f>Tabelle4[[#This Row],[Total Budget (FPC)]]+Tabelle4[[#This Row],[Total Volume (Other)]]</f>
        <v>17401.39211136891</v>
      </c>
      <c r="DC98" s="104">
        <f>Tabelle4[[#This Row],[Total Revenues (IPK)]]</f>
        <v>0</v>
      </c>
      <c r="DE98" s="44">
        <f>Tabelle4[[#This Row],[Total Revenues IPK]]*Tabelle4[[#This Row],[Probability of Success]]</f>
        <v>0</v>
      </c>
      <c r="DL98" s="44">
        <f>Tabelle4[[#This Row],[Real Budget IPK]]*Tabelle4[[#This Row],[Acquisition Factor OE810]]</f>
        <v>0</v>
      </c>
      <c r="DN98" s="46">
        <f>Tabelle4[[#This Row],[Acquisition Bonus OE810]]+Tabelle4[[#This Row],[Project Execution OE810]]</f>
        <v>0</v>
      </c>
    </row>
    <row r="99" spans="1:16379" ht="75.75" customHeight="1" x14ac:dyDescent="0.45">
      <c r="A99" s="33" t="s">
        <v>582</v>
      </c>
      <c r="B99" s="33" t="s">
        <v>524</v>
      </c>
      <c r="C99" s="33" t="s">
        <v>776</v>
      </c>
      <c r="D99" s="33" t="s">
        <v>705</v>
      </c>
      <c r="E99" s="33">
        <v>1</v>
      </c>
      <c r="F99" s="33">
        <v>0</v>
      </c>
      <c r="G99" s="33" t="s">
        <v>2</v>
      </c>
      <c r="H99" s="33" t="s">
        <v>0</v>
      </c>
      <c r="I99" s="33" t="s">
        <v>583</v>
      </c>
      <c r="J99" s="59">
        <v>43878</v>
      </c>
      <c r="K99" s="33" t="s">
        <v>246</v>
      </c>
      <c r="L99" s="33" t="s">
        <v>309</v>
      </c>
      <c r="S99" s="59">
        <v>43878</v>
      </c>
      <c r="Y99" s="59">
        <v>44049</v>
      </c>
      <c r="Z99" s="42" t="str">
        <f t="shared" si="19"/>
        <v>IPK</v>
      </c>
      <c r="AG99" s="42" t="str">
        <f t="shared" si="20"/>
        <v>ITA</v>
      </c>
      <c r="AH99" s="33" t="s">
        <v>728</v>
      </c>
      <c r="AI99" s="33" t="s">
        <v>728</v>
      </c>
      <c r="AJ99" s="64"/>
      <c r="AK99" s="64"/>
      <c r="AN99" s="101"/>
      <c r="AU99" s="65"/>
      <c r="BC99" s="42"/>
      <c r="BE99" s="104"/>
      <c r="BF99" s="65"/>
      <c r="BY99" s="44">
        <f>Tabelle4[[#This Row],[Industry Funding from DE (IPK)]]+Tabelle4[[#This Row],[Industry Funding from BR (IPK)]]+Tabelle4[[#This Row],[Public Funding from DE (IPK)]]+Tabelle4[[#This Row],[Public Funding from BR (IPK)]]+Tabelle4[[#This Row],[In-kind Contribution (IPK)]]</f>
        <v>0</v>
      </c>
      <c r="BZ99" s="44">
        <f>Tabelle4[[#This Row],[Industry Funding from DE (IPK)]]+Tabelle4[[#This Row],[Industry Funding from BR (IPK)]]+Tabelle4[[#This Row],[Public Funding from DE (IPK)]]+Tabelle4[[#This Row],[Public Funding from BR (IPK)]]</f>
        <v>0</v>
      </c>
      <c r="CA99" s="44">
        <f>Tabelle4[[#This Row],[Industry Funding from DE (IPK)]]+Tabelle4[[#This Row],[Industry Funding from BR (IPK)]]</f>
        <v>0</v>
      </c>
      <c r="CB99" s="44">
        <f>Tabelle4[[#This Row],[Public Funding from DE (IPK)]]+Tabelle4[[#This Row],[Public Funding from BR (IPK)]]</f>
        <v>0</v>
      </c>
      <c r="CC99" s="44">
        <f>Tabelle4[[#This Row],[In-kind Contribution (IPK)]]</f>
        <v>0</v>
      </c>
      <c r="CD99" s="47" t="e">
        <f>(Tabelle4[[#This Row],[Total Industry Funding (IPK)]] + Tabelle4[[#This Row],[Total Public Funding (IPK)]])/Tabelle4[[#This Row],[Total Project Volume (IPK)]]</f>
        <v>#DIV/0!</v>
      </c>
      <c r="CE99" s="47" t="e">
        <f>Tabelle4[[#This Row],[Total Industry Funding (IPK)]] / Tabelle4[[#This Row],[Total Project Volume (IPK)]]</f>
        <v>#DIV/0!</v>
      </c>
      <c r="CF99" s="33" t="str">
        <f>Tabelle4[[#This Row],[Project Funding Classification]]</f>
        <v>Industry</v>
      </c>
      <c r="CG99" s="44">
        <f>Tabelle4[[#This Row],[Industry Funding from DE (IPK)]]+Tabelle4[[#This Row],[Public Funding from DE (IPK)]]</f>
        <v>0</v>
      </c>
      <c r="CH99" s="46">
        <f>Tabelle4[[#This Row],[Industry Funding from BR (IPK)]]+Tabelle4[[#This Row],[Public Funding from BR (IPK)]]</f>
        <v>0</v>
      </c>
      <c r="CI99" s="44">
        <f>Tabelle4[[#This Row],[Industry Funding from DE (ITA)]]+Tabelle4[[#This Row],[Industry Funding from BR (ITA)]]+Tabelle4[[#This Row],[Public Funding from DE (ITA)]]+Tabelle4[[#This Row],[Public Funding from BR (ITA)]]</f>
        <v>0</v>
      </c>
      <c r="CJ99" s="44">
        <f>Tabelle4[[#This Row],[Industry Funding from DE (ITA)]]+Tabelle4[[#This Row],[Industry Funding from BR (ITA)]]</f>
        <v>0</v>
      </c>
      <c r="CK99" s="44">
        <f>Tabelle4[[#This Row],[Public Funding from DE (ITA)]]+Tabelle4[[#This Row],[Public Funding from BR (ITA)]]</f>
        <v>0</v>
      </c>
      <c r="CL99" s="47" t="e">
        <f>Tabelle4[[#This Row],[Total Industry Funding (ITA)]]/Tabelle4[[#This Row],[Total Project Volume (ITA)]]</f>
        <v>#DIV/0!</v>
      </c>
      <c r="CM99" s="33" t="e">
        <f>IF(Tabelle4[[#This Row],[Funding Ratio (ITA)]]&lt;0.5,"Public Funding","Industry")</f>
        <v>#DIV/0!</v>
      </c>
      <c r="CN99" s="44">
        <f>Tabelle4[[#This Row],[Industry Funding from DE (ITA)]]+Tabelle4[[#This Row],[Public Funding from DE (ITA)]]</f>
        <v>0</v>
      </c>
      <c r="CO99" s="46">
        <f>Tabelle4[[#This Row],[Industry Funding from BR (ITA)]]+Tabelle4[[#This Row],[Public Funding from BR (ITA)]]</f>
        <v>0</v>
      </c>
      <c r="CP99" s="44">
        <f>Tabelle4[[#This Row],[Total Project Volume (IPK)]]+Tabelle4[[#This Row],[Total Project Volume (ITA)]]</f>
        <v>0</v>
      </c>
      <c r="CQ99" s="44">
        <f>Tabelle4[[#This Row],[Total Industry Funding (IPK)]]+Tabelle4[[#This Row],[Total Industry Funding (ITA)]]</f>
        <v>0</v>
      </c>
      <c r="CR99" s="44">
        <f>Tabelle4[[#This Row],[Industry Funding from DE (IPK)]]+Tabelle4[[#This Row],[Industry Funding from DE (ITA)]]</f>
        <v>0</v>
      </c>
      <c r="CS99" s="44">
        <f>Tabelle4[[#This Row],[Industry Funding from BR (IPK)]]+Tabelle4[[#This Row],[Industry Funding from BR (ITA)]]</f>
        <v>0</v>
      </c>
      <c r="CT99" s="44">
        <f>Tabelle4[[#This Row],[Total Public Funding (IPK)]]+Tabelle4[[#This Row],[Total Public Funding (ITA)]]</f>
        <v>0</v>
      </c>
      <c r="CU99" s="44">
        <f>Tabelle4[[#This Row],[Public Funding from DE (IPK)]]+Tabelle4[[#This Row],[Public Funding from DE (ITA)]]</f>
        <v>0</v>
      </c>
      <c r="CV99" s="44">
        <f>Tabelle4[[#This Row],[Public Funding from BR (IPK)]]+Tabelle4[[#This Row],[Public Funding from BR (ITA)]]</f>
        <v>0</v>
      </c>
      <c r="CW99" s="44">
        <f>Tabelle4[[#This Row],[Industry Funding from DE (FPC)]]+Tabelle4[[#This Row],[Public Funding from DE (FPC)]]</f>
        <v>0</v>
      </c>
      <c r="CX99" s="46">
        <f>Tabelle4[[#This Row],[Industry Funding from BR (FPC)]]+Tabelle4[[#This Row],[Public Funding from BR (FPC)]]</f>
        <v>0</v>
      </c>
      <c r="CY99" s="44">
        <f>Tabelle4[[#This Row],[Total Financial Budget (Other)]]+Tabelle4[[#This Row],[Total In-kind Contribution (Other)]]</f>
        <v>0</v>
      </c>
      <c r="CZ9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99" s="44">
        <f>Tabelle4[[#This Row],[In-kind Contribution (R&amp;D III)]]+Tabelle4[[#This Row],[In-kind Contribution (R&amp;D IV)]]</f>
        <v>0</v>
      </c>
      <c r="DB99" s="158">
        <f>Tabelle4[[#This Row],[Total Budget (FPC)]]+Tabelle4[[#This Row],[Total Volume (Other)]]</f>
        <v>0</v>
      </c>
      <c r="DC99" s="104">
        <f>Tabelle4[[#This Row],[Total Revenues (IPK)]]</f>
        <v>0</v>
      </c>
      <c r="DE99" s="44">
        <f>Tabelle4[[#This Row],[Total Revenues IPK]]*Tabelle4[[#This Row],[Probability of Success]]</f>
        <v>0</v>
      </c>
      <c r="DL99" s="44">
        <f>Tabelle4[[#This Row],[Real Budget IPK]]*Tabelle4[[#This Row],[Acquisition Factor OE810]]</f>
        <v>0</v>
      </c>
      <c r="DN99" s="46">
        <f>Tabelle4[[#This Row],[Acquisition Bonus OE810]]+Tabelle4[[#This Row],[Project Execution OE810]]</f>
        <v>0</v>
      </c>
    </row>
    <row r="100" spans="1:16379" ht="75.75" customHeight="1" x14ac:dyDescent="0.45">
      <c r="A100" s="33" t="s">
        <v>487</v>
      </c>
      <c r="B100" s="33" t="s">
        <v>614</v>
      </c>
      <c r="C100" s="33" t="s">
        <v>133</v>
      </c>
      <c r="D100" s="33" t="s">
        <v>711</v>
      </c>
      <c r="E100" s="33">
        <v>2</v>
      </c>
      <c r="F100" s="33">
        <v>0</v>
      </c>
      <c r="G100" s="33" t="s">
        <v>2</v>
      </c>
      <c r="H100" s="33" t="s">
        <v>96</v>
      </c>
      <c r="J100" s="59">
        <v>43857</v>
      </c>
      <c r="K100" s="33" t="s">
        <v>246</v>
      </c>
      <c r="L100" s="33" t="s">
        <v>309</v>
      </c>
      <c r="V100" s="59">
        <v>43857</v>
      </c>
      <c r="Y100" s="59">
        <v>44076</v>
      </c>
      <c r="Z100" s="42" t="str">
        <f t="shared" si="19"/>
        <v>IPK</v>
      </c>
      <c r="AB100" s="104"/>
      <c r="AC100" s="104"/>
      <c r="AD100" s="104"/>
      <c r="AE100" s="104"/>
      <c r="AF100" s="104"/>
      <c r="AG100" s="42" t="str">
        <f t="shared" si="20"/>
        <v>ITA</v>
      </c>
      <c r="AH100" s="33" t="s">
        <v>374</v>
      </c>
      <c r="AI100" s="33" t="s">
        <v>324</v>
      </c>
      <c r="AJ100" s="64"/>
      <c r="AK100" s="64"/>
      <c r="AM100" s="104">
        <f>(198175/4.311)</f>
        <v>45969.612618881933</v>
      </c>
      <c r="AN100" s="101"/>
      <c r="AQ100" s="104"/>
      <c r="AR100" s="104"/>
      <c r="AS100" s="104"/>
      <c r="AT100" s="104"/>
      <c r="AU100" s="101"/>
      <c r="AX100" s="104"/>
      <c r="AY100" s="104"/>
      <c r="AZ100" s="104"/>
      <c r="BA100" s="104"/>
      <c r="BB100" s="104"/>
      <c r="BC100" s="42"/>
      <c r="BE100" s="104"/>
      <c r="BF100" s="101"/>
      <c r="BI100" s="104"/>
      <c r="BJ100" s="101"/>
      <c r="BM100" s="104"/>
      <c r="BN100" s="101"/>
      <c r="BQ100" s="104"/>
      <c r="BR100" s="101"/>
      <c r="BU100" s="101"/>
      <c r="BX100" s="101"/>
      <c r="BY100" s="44">
        <f>Tabelle4[[#This Row],[Industry Funding from DE (IPK)]]+Tabelle4[[#This Row],[Industry Funding from BR (IPK)]]+Tabelle4[[#This Row],[Public Funding from DE (IPK)]]+Tabelle4[[#This Row],[Public Funding from BR (IPK)]]+Tabelle4[[#This Row],[In-kind Contribution (IPK)]]</f>
        <v>0</v>
      </c>
      <c r="BZ100" s="44">
        <f>Tabelle4[[#This Row],[Industry Funding from DE (IPK)]]+Tabelle4[[#This Row],[Industry Funding from BR (IPK)]]+Tabelle4[[#This Row],[Public Funding from DE (IPK)]]+Tabelle4[[#This Row],[Public Funding from BR (IPK)]]</f>
        <v>0</v>
      </c>
      <c r="CA100" s="44">
        <f>Tabelle4[[#This Row],[Industry Funding from DE (IPK)]]+Tabelle4[[#This Row],[Industry Funding from BR (IPK)]]</f>
        <v>0</v>
      </c>
      <c r="CB100" s="44">
        <f>Tabelle4[[#This Row],[Public Funding from DE (IPK)]]+Tabelle4[[#This Row],[Public Funding from BR (IPK)]]</f>
        <v>0</v>
      </c>
      <c r="CC100" s="44">
        <f>Tabelle4[[#This Row],[In-kind Contribution (IPK)]]</f>
        <v>0</v>
      </c>
      <c r="CD100" s="47" t="e">
        <f>(Tabelle4[[#This Row],[Total Industry Funding (IPK)]] + Tabelle4[[#This Row],[Total Public Funding (IPK)]])/Tabelle4[[#This Row],[Total Project Volume (IPK)]]</f>
        <v>#DIV/0!</v>
      </c>
      <c r="CE100" s="47" t="e">
        <f>Tabelle4[[#This Row],[Total Industry Funding (IPK)]] / Tabelle4[[#This Row],[Total Project Volume (IPK)]]</f>
        <v>#DIV/0!</v>
      </c>
      <c r="CF100" s="33" t="str">
        <f>Tabelle4[[#This Row],[Project Funding Classification]]</f>
        <v>Public Funding</v>
      </c>
      <c r="CG100" s="44">
        <f>Tabelle4[[#This Row],[Industry Funding from DE (IPK)]]+Tabelle4[[#This Row],[Public Funding from DE (IPK)]]</f>
        <v>0</v>
      </c>
      <c r="CH100" s="46">
        <f>Tabelle4[[#This Row],[Industry Funding from BR (IPK)]]+Tabelle4[[#This Row],[Public Funding from BR (IPK)]]</f>
        <v>0</v>
      </c>
      <c r="CI100" s="44">
        <f>Tabelle4[[#This Row],[Industry Funding from DE (ITA)]]+Tabelle4[[#This Row],[Industry Funding from BR (ITA)]]+Tabelle4[[#This Row],[Public Funding from DE (ITA)]]+Tabelle4[[#This Row],[Public Funding from BR (ITA)]]</f>
        <v>45969.612618881933</v>
      </c>
      <c r="CJ100" s="44">
        <f>Tabelle4[[#This Row],[Industry Funding from DE (ITA)]]+Tabelle4[[#This Row],[Industry Funding from BR (ITA)]]</f>
        <v>0</v>
      </c>
      <c r="CK100" s="44">
        <f>Tabelle4[[#This Row],[Public Funding from DE (ITA)]]+Tabelle4[[#This Row],[Public Funding from BR (ITA)]]</f>
        <v>45969.612618881933</v>
      </c>
      <c r="CL100" s="47">
        <f>Tabelle4[[#This Row],[Total Industry Funding (ITA)]]/Tabelle4[[#This Row],[Total Project Volume (ITA)]]</f>
        <v>0</v>
      </c>
      <c r="CM100" s="33" t="str">
        <f>IF(Tabelle4[[#This Row],[Funding Ratio (ITA)]]&lt;0.5,"Public Funding","Industry")</f>
        <v>Public Funding</v>
      </c>
      <c r="CN100" s="44">
        <f>Tabelle4[[#This Row],[Industry Funding from DE (ITA)]]+Tabelle4[[#This Row],[Public Funding from DE (ITA)]]</f>
        <v>0</v>
      </c>
      <c r="CO100" s="46">
        <f>Tabelle4[[#This Row],[Industry Funding from BR (ITA)]]+Tabelle4[[#This Row],[Public Funding from BR (ITA)]]</f>
        <v>45969.612618881933</v>
      </c>
      <c r="CP100" s="44">
        <f>Tabelle4[[#This Row],[Total Project Volume (IPK)]]+Tabelle4[[#This Row],[Total Project Volume (ITA)]]</f>
        <v>45969.612618881933</v>
      </c>
      <c r="CQ100" s="44">
        <f>Tabelle4[[#This Row],[Total Industry Funding (IPK)]]+Tabelle4[[#This Row],[Total Industry Funding (ITA)]]</f>
        <v>0</v>
      </c>
      <c r="CR100" s="44">
        <f>Tabelle4[[#This Row],[Industry Funding from DE (IPK)]]+Tabelle4[[#This Row],[Industry Funding from DE (ITA)]]</f>
        <v>0</v>
      </c>
      <c r="CS100" s="44">
        <f>Tabelle4[[#This Row],[Industry Funding from BR (IPK)]]+Tabelle4[[#This Row],[Industry Funding from BR (ITA)]]</f>
        <v>0</v>
      </c>
      <c r="CT100" s="44">
        <f>Tabelle4[[#This Row],[Total Public Funding (IPK)]]+Tabelle4[[#This Row],[Total Public Funding (ITA)]]</f>
        <v>45969.612618881933</v>
      </c>
      <c r="CU100" s="44">
        <f>Tabelle4[[#This Row],[Public Funding from DE (IPK)]]+Tabelle4[[#This Row],[Public Funding from DE (ITA)]]</f>
        <v>0</v>
      </c>
      <c r="CV100" s="44">
        <f>Tabelle4[[#This Row],[Public Funding from BR (IPK)]]+Tabelle4[[#This Row],[Public Funding from BR (ITA)]]</f>
        <v>45969.612618881933</v>
      </c>
      <c r="CW100" s="44">
        <f>Tabelle4[[#This Row],[Industry Funding from DE (FPC)]]+Tabelle4[[#This Row],[Public Funding from DE (FPC)]]</f>
        <v>0</v>
      </c>
      <c r="CX100" s="46">
        <f>Tabelle4[[#This Row],[Industry Funding from BR (FPC)]]+Tabelle4[[#This Row],[Public Funding from BR (FPC)]]</f>
        <v>45969.612618881933</v>
      </c>
      <c r="CY100" s="44">
        <f>Tabelle4[[#This Row],[Total Financial Budget (Other)]]+Tabelle4[[#This Row],[Total In-kind Contribution (Other)]]</f>
        <v>0</v>
      </c>
      <c r="CZ10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00" s="44">
        <f>Tabelle4[[#This Row],[In-kind Contribution (R&amp;D III)]]+Tabelle4[[#This Row],[In-kind Contribution (R&amp;D IV)]]</f>
        <v>0</v>
      </c>
      <c r="DB100" s="158">
        <f>Tabelle4[[#This Row],[Total Budget (FPC)]]+Tabelle4[[#This Row],[Total Volume (Other)]]</f>
        <v>45969.612618881933</v>
      </c>
      <c r="DC100" s="104">
        <f>Tabelle4[[#This Row],[Total Revenues (IPK)]]</f>
        <v>0</v>
      </c>
      <c r="DE100" s="44">
        <f>Tabelle4[[#This Row],[Total Revenues IPK]]*Tabelle4[[#This Row],[Probability of Success]]</f>
        <v>0</v>
      </c>
      <c r="DL100" s="44">
        <f>Tabelle4[[#This Row],[Real Budget IPK]]*Tabelle4[[#This Row],[Acquisition Factor OE810]]</f>
        <v>0</v>
      </c>
      <c r="DN100" s="46">
        <f>Tabelle4[[#This Row],[Acquisition Bonus OE810]]+Tabelle4[[#This Row],[Project Execution OE810]]</f>
        <v>0</v>
      </c>
    </row>
    <row r="101" spans="1:16379" ht="75.75" customHeight="1" x14ac:dyDescent="0.45">
      <c r="A101" s="69" t="s">
        <v>753</v>
      </c>
      <c r="B101" s="33" t="s">
        <v>370</v>
      </c>
      <c r="C101" s="33" t="s">
        <v>425</v>
      </c>
      <c r="D101" s="33" t="s">
        <v>711</v>
      </c>
      <c r="E101" s="33">
        <v>1</v>
      </c>
      <c r="F101" s="33">
        <v>0</v>
      </c>
      <c r="G101" s="33" t="s">
        <v>2</v>
      </c>
      <c r="H101" s="33" t="s">
        <v>96</v>
      </c>
      <c r="K101" s="33" t="s">
        <v>246</v>
      </c>
      <c r="L101" s="59" t="s">
        <v>309</v>
      </c>
      <c r="Q101" s="58">
        <v>24</v>
      </c>
      <c r="R101" s="60"/>
      <c r="S101" s="60"/>
      <c r="T101" s="60"/>
      <c r="U101" s="60"/>
      <c r="Y101" s="59">
        <v>43745</v>
      </c>
      <c r="Z101" s="42" t="str">
        <f t="shared" si="19"/>
        <v>IPK</v>
      </c>
      <c r="AG101" s="42" t="str">
        <f t="shared" si="20"/>
        <v>ITA</v>
      </c>
      <c r="AH101" s="33" t="s">
        <v>361</v>
      </c>
      <c r="AI101" s="33" t="s">
        <v>320</v>
      </c>
      <c r="AK101" s="64"/>
      <c r="AL101" s="64"/>
      <c r="AM101" s="104">
        <f>(2000000/4.3111)</f>
        <v>463918.72144000372</v>
      </c>
      <c r="AN101" s="101"/>
      <c r="AU101" s="65"/>
      <c r="BC101" s="42"/>
      <c r="BF101" s="65"/>
      <c r="BS101" s="33" t="s">
        <v>425</v>
      </c>
      <c r="BU101" s="65">
        <f>(2000000/4.3111)</f>
        <v>463918.72144000372</v>
      </c>
      <c r="BY101" s="44">
        <f>Tabelle4[[#This Row],[Industry Funding from DE (IPK)]]+Tabelle4[[#This Row],[Industry Funding from BR (IPK)]]+Tabelle4[[#This Row],[Public Funding from DE (IPK)]]+Tabelle4[[#This Row],[Public Funding from BR (IPK)]]+Tabelle4[[#This Row],[In-kind Contribution (IPK)]]</f>
        <v>0</v>
      </c>
      <c r="BZ101" s="44">
        <f>Tabelle4[[#This Row],[Industry Funding from DE (IPK)]]+Tabelle4[[#This Row],[Industry Funding from BR (IPK)]]+Tabelle4[[#This Row],[Public Funding from DE (IPK)]]+Tabelle4[[#This Row],[Public Funding from BR (IPK)]]</f>
        <v>0</v>
      </c>
      <c r="CA101" s="44">
        <f>Tabelle4[[#This Row],[Industry Funding from DE (IPK)]]+Tabelle4[[#This Row],[Industry Funding from BR (IPK)]]</f>
        <v>0</v>
      </c>
      <c r="CB101" s="44">
        <f>Tabelle4[[#This Row],[Public Funding from DE (IPK)]]+Tabelle4[[#This Row],[Public Funding from BR (IPK)]]</f>
        <v>0</v>
      </c>
      <c r="CC101" s="44">
        <f>Tabelle4[[#This Row],[In-kind Contribution (IPK)]]</f>
        <v>0</v>
      </c>
      <c r="CD101" s="47" t="e">
        <f>(Tabelle4[[#This Row],[Total Industry Funding (IPK)]] + Tabelle4[[#This Row],[Total Public Funding (IPK)]])/Tabelle4[[#This Row],[Total Project Volume (IPK)]]</f>
        <v>#DIV/0!</v>
      </c>
      <c r="CE101" s="47" t="e">
        <f>Tabelle4[[#This Row],[Total Industry Funding (IPK)]] / Tabelle4[[#This Row],[Total Project Volume (IPK)]]</f>
        <v>#DIV/0!</v>
      </c>
      <c r="CF101" s="33" t="str">
        <f>Tabelle4[[#This Row],[Project Funding Classification]]</f>
        <v>Public Funding</v>
      </c>
      <c r="CG101" s="44">
        <f>Tabelle4[[#This Row],[Industry Funding from DE (IPK)]]+Tabelle4[[#This Row],[Public Funding from DE (IPK)]]</f>
        <v>0</v>
      </c>
      <c r="CH101" s="46">
        <f>Tabelle4[[#This Row],[Industry Funding from BR (IPK)]]+Tabelle4[[#This Row],[Public Funding from BR (IPK)]]</f>
        <v>0</v>
      </c>
      <c r="CI101" s="44">
        <f>Tabelle4[[#This Row],[Industry Funding from DE (ITA)]]+Tabelle4[[#This Row],[Industry Funding from BR (ITA)]]+Tabelle4[[#This Row],[Public Funding from DE (ITA)]]+Tabelle4[[#This Row],[Public Funding from BR (ITA)]]</f>
        <v>463918.72144000372</v>
      </c>
      <c r="CJ101" s="44">
        <f>Tabelle4[[#This Row],[Industry Funding from DE (ITA)]]+Tabelle4[[#This Row],[Industry Funding from BR (ITA)]]</f>
        <v>0</v>
      </c>
      <c r="CK101" s="44">
        <f>Tabelle4[[#This Row],[Public Funding from DE (ITA)]]+Tabelle4[[#This Row],[Public Funding from BR (ITA)]]</f>
        <v>463918.72144000372</v>
      </c>
      <c r="CL101" s="47">
        <f>Tabelle4[[#This Row],[Total Industry Funding (ITA)]]/Tabelle4[[#This Row],[Total Project Volume (ITA)]]</f>
        <v>0</v>
      </c>
      <c r="CM101" s="33" t="str">
        <f>IF(Tabelle4[[#This Row],[Funding Ratio (ITA)]]&lt;0.5,"Public Funding","Industry")</f>
        <v>Public Funding</v>
      </c>
      <c r="CN101" s="44">
        <f>Tabelle4[[#This Row],[Industry Funding from DE (ITA)]]+Tabelle4[[#This Row],[Public Funding from DE (ITA)]]</f>
        <v>0</v>
      </c>
      <c r="CO101" s="46">
        <f>Tabelle4[[#This Row],[Industry Funding from BR (ITA)]]+Tabelle4[[#This Row],[Public Funding from BR (ITA)]]</f>
        <v>463918.72144000372</v>
      </c>
      <c r="CP101" s="44">
        <f>Tabelle4[[#This Row],[Total Project Volume (IPK)]]+Tabelle4[[#This Row],[Total Project Volume (ITA)]]</f>
        <v>463918.72144000372</v>
      </c>
      <c r="CQ101" s="44">
        <f>Tabelle4[[#This Row],[Total Industry Funding (IPK)]]+Tabelle4[[#This Row],[Total Industry Funding (ITA)]]</f>
        <v>0</v>
      </c>
      <c r="CR101" s="44">
        <f>Tabelle4[[#This Row],[Industry Funding from DE (IPK)]]+Tabelle4[[#This Row],[Industry Funding from DE (ITA)]]</f>
        <v>0</v>
      </c>
      <c r="CS101" s="44">
        <f>Tabelle4[[#This Row],[Industry Funding from BR (IPK)]]+Tabelle4[[#This Row],[Industry Funding from BR (ITA)]]</f>
        <v>0</v>
      </c>
      <c r="CT101" s="44">
        <f>Tabelle4[[#This Row],[Total Public Funding (IPK)]]+Tabelle4[[#This Row],[Total Public Funding (ITA)]]</f>
        <v>463918.72144000372</v>
      </c>
      <c r="CU101" s="44">
        <f>Tabelle4[[#This Row],[Public Funding from DE (IPK)]]+Tabelle4[[#This Row],[Public Funding from DE (ITA)]]</f>
        <v>0</v>
      </c>
      <c r="CV101" s="44">
        <f>Tabelle4[[#This Row],[Public Funding from BR (IPK)]]+Tabelle4[[#This Row],[Public Funding from BR (ITA)]]</f>
        <v>463918.72144000372</v>
      </c>
      <c r="CW101" s="44">
        <f>Tabelle4[[#This Row],[Industry Funding from DE (FPC)]]+Tabelle4[[#This Row],[Public Funding from DE (FPC)]]</f>
        <v>0</v>
      </c>
      <c r="CX101" s="46">
        <f>Tabelle4[[#This Row],[Industry Funding from BR (FPC)]]+Tabelle4[[#This Row],[Public Funding from BR (FPC)]]</f>
        <v>463918.72144000372</v>
      </c>
      <c r="CY101" s="44">
        <f>Tabelle4[[#This Row],[Total Financial Budget (Other)]]+Tabelle4[[#This Row],[Total In-kind Contribution (Other)]]</f>
        <v>0</v>
      </c>
      <c r="CZ10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01" s="44">
        <f>Tabelle4[[#This Row],[In-kind Contribution (R&amp;D III)]]+Tabelle4[[#This Row],[In-kind Contribution (R&amp;D IV)]]</f>
        <v>0</v>
      </c>
      <c r="DB101" s="158">
        <f>Tabelle4[[#This Row],[Total Budget (FPC)]]+Tabelle4[[#This Row],[Total Volume (Other)]]</f>
        <v>463918.72144000372</v>
      </c>
      <c r="DC101" s="104">
        <f>Tabelle4[[#This Row],[Total Revenues (IPK)]]</f>
        <v>0</v>
      </c>
      <c r="DE101" s="44">
        <f>Tabelle4[[#This Row],[Total Revenues IPK]]*Tabelle4[[#This Row],[Probability of Success]]</f>
        <v>0</v>
      </c>
      <c r="DL101" s="44">
        <f>Tabelle4[[#This Row],[Real Budget IPK]]*Tabelle4[[#This Row],[Acquisition Factor OE810]]</f>
        <v>0</v>
      </c>
      <c r="DN101" s="46">
        <f>Tabelle4[[#This Row],[Acquisition Bonus OE810]]+Tabelle4[[#This Row],[Project Execution OE810]]</f>
        <v>0</v>
      </c>
    </row>
    <row r="102" spans="1:16379" ht="75.75" customHeight="1" x14ac:dyDescent="0.45">
      <c r="A102" s="69" t="s">
        <v>625</v>
      </c>
      <c r="B102" s="33" t="s">
        <v>623</v>
      </c>
      <c r="C102" s="33" t="s">
        <v>624</v>
      </c>
      <c r="D102" s="33" t="s">
        <v>711</v>
      </c>
      <c r="E102" s="33">
        <v>5</v>
      </c>
      <c r="G102" s="33" t="s">
        <v>2</v>
      </c>
      <c r="H102" s="33" t="s">
        <v>96</v>
      </c>
      <c r="I102" s="33" t="s">
        <v>862</v>
      </c>
      <c r="J102" s="59">
        <v>44020</v>
      </c>
      <c r="K102" s="33" t="s">
        <v>243</v>
      </c>
      <c r="L102" s="59" t="s">
        <v>308</v>
      </c>
      <c r="Q102" s="58"/>
      <c r="U102" s="59">
        <v>44020</v>
      </c>
      <c r="V102" s="59">
        <v>44034</v>
      </c>
      <c r="Z102" s="42" t="str">
        <f t="shared" si="19"/>
        <v>IPK</v>
      </c>
      <c r="AG102" s="42" t="str">
        <f t="shared" si="20"/>
        <v>ITA</v>
      </c>
      <c r="AH102" s="33" t="s">
        <v>130</v>
      </c>
      <c r="AI102" s="33" t="s">
        <v>130</v>
      </c>
      <c r="AK102" s="64"/>
      <c r="AL102" s="64"/>
      <c r="AM102" s="64"/>
      <c r="AN102" s="101"/>
      <c r="AU102" s="101"/>
      <c r="BC102" s="42"/>
      <c r="BE102" s="64"/>
      <c r="BF102" s="65"/>
      <c r="BI102" s="64"/>
      <c r="BO102" s="114"/>
      <c r="BP102" s="114"/>
      <c r="BW102" s="114"/>
      <c r="BY102" s="44">
        <f>Tabelle4[[#This Row],[Industry Funding from DE (IPK)]]+Tabelle4[[#This Row],[Industry Funding from BR (IPK)]]+Tabelle4[[#This Row],[Public Funding from DE (IPK)]]+Tabelle4[[#This Row],[Public Funding from BR (IPK)]]+Tabelle4[[#This Row],[In-kind Contribution (IPK)]]</f>
        <v>0</v>
      </c>
      <c r="BZ102" s="44">
        <f>Tabelle4[[#This Row],[Industry Funding from DE (IPK)]]+Tabelle4[[#This Row],[Industry Funding from BR (IPK)]]+Tabelle4[[#This Row],[Public Funding from DE (IPK)]]+Tabelle4[[#This Row],[Public Funding from BR (IPK)]]</f>
        <v>0</v>
      </c>
      <c r="CA102" s="44">
        <f>Tabelle4[[#This Row],[Industry Funding from DE (IPK)]]+Tabelle4[[#This Row],[Industry Funding from BR (IPK)]]</f>
        <v>0</v>
      </c>
      <c r="CB102" s="44">
        <f>Tabelle4[[#This Row],[Public Funding from DE (IPK)]]+Tabelle4[[#This Row],[Public Funding from BR (IPK)]]</f>
        <v>0</v>
      </c>
      <c r="CC102" s="44">
        <f>Tabelle4[[#This Row],[In-kind Contribution (IPK)]]</f>
        <v>0</v>
      </c>
      <c r="CD102" s="47" t="e">
        <f>(Tabelle4[[#This Row],[Total Industry Funding (IPK)]] + Tabelle4[[#This Row],[Total Public Funding (IPK)]])/Tabelle4[[#This Row],[Total Project Volume (IPK)]]</f>
        <v>#DIV/0!</v>
      </c>
      <c r="CE102" s="47" t="e">
        <f>Tabelle4[[#This Row],[Total Industry Funding (IPK)]] / Tabelle4[[#This Row],[Total Project Volume (IPK)]]</f>
        <v>#DIV/0!</v>
      </c>
      <c r="CF102" s="33" t="str">
        <f>Tabelle4[[#This Row],[Project Funding Classification]]</f>
        <v>Public Funding</v>
      </c>
      <c r="CG102" s="44">
        <f>Tabelle4[[#This Row],[Industry Funding from DE (IPK)]]+Tabelle4[[#This Row],[Public Funding from DE (IPK)]]</f>
        <v>0</v>
      </c>
      <c r="CH102" s="46">
        <f>Tabelle4[[#This Row],[Industry Funding from BR (IPK)]]+Tabelle4[[#This Row],[Public Funding from BR (IPK)]]</f>
        <v>0</v>
      </c>
      <c r="CI102" s="44">
        <f>Tabelle4[[#This Row],[Industry Funding from DE (ITA)]]+Tabelle4[[#This Row],[Industry Funding from BR (ITA)]]+Tabelle4[[#This Row],[Public Funding from DE (ITA)]]+Tabelle4[[#This Row],[Public Funding from BR (ITA)]]</f>
        <v>0</v>
      </c>
      <c r="CJ102" s="44">
        <f>Tabelle4[[#This Row],[Industry Funding from DE (ITA)]]+Tabelle4[[#This Row],[Industry Funding from BR (ITA)]]</f>
        <v>0</v>
      </c>
      <c r="CK102" s="44">
        <f>Tabelle4[[#This Row],[Public Funding from DE (ITA)]]+Tabelle4[[#This Row],[Public Funding from BR (ITA)]]</f>
        <v>0</v>
      </c>
      <c r="CL102" s="47" t="e">
        <f>Tabelle4[[#This Row],[Total Industry Funding (ITA)]]/Tabelle4[[#This Row],[Total Project Volume (ITA)]]</f>
        <v>#DIV/0!</v>
      </c>
      <c r="CM102" s="33" t="e">
        <f>IF(Tabelle4[[#This Row],[Funding Ratio (ITA)]]&lt;0.5,"Public Funding","Industry")</f>
        <v>#DIV/0!</v>
      </c>
      <c r="CN102" s="44">
        <f>Tabelle4[[#This Row],[Industry Funding from DE (ITA)]]+Tabelle4[[#This Row],[Public Funding from DE (ITA)]]</f>
        <v>0</v>
      </c>
      <c r="CO102" s="111">
        <f>Tabelle4[[#This Row],[Industry Funding from BR (ITA)]]+Tabelle4[[#This Row],[Public Funding from BR (ITA)]]</f>
        <v>0</v>
      </c>
      <c r="CP102" s="44">
        <f>Tabelle4[[#This Row],[Total Project Volume (IPK)]]+Tabelle4[[#This Row],[Total Project Volume (ITA)]]</f>
        <v>0</v>
      </c>
      <c r="CQ102" s="44">
        <f>Tabelle4[[#This Row],[Total Industry Funding (IPK)]]+Tabelle4[[#This Row],[Total Industry Funding (ITA)]]</f>
        <v>0</v>
      </c>
      <c r="CR102" s="44">
        <f>Tabelle4[[#This Row],[Industry Funding from DE (IPK)]]+Tabelle4[[#This Row],[Industry Funding from DE (ITA)]]</f>
        <v>0</v>
      </c>
      <c r="CS102" s="44">
        <f>Tabelle4[[#This Row],[Industry Funding from BR (IPK)]]+Tabelle4[[#This Row],[Industry Funding from BR (ITA)]]</f>
        <v>0</v>
      </c>
      <c r="CT102" s="44">
        <f>Tabelle4[[#This Row],[Total Public Funding (IPK)]]+Tabelle4[[#This Row],[Total Public Funding (ITA)]]</f>
        <v>0</v>
      </c>
      <c r="CU102" s="44">
        <f>Tabelle4[[#This Row],[Public Funding from DE (IPK)]]+Tabelle4[[#This Row],[Public Funding from DE (ITA)]]</f>
        <v>0</v>
      </c>
      <c r="CV102" s="44">
        <f>Tabelle4[[#This Row],[Public Funding from BR (IPK)]]+Tabelle4[[#This Row],[Public Funding from BR (ITA)]]</f>
        <v>0</v>
      </c>
      <c r="CW102" s="44">
        <f>Tabelle4[[#This Row],[Industry Funding from DE (FPC)]]+Tabelle4[[#This Row],[Public Funding from DE (FPC)]]</f>
        <v>0</v>
      </c>
      <c r="CX102" s="46">
        <f>Tabelle4[[#This Row],[Industry Funding from BR (FPC)]]+Tabelle4[[#This Row],[Public Funding from BR (FPC)]]</f>
        <v>0</v>
      </c>
      <c r="CY102" s="44">
        <f>Tabelle4[[#This Row],[Total Financial Budget (Other)]]+Tabelle4[[#This Row],[Total In-kind Contribution (Other)]]</f>
        <v>0</v>
      </c>
      <c r="CZ10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02" s="44">
        <f>Tabelle4[[#This Row],[In-kind Contribution (R&amp;D III)]]+Tabelle4[[#This Row],[In-kind Contribution (R&amp;D IV)]]</f>
        <v>0</v>
      </c>
      <c r="DB102" s="158">
        <f>Tabelle4[[#This Row],[Total Budget (FPC)]]+Tabelle4[[#This Row],[Total Volume (Other)]]</f>
        <v>0</v>
      </c>
      <c r="DC102" s="104">
        <f>Tabelle4[[#This Row],[Total Revenues (IPK)]]</f>
        <v>0</v>
      </c>
      <c r="DE102" s="44">
        <f>Tabelle4[[#This Row],[Total Revenues IPK]]*Tabelle4[[#This Row],[Probability of Success]]</f>
        <v>0</v>
      </c>
      <c r="DL102" s="44">
        <f>Tabelle4[[#This Row],[Real Budget IPK]]*Tabelle4[[#This Row],[Acquisition Factor OE810]]</f>
        <v>0</v>
      </c>
      <c r="DN102" s="46">
        <f>Tabelle4[[#This Row],[Acquisition Bonus OE810]]+Tabelle4[[#This Row],[Project Execution OE810]]</f>
        <v>0</v>
      </c>
    </row>
    <row r="103" spans="1:16379" ht="75.75" customHeight="1" x14ac:dyDescent="0.45">
      <c r="A103" s="33" t="s">
        <v>479</v>
      </c>
      <c r="B103" s="33" t="s">
        <v>558</v>
      </c>
      <c r="C103" s="33" t="s">
        <v>864</v>
      </c>
      <c r="D103" s="33" t="s">
        <v>711</v>
      </c>
      <c r="E103" s="33">
        <v>7</v>
      </c>
      <c r="F103" s="33">
        <v>1</v>
      </c>
      <c r="G103" s="33" t="s">
        <v>97</v>
      </c>
      <c r="H103" s="33" t="s">
        <v>96</v>
      </c>
      <c r="I103" s="33" t="s">
        <v>862</v>
      </c>
      <c r="J103" s="59">
        <v>43857</v>
      </c>
      <c r="K103" s="33" t="s">
        <v>243</v>
      </c>
      <c r="L103" s="33" t="s">
        <v>308</v>
      </c>
      <c r="M103" s="144">
        <v>6.7</v>
      </c>
      <c r="N103" s="33" t="s">
        <v>667</v>
      </c>
      <c r="P103" s="59">
        <v>44348</v>
      </c>
      <c r="Q103" s="33">
        <v>60</v>
      </c>
      <c r="S103" s="59">
        <v>43857</v>
      </c>
      <c r="U103" s="59">
        <v>43937</v>
      </c>
      <c r="V103" s="59">
        <v>43968</v>
      </c>
      <c r="Z103" s="42" t="str">
        <f t="shared" si="19"/>
        <v>IPK</v>
      </c>
      <c r="AA103" s="33" t="s">
        <v>459</v>
      </c>
      <c r="AB103" s="104"/>
      <c r="AC103" s="104">
        <v>145800</v>
      </c>
      <c r="AD103" s="104"/>
      <c r="AE103" s="104"/>
      <c r="AF103" s="104"/>
      <c r="AG103" s="42" t="str">
        <f t="shared" si="20"/>
        <v>ITA</v>
      </c>
      <c r="AH103" s="33" t="s">
        <v>423</v>
      </c>
      <c r="AI103" s="33" t="s">
        <v>679</v>
      </c>
      <c r="AJ103" s="64"/>
      <c r="AK103" s="64"/>
      <c r="AM103" s="104">
        <f>(900000/M103)</f>
        <v>134328.35820895521</v>
      </c>
      <c r="AN103" s="101"/>
      <c r="AO103" s="33" t="s">
        <v>163</v>
      </c>
      <c r="AP103" s="33" t="s">
        <v>498</v>
      </c>
      <c r="AQ103" s="104"/>
      <c r="AR103" s="104"/>
      <c r="AS103" s="104"/>
      <c r="AT103" s="104"/>
      <c r="AU103" s="101"/>
      <c r="AX103" s="104"/>
      <c r="AY103" s="104"/>
      <c r="AZ103" s="104"/>
      <c r="BA103" s="104"/>
      <c r="BB103" s="104"/>
      <c r="BC103" s="42" t="s">
        <v>121</v>
      </c>
      <c r="BE103" s="104">
        <f>4800000/Tabelle4[[#This Row],[EUR exchange rate against BRL]]</f>
        <v>716417.91044776118</v>
      </c>
      <c r="BF103" s="101"/>
      <c r="BI103" s="104"/>
      <c r="BJ103" s="101"/>
      <c r="BM103" s="104"/>
      <c r="BN103" s="101"/>
      <c r="BQ103" s="104"/>
      <c r="BR103" s="101"/>
      <c r="BS103" s="33" t="s">
        <v>133</v>
      </c>
      <c r="BU103" s="101">
        <f>4800000/Tabelle4[[#This Row],[EUR exchange rate against BRL]]</f>
        <v>716417.91044776118</v>
      </c>
      <c r="BX103" s="101"/>
      <c r="BY103" s="44">
        <f>Tabelle4[[#This Row],[Industry Funding from DE (IPK)]]+Tabelle4[[#This Row],[Industry Funding from BR (IPK)]]+Tabelle4[[#This Row],[Public Funding from DE (IPK)]]+Tabelle4[[#This Row],[Public Funding from BR (IPK)]]+Tabelle4[[#This Row],[In-kind Contribution (IPK)]]</f>
        <v>145800</v>
      </c>
      <c r="BZ103" s="44">
        <f>Tabelle4[[#This Row],[Industry Funding from DE (IPK)]]+Tabelle4[[#This Row],[Industry Funding from BR (IPK)]]+Tabelle4[[#This Row],[Public Funding from DE (IPK)]]+Tabelle4[[#This Row],[Public Funding from BR (IPK)]]</f>
        <v>145800</v>
      </c>
      <c r="CA103" s="44">
        <f>Tabelle4[[#This Row],[Industry Funding from DE (IPK)]]+Tabelle4[[#This Row],[Industry Funding from BR (IPK)]]</f>
        <v>145800</v>
      </c>
      <c r="CB103" s="44">
        <f>Tabelle4[[#This Row],[Public Funding from DE (IPK)]]+Tabelle4[[#This Row],[Public Funding from BR (IPK)]]</f>
        <v>0</v>
      </c>
      <c r="CC103" s="44">
        <f>Tabelle4[[#This Row],[In-kind Contribution (IPK)]]</f>
        <v>0</v>
      </c>
      <c r="CD103" s="47">
        <f>(Tabelle4[[#This Row],[Total Industry Funding (IPK)]] + Tabelle4[[#This Row],[Total Public Funding (IPK)]])/Tabelle4[[#This Row],[Total Project Volume (IPK)]]</f>
        <v>1</v>
      </c>
      <c r="CE103" s="47">
        <f>Tabelle4[[#This Row],[Total Industry Funding (IPK)]] / Tabelle4[[#This Row],[Total Project Volume (IPK)]]</f>
        <v>1</v>
      </c>
      <c r="CF103" s="33" t="s">
        <v>0</v>
      </c>
      <c r="CG103" s="44">
        <f>Tabelle4[[#This Row],[Industry Funding from DE (IPK)]]+Tabelle4[[#This Row],[Public Funding from DE (IPK)]]</f>
        <v>0</v>
      </c>
      <c r="CH103" s="46">
        <f>Tabelle4[[#This Row],[Industry Funding from BR (IPK)]]+Tabelle4[[#This Row],[Public Funding from BR (IPK)]]</f>
        <v>145800</v>
      </c>
      <c r="CI103" s="44">
        <f>Tabelle4[[#This Row],[Industry Funding from DE (ITA)]]+Tabelle4[[#This Row],[Industry Funding from BR (ITA)]]+Tabelle4[[#This Row],[Public Funding from DE (ITA)]]+Tabelle4[[#This Row],[Public Funding from BR (ITA)]]</f>
        <v>134328.35820895521</v>
      </c>
      <c r="CJ103" s="44">
        <f>Tabelle4[[#This Row],[Industry Funding from DE (ITA)]]+Tabelle4[[#This Row],[Industry Funding from BR (ITA)]]</f>
        <v>0</v>
      </c>
      <c r="CK103" s="44">
        <f>Tabelle4[[#This Row],[Public Funding from DE (ITA)]]+Tabelle4[[#This Row],[Public Funding from BR (ITA)]]</f>
        <v>134328.35820895521</v>
      </c>
      <c r="CL103" s="47">
        <f>Tabelle4[[#This Row],[Total Industry Funding (ITA)]]/Tabelle4[[#This Row],[Total Project Volume (ITA)]]</f>
        <v>0</v>
      </c>
      <c r="CM103" s="33" t="str">
        <f>IF(Tabelle4[[#This Row],[Funding Ratio (ITA)]]&lt;0.5,"Public Funding","Industry")</f>
        <v>Public Funding</v>
      </c>
      <c r="CN103" s="44">
        <f>Tabelle4[[#This Row],[Industry Funding from DE (ITA)]]+Tabelle4[[#This Row],[Public Funding from DE (ITA)]]</f>
        <v>0</v>
      </c>
      <c r="CO103" s="46">
        <f>Tabelle4[[#This Row],[Industry Funding from BR (ITA)]]+Tabelle4[[#This Row],[Public Funding from BR (ITA)]]</f>
        <v>134328.35820895521</v>
      </c>
      <c r="CP103" s="44">
        <f>Tabelle4[[#This Row],[Total Project Volume (IPK)]]+Tabelle4[[#This Row],[Total Project Volume (ITA)]]</f>
        <v>280128.35820895521</v>
      </c>
      <c r="CQ103" s="44">
        <f>Tabelle4[[#This Row],[Total Industry Funding (IPK)]]+Tabelle4[[#This Row],[Total Industry Funding (ITA)]]</f>
        <v>145800</v>
      </c>
      <c r="CR103" s="44">
        <f>Tabelle4[[#This Row],[Industry Funding from DE (IPK)]]+Tabelle4[[#This Row],[Industry Funding from DE (ITA)]]</f>
        <v>0</v>
      </c>
      <c r="CS103" s="44">
        <f>Tabelle4[[#This Row],[Industry Funding from BR (IPK)]]+Tabelle4[[#This Row],[Industry Funding from BR (ITA)]]</f>
        <v>145800</v>
      </c>
      <c r="CT103" s="44">
        <f>Tabelle4[[#This Row],[Total Public Funding (IPK)]]+Tabelle4[[#This Row],[Total Public Funding (ITA)]]</f>
        <v>134328.35820895521</v>
      </c>
      <c r="CU103" s="44">
        <f>Tabelle4[[#This Row],[Public Funding from DE (IPK)]]+Tabelle4[[#This Row],[Public Funding from DE (ITA)]]</f>
        <v>0</v>
      </c>
      <c r="CV103" s="44">
        <f>Tabelle4[[#This Row],[Public Funding from BR (IPK)]]+Tabelle4[[#This Row],[Public Funding from BR (ITA)]]</f>
        <v>134328.35820895521</v>
      </c>
      <c r="CW103" s="44">
        <f>Tabelle4[[#This Row],[Industry Funding from DE (FPC)]]+Tabelle4[[#This Row],[Public Funding from DE (FPC)]]</f>
        <v>0</v>
      </c>
      <c r="CX103" s="46">
        <f>Tabelle4[[#This Row],[Industry Funding from BR (FPC)]]+Tabelle4[[#This Row],[Public Funding from BR (FPC)]]</f>
        <v>280128.35820895521</v>
      </c>
      <c r="CY103" s="44">
        <f>Tabelle4[[#This Row],[Total Financial Budget (Other)]]+Tabelle4[[#This Row],[Total In-kind Contribution (Other)]]</f>
        <v>0</v>
      </c>
      <c r="CZ10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03" s="44">
        <f>Tabelle4[[#This Row],[In-kind Contribution (R&amp;D III)]]+Tabelle4[[#This Row],[In-kind Contribution (R&amp;D IV)]]</f>
        <v>0</v>
      </c>
      <c r="DB103" s="158">
        <f>Tabelle4[[#This Row],[Total Budget (FPC)]]+Tabelle4[[#This Row],[Total Volume (Other)]]</f>
        <v>280128.35820895521</v>
      </c>
      <c r="DC103" s="104">
        <f>Tabelle4[[#This Row],[Total Revenues (IPK)]]</f>
        <v>145800</v>
      </c>
      <c r="DD103" s="47">
        <v>0.5</v>
      </c>
      <c r="DE103" s="44">
        <f>Tabelle4[[#This Row],[Total Revenues IPK]]*Tabelle4[[#This Row],[Probability of Success]]</f>
        <v>72900</v>
      </c>
      <c r="DK103" s="47">
        <v>0.2</v>
      </c>
      <c r="DL103" s="44">
        <f>Tabelle4[[#This Row],[Real Budget IPK]]*Tabelle4[[#This Row],[Acquisition Factor OE810]]</f>
        <v>14580</v>
      </c>
      <c r="DN103" s="46">
        <f>Tabelle4[[#This Row],[Acquisition Bonus OE810]]+Tabelle4[[#This Row],[Project Execution OE810]]</f>
        <v>14580</v>
      </c>
    </row>
    <row r="104" spans="1:16379" ht="75.75" customHeight="1" x14ac:dyDescent="0.45">
      <c r="A104" s="69" t="s">
        <v>592</v>
      </c>
      <c r="B104" s="49" t="s">
        <v>591</v>
      </c>
      <c r="C104" s="33" t="s">
        <v>133</v>
      </c>
      <c r="D104" s="33" t="s">
        <v>711</v>
      </c>
      <c r="E104" s="49">
        <v>1</v>
      </c>
      <c r="F104" s="49">
        <v>0</v>
      </c>
      <c r="G104" s="49" t="s">
        <v>2</v>
      </c>
      <c r="H104" s="49" t="s">
        <v>96</v>
      </c>
      <c r="I104" s="33" t="s">
        <v>593</v>
      </c>
      <c r="J104" s="50"/>
      <c r="K104" s="49" t="s">
        <v>244</v>
      </c>
      <c r="L104" s="49" t="s">
        <v>651</v>
      </c>
      <c r="M104" s="146"/>
      <c r="N104" s="49"/>
      <c r="O104" s="50"/>
      <c r="P104" s="50"/>
      <c r="Q104" s="49">
        <v>12</v>
      </c>
      <c r="R104" s="50"/>
      <c r="S104" s="50"/>
      <c r="T104" s="50"/>
      <c r="U104" s="50"/>
      <c r="V104" s="50"/>
      <c r="W104" s="59">
        <v>43474</v>
      </c>
      <c r="X104" s="50"/>
      <c r="Y104" s="50"/>
      <c r="Z104" s="48" t="str">
        <f t="shared" si="19"/>
        <v>IPK</v>
      </c>
      <c r="AA104" s="49"/>
      <c r="AB104" s="105"/>
      <c r="AC104" s="105"/>
      <c r="AD104" s="120"/>
      <c r="AE104" s="105"/>
      <c r="AF104" s="105"/>
      <c r="AG104" s="48" t="str">
        <f t="shared" si="20"/>
        <v>ITA</v>
      </c>
      <c r="AH104" s="33" t="s">
        <v>327</v>
      </c>
      <c r="AI104" s="33" t="s">
        <v>316</v>
      </c>
      <c r="AM104" s="104">
        <f>(36500/4.5057 )</f>
        <v>8100.8500344008698</v>
      </c>
      <c r="AN104" s="101"/>
      <c r="AO104" s="49"/>
      <c r="AP104" s="49"/>
      <c r="AQ104" s="105"/>
      <c r="AR104" s="105"/>
      <c r="AS104" s="105"/>
      <c r="AT104" s="105"/>
      <c r="AU104" s="102"/>
      <c r="AV104" s="49"/>
      <c r="AW104" s="49"/>
      <c r="AX104" s="105"/>
      <c r="AY104" s="105"/>
      <c r="AZ104" s="105"/>
      <c r="BA104" s="105"/>
      <c r="BB104" s="105"/>
      <c r="BC104" s="48"/>
      <c r="BD104" s="49"/>
      <c r="BE104" s="105"/>
      <c r="BF104" s="102"/>
      <c r="BG104" s="49"/>
      <c r="BH104" s="49"/>
      <c r="BI104" s="105"/>
      <c r="BJ104" s="102"/>
      <c r="BK104" s="49"/>
      <c r="BL104" s="49"/>
      <c r="BM104" s="105"/>
      <c r="BN104" s="102"/>
      <c r="BO104" s="49"/>
      <c r="BP104" s="49"/>
      <c r="BQ104" s="105"/>
      <c r="BR104" s="102"/>
      <c r="BS104" s="33" t="s">
        <v>133</v>
      </c>
      <c r="BT104" s="49"/>
      <c r="BU104" s="102">
        <f>Tabelle4[[#This Row],[Public Funding from BR (ITA)]]</f>
        <v>8100.8500344008698</v>
      </c>
      <c r="BV104" s="49"/>
      <c r="BW104" s="49"/>
      <c r="BX104" s="102"/>
      <c r="BY104" s="51">
        <f>Tabelle4[[#This Row],[Industry Funding from DE (IPK)]]+Tabelle4[[#This Row],[Industry Funding from BR (IPK)]]+Tabelle4[[#This Row],[Public Funding from DE (IPK)]]+Tabelle4[[#This Row],[Public Funding from BR (IPK)]]+Tabelle4[[#This Row],[In-kind Contribution (IPK)]]</f>
        <v>0</v>
      </c>
      <c r="BZ104" s="51">
        <f>Tabelle4[[#This Row],[Industry Funding from DE (IPK)]]+Tabelle4[[#This Row],[Industry Funding from BR (IPK)]]+Tabelle4[[#This Row],[Public Funding from DE (IPK)]]+Tabelle4[[#This Row],[Public Funding from BR (IPK)]]</f>
        <v>0</v>
      </c>
      <c r="CA104" s="51">
        <f>Tabelle4[[#This Row],[Industry Funding from DE (IPK)]]+Tabelle4[[#This Row],[Industry Funding from BR (IPK)]]</f>
        <v>0</v>
      </c>
      <c r="CB104" s="51">
        <f>Tabelle4[[#This Row],[Public Funding from DE (IPK)]]+Tabelle4[[#This Row],[Public Funding from BR (IPK)]]</f>
        <v>0</v>
      </c>
      <c r="CC104" s="51">
        <f>Tabelle4[[#This Row],[In-kind Contribution (IPK)]]</f>
        <v>0</v>
      </c>
      <c r="CD104" s="53" t="e">
        <f>(Tabelle4[[#This Row],[Total Industry Funding (IPK)]] + Tabelle4[[#This Row],[Total Public Funding (IPK)]])/Tabelle4[[#This Row],[Total Project Volume (IPK)]]</f>
        <v>#DIV/0!</v>
      </c>
      <c r="CE104" s="53" t="e">
        <f>Tabelle4[[#This Row],[Total Industry Funding (IPK)]] / Tabelle4[[#This Row],[Total Project Volume (IPK)]]</f>
        <v>#DIV/0!</v>
      </c>
      <c r="CF104" s="49" t="str">
        <f>Tabelle4[[#This Row],[Project Funding Classification]]</f>
        <v>Public Funding</v>
      </c>
      <c r="CG104" s="51">
        <f>Tabelle4[[#This Row],[Industry Funding from DE (IPK)]]+Tabelle4[[#This Row],[Public Funding from DE (IPK)]]</f>
        <v>0</v>
      </c>
      <c r="CH104" s="52">
        <f>Tabelle4[[#This Row],[Industry Funding from BR (IPK)]]+Tabelle4[[#This Row],[Public Funding from BR (IPK)]]</f>
        <v>0</v>
      </c>
      <c r="CI104" s="51">
        <f>Tabelle4[[#This Row],[Industry Funding from DE (ITA)]]+Tabelle4[[#This Row],[Industry Funding from BR (ITA)]]+Tabelle4[[#This Row],[Public Funding from DE (ITA)]]+Tabelle4[[#This Row],[Public Funding from BR (ITA)]]</f>
        <v>8100.8500344008698</v>
      </c>
      <c r="CJ104" s="51">
        <f>Tabelle4[[#This Row],[Industry Funding from DE (ITA)]]+Tabelle4[[#This Row],[Industry Funding from BR (ITA)]]</f>
        <v>0</v>
      </c>
      <c r="CK104" s="51">
        <f>Tabelle4[[#This Row],[Public Funding from DE (ITA)]]+Tabelle4[[#This Row],[Public Funding from BR (ITA)]]</f>
        <v>8100.8500344008698</v>
      </c>
      <c r="CL104" s="53">
        <f>Tabelle4[[#This Row],[Total Industry Funding (ITA)]]/Tabelle4[[#This Row],[Total Project Volume (ITA)]]</f>
        <v>0</v>
      </c>
      <c r="CM104" s="49" t="str">
        <f>IF(Tabelle4[[#This Row],[Funding Ratio (ITA)]]&lt;0.5,"Public Funding","Industry")</f>
        <v>Public Funding</v>
      </c>
      <c r="CN104" s="51">
        <f>Tabelle4[[#This Row],[Industry Funding from DE (ITA)]]+Tabelle4[[#This Row],[Public Funding from DE (ITA)]]</f>
        <v>0</v>
      </c>
      <c r="CO104" s="52">
        <f>Tabelle4[[#This Row],[Industry Funding from BR (ITA)]]+Tabelle4[[#This Row],[Public Funding from BR (ITA)]]</f>
        <v>8100.8500344008698</v>
      </c>
      <c r="CP104" s="51">
        <f>Tabelle4[[#This Row],[Total Project Volume (IPK)]]+Tabelle4[[#This Row],[Total Project Volume (ITA)]]</f>
        <v>8100.8500344008698</v>
      </c>
      <c r="CQ104" s="51">
        <f>Tabelle4[[#This Row],[Total Industry Funding (IPK)]]+Tabelle4[[#This Row],[Total Industry Funding (ITA)]]</f>
        <v>0</v>
      </c>
      <c r="CR104" s="51">
        <f>Tabelle4[[#This Row],[Industry Funding from DE (IPK)]]+Tabelle4[[#This Row],[Industry Funding from DE (ITA)]]</f>
        <v>0</v>
      </c>
      <c r="CS104" s="51">
        <f>Tabelle4[[#This Row],[Industry Funding from BR (IPK)]]+Tabelle4[[#This Row],[Industry Funding from BR (ITA)]]</f>
        <v>0</v>
      </c>
      <c r="CT104" s="51">
        <f>Tabelle4[[#This Row],[Total Public Funding (IPK)]]+Tabelle4[[#This Row],[Total Public Funding (ITA)]]</f>
        <v>8100.8500344008698</v>
      </c>
      <c r="CU104" s="51">
        <f>Tabelle4[[#This Row],[Public Funding from DE (IPK)]]+Tabelle4[[#This Row],[Public Funding from DE (ITA)]]</f>
        <v>0</v>
      </c>
      <c r="CV104" s="51">
        <f>Tabelle4[[#This Row],[Public Funding from BR (IPK)]]+Tabelle4[[#This Row],[Public Funding from BR (ITA)]]</f>
        <v>8100.8500344008698</v>
      </c>
      <c r="CW104" s="51">
        <f>Tabelle4[[#This Row],[Industry Funding from DE (FPC)]]+Tabelle4[[#This Row],[Public Funding from DE (FPC)]]</f>
        <v>0</v>
      </c>
      <c r="CX104" s="52">
        <f>Tabelle4[[#This Row],[Industry Funding from BR (FPC)]]+Tabelle4[[#This Row],[Public Funding from BR (FPC)]]</f>
        <v>8100.8500344008698</v>
      </c>
      <c r="CY104" s="44">
        <f>Tabelle4[[#This Row],[Total Financial Budget (Other)]]+Tabelle4[[#This Row],[Total In-kind Contribution (Other)]]</f>
        <v>0</v>
      </c>
      <c r="CZ104"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04" s="44">
        <f>Tabelle4[[#This Row],[In-kind Contribution (R&amp;D III)]]+Tabelle4[[#This Row],[In-kind Contribution (R&amp;D IV)]]</f>
        <v>0</v>
      </c>
      <c r="DB104" s="158">
        <f>Tabelle4[[#This Row],[Total Budget (FPC)]]+Tabelle4[[#This Row],[Total Volume (Other)]]</f>
        <v>8100.8500344008698</v>
      </c>
      <c r="DC104" s="105">
        <f>Tabelle4[[#This Row],[Total Revenues (IPK)]]</f>
        <v>0</v>
      </c>
      <c r="DD104" s="53"/>
      <c r="DE104" s="51">
        <f>Tabelle4[[#This Row],[Total Revenues IPK]]*Tabelle4[[#This Row],[Probability of Success]]</f>
        <v>0</v>
      </c>
      <c r="DF104" s="51"/>
      <c r="DG104" s="51"/>
      <c r="DH104" s="51"/>
      <c r="DI104" s="51"/>
      <c r="DJ104" s="51"/>
      <c r="DK104" s="53"/>
      <c r="DL104" s="51">
        <f>Tabelle4[[#This Row],[Real Budget IPK]]*Tabelle4[[#This Row],[Acquisition Factor OE810]]</f>
        <v>0</v>
      </c>
      <c r="DM104" s="51">
        <v>0</v>
      </c>
      <c r="DN104" s="52">
        <f>Tabelle4[[#This Row],[Acquisition Bonus OE810]]+Tabelle4[[#This Row],[Project Execution OE810]]</f>
        <v>0</v>
      </c>
    </row>
    <row r="105" spans="1:16379" ht="75.75" customHeight="1" x14ac:dyDescent="0.45">
      <c r="A105" s="33" t="s">
        <v>171</v>
      </c>
      <c r="B105" s="33" t="s">
        <v>532</v>
      </c>
      <c r="C105" s="33" t="s">
        <v>171</v>
      </c>
      <c r="D105" s="33" t="s">
        <v>706</v>
      </c>
      <c r="E105" s="33">
        <v>1</v>
      </c>
      <c r="F105" s="33">
        <v>0</v>
      </c>
      <c r="G105" s="33" t="s">
        <v>2</v>
      </c>
      <c r="H105" s="33" t="s">
        <v>0</v>
      </c>
      <c r="J105" s="59">
        <v>43916</v>
      </c>
      <c r="K105" s="33" t="s">
        <v>246</v>
      </c>
      <c r="L105" s="33" t="s">
        <v>309</v>
      </c>
      <c r="M105" s="144">
        <v>6.7</v>
      </c>
      <c r="N105" s="33" t="s">
        <v>640</v>
      </c>
      <c r="S105" s="59">
        <v>43923</v>
      </c>
      <c r="U105" s="59">
        <v>44166</v>
      </c>
      <c r="Y105" s="59">
        <v>44364</v>
      </c>
      <c r="Z105" s="42" t="str">
        <f t="shared" si="19"/>
        <v>IPK</v>
      </c>
      <c r="AG105" s="42" t="str">
        <f t="shared" si="20"/>
        <v>ITA</v>
      </c>
      <c r="AH105" s="33" t="s">
        <v>533</v>
      </c>
      <c r="AI105" s="33" t="s">
        <v>438</v>
      </c>
      <c r="AJ105" s="64"/>
      <c r="AN105" s="101"/>
      <c r="AQ105" s="104"/>
      <c r="AU105" s="101"/>
      <c r="BC105" s="42"/>
      <c r="BE105" s="104"/>
      <c r="BF105" s="65"/>
      <c r="BU105" s="101"/>
      <c r="BY105" s="44">
        <f>Tabelle4[[#This Row],[Industry Funding from DE (IPK)]]+Tabelle4[[#This Row],[Industry Funding from BR (IPK)]]+Tabelle4[[#This Row],[Public Funding from DE (IPK)]]+Tabelle4[[#This Row],[Public Funding from BR (IPK)]]+Tabelle4[[#This Row],[In-kind Contribution (IPK)]]</f>
        <v>0</v>
      </c>
      <c r="BZ105" s="44">
        <f>Tabelle4[[#This Row],[Industry Funding from DE (IPK)]]+Tabelle4[[#This Row],[Industry Funding from BR (IPK)]]+Tabelle4[[#This Row],[Public Funding from DE (IPK)]]+Tabelle4[[#This Row],[Public Funding from BR (IPK)]]</f>
        <v>0</v>
      </c>
      <c r="CA105" s="44">
        <f>Tabelle4[[#This Row],[Industry Funding from DE (IPK)]]+Tabelle4[[#This Row],[Industry Funding from BR (IPK)]]</f>
        <v>0</v>
      </c>
      <c r="CB105" s="44">
        <f>Tabelle4[[#This Row],[Public Funding from DE (IPK)]]+Tabelle4[[#This Row],[Public Funding from BR (IPK)]]</f>
        <v>0</v>
      </c>
      <c r="CC105" s="44">
        <f>Tabelle4[[#This Row],[In-kind Contribution (IPK)]]</f>
        <v>0</v>
      </c>
      <c r="CD105" s="47" t="e">
        <f>(Tabelle4[[#This Row],[Total Industry Funding (IPK)]] + Tabelle4[[#This Row],[Total Public Funding (IPK)]])/Tabelle4[[#This Row],[Total Project Volume (IPK)]]</f>
        <v>#DIV/0!</v>
      </c>
      <c r="CE105" s="47" t="e">
        <f>Tabelle4[[#This Row],[Total Industry Funding (IPK)]] / Tabelle4[[#This Row],[Total Project Volume (IPK)]]</f>
        <v>#DIV/0!</v>
      </c>
      <c r="CF105" s="33" t="str">
        <f>Tabelle4[[#This Row],[Project Funding Classification]]</f>
        <v>Industry</v>
      </c>
      <c r="CG105" s="44">
        <f>Tabelle4[[#This Row],[Industry Funding from DE (IPK)]]+Tabelle4[[#This Row],[Public Funding from DE (IPK)]]</f>
        <v>0</v>
      </c>
      <c r="CH105" s="46">
        <f>Tabelle4[[#This Row],[Industry Funding from BR (IPK)]]+Tabelle4[[#This Row],[Public Funding from BR (IPK)]]</f>
        <v>0</v>
      </c>
      <c r="CI105" s="44">
        <f>Tabelle4[[#This Row],[Industry Funding from DE (ITA)]]+Tabelle4[[#This Row],[Industry Funding from BR (ITA)]]+Tabelle4[[#This Row],[Public Funding from DE (ITA)]]+Tabelle4[[#This Row],[Public Funding from BR (ITA)]]</f>
        <v>0</v>
      </c>
      <c r="CJ105" s="44">
        <f>Tabelle4[[#This Row],[Industry Funding from DE (ITA)]]+Tabelle4[[#This Row],[Industry Funding from BR (ITA)]]</f>
        <v>0</v>
      </c>
      <c r="CK105" s="44">
        <f>Tabelle4[[#This Row],[Public Funding from DE (ITA)]]+Tabelle4[[#This Row],[Public Funding from BR (ITA)]]</f>
        <v>0</v>
      </c>
      <c r="CL105" s="47" t="e">
        <f>Tabelle4[[#This Row],[Total Industry Funding (ITA)]]/Tabelle4[[#This Row],[Total Project Volume (ITA)]]</f>
        <v>#DIV/0!</v>
      </c>
      <c r="CM105" s="33" t="e">
        <f>IF(Tabelle4[[#This Row],[Funding Ratio (ITA)]]&lt;0.5,"Public Funding","Industry")</f>
        <v>#DIV/0!</v>
      </c>
      <c r="CN105" s="44">
        <f>Tabelle4[[#This Row],[Industry Funding from DE (ITA)]]+Tabelle4[[#This Row],[Public Funding from DE (ITA)]]</f>
        <v>0</v>
      </c>
      <c r="CO105" s="46">
        <f>Tabelle4[[#This Row],[Industry Funding from BR (ITA)]]+Tabelle4[[#This Row],[Public Funding from BR (ITA)]]</f>
        <v>0</v>
      </c>
      <c r="CP105" s="44">
        <f>Tabelle4[[#This Row],[Total Project Volume (IPK)]]+Tabelle4[[#This Row],[Total Project Volume (ITA)]]</f>
        <v>0</v>
      </c>
      <c r="CQ105" s="44">
        <f>Tabelle4[[#This Row],[Total Industry Funding (IPK)]]+Tabelle4[[#This Row],[Total Industry Funding (ITA)]]</f>
        <v>0</v>
      </c>
      <c r="CR105" s="44">
        <f>Tabelle4[[#This Row],[Industry Funding from DE (IPK)]]+Tabelle4[[#This Row],[Industry Funding from DE (ITA)]]</f>
        <v>0</v>
      </c>
      <c r="CS105" s="44">
        <f>Tabelle4[[#This Row],[Industry Funding from BR (IPK)]]+Tabelle4[[#This Row],[Industry Funding from BR (ITA)]]</f>
        <v>0</v>
      </c>
      <c r="CT105" s="44">
        <f>Tabelle4[[#This Row],[Total Public Funding (IPK)]]+Tabelle4[[#This Row],[Total Public Funding (ITA)]]</f>
        <v>0</v>
      </c>
      <c r="CU105" s="44">
        <f>Tabelle4[[#This Row],[Public Funding from DE (IPK)]]+Tabelle4[[#This Row],[Public Funding from DE (ITA)]]</f>
        <v>0</v>
      </c>
      <c r="CV105" s="44">
        <f>Tabelle4[[#This Row],[Public Funding from BR (IPK)]]+Tabelle4[[#This Row],[Public Funding from BR (ITA)]]</f>
        <v>0</v>
      </c>
      <c r="CW105" s="44">
        <f>Tabelle4[[#This Row],[Industry Funding from DE (FPC)]]+Tabelle4[[#This Row],[Public Funding from DE (FPC)]]</f>
        <v>0</v>
      </c>
      <c r="CX105" s="46">
        <f>Tabelle4[[#This Row],[Industry Funding from BR (FPC)]]+Tabelle4[[#This Row],[Public Funding from BR (FPC)]]</f>
        <v>0</v>
      </c>
      <c r="CY105" s="44">
        <f>Tabelle4[[#This Row],[Total Financial Budget (Other)]]+Tabelle4[[#This Row],[Total In-kind Contribution (Other)]]</f>
        <v>0</v>
      </c>
      <c r="CZ10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05" s="44">
        <f>Tabelle4[[#This Row],[In-kind Contribution (R&amp;D III)]]+Tabelle4[[#This Row],[In-kind Contribution (R&amp;D IV)]]</f>
        <v>0</v>
      </c>
      <c r="DB105" s="158">
        <f>Tabelle4[[#This Row],[Total Budget (FPC)]]+Tabelle4[[#This Row],[Total Volume (Other)]]</f>
        <v>0</v>
      </c>
      <c r="DC105" s="104">
        <f>Tabelle4[[#This Row],[Total Revenues (IPK)]]</f>
        <v>0</v>
      </c>
      <c r="DE105" s="44">
        <f>Tabelle4[[#This Row],[Total Revenues IPK]]*Tabelle4[[#This Row],[Probability of Success]]</f>
        <v>0</v>
      </c>
      <c r="DL105" s="44">
        <f>Tabelle4[[#This Row],[Real Budget IPK]]*Tabelle4[[#This Row],[Acquisition Factor OE810]]</f>
        <v>0</v>
      </c>
      <c r="DN105" s="46">
        <f>Tabelle4[[#This Row],[Acquisition Bonus OE810]]+Tabelle4[[#This Row],[Project Execution OE810]]</f>
        <v>0</v>
      </c>
      <c r="HC105" s="33" t="s">
        <v>334</v>
      </c>
      <c r="HD105" s="33" t="s">
        <v>334</v>
      </c>
      <c r="HE105" s="33" t="s">
        <v>334</v>
      </c>
      <c r="HF105" s="33" t="s">
        <v>334</v>
      </c>
      <c r="HG105" s="33" t="s">
        <v>334</v>
      </c>
      <c r="HH105" s="33" t="s">
        <v>334</v>
      </c>
      <c r="HI105" s="33" t="s">
        <v>334</v>
      </c>
      <c r="HJ105" s="33" t="s">
        <v>334</v>
      </c>
      <c r="HK105" s="33" t="s">
        <v>334</v>
      </c>
      <c r="HL105" s="33" t="s">
        <v>334</v>
      </c>
      <c r="HM105" s="33" t="s">
        <v>334</v>
      </c>
      <c r="HN105" s="33" t="s">
        <v>334</v>
      </c>
      <c r="HO105" s="33" t="s">
        <v>334</v>
      </c>
      <c r="HP105" s="33" t="s">
        <v>334</v>
      </c>
      <c r="HQ105" s="33" t="s">
        <v>334</v>
      </c>
      <c r="HR105" s="33" t="s">
        <v>334</v>
      </c>
      <c r="HS105" s="33" t="s">
        <v>334</v>
      </c>
      <c r="HT105" s="33" t="s">
        <v>334</v>
      </c>
      <c r="HU105" s="33" t="s">
        <v>334</v>
      </c>
      <c r="HV105" s="33" t="s">
        <v>334</v>
      </c>
      <c r="HW105" s="33" t="s">
        <v>334</v>
      </c>
      <c r="HX105" s="33" t="s">
        <v>334</v>
      </c>
      <c r="HY105" s="33" t="s">
        <v>334</v>
      </c>
      <c r="HZ105" s="33" t="s">
        <v>334</v>
      </c>
      <c r="IA105" s="33" t="s">
        <v>334</v>
      </c>
      <c r="IB105" s="33" t="s">
        <v>334</v>
      </c>
      <c r="IC105" s="33" t="s">
        <v>334</v>
      </c>
      <c r="ID105" s="33" t="s">
        <v>334</v>
      </c>
      <c r="IE105" s="33" t="s">
        <v>334</v>
      </c>
      <c r="IF105" s="33" t="s">
        <v>334</v>
      </c>
      <c r="IG105" s="33" t="s">
        <v>334</v>
      </c>
      <c r="IH105" s="33" t="s">
        <v>334</v>
      </c>
      <c r="II105" s="33" t="s">
        <v>334</v>
      </c>
      <c r="IJ105" s="33" t="s">
        <v>334</v>
      </c>
      <c r="IK105" s="33" t="s">
        <v>334</v>
      </c>
      <c r="IL105" s="33" t="s">
        <v>334</v>
      </c>
      <c r="IM105" s="33" t="s">
        <v>334</v>
      </c>
      <c r="IN105" s="33" t="s">
        <v>334</v>
      </c>
      <c r="IO105" s="33" t="s">
        <v>334</v>
      </c>
      <c r="IP105" s="33" t="s">
        <v>334</v>
      </c>
      <c r="IQ105" s="33" t="s">
        <v>334</v>
      </c>
      <c r="IR105" s="33" t="s">
        <v>334</v>
      </c>
      <c r="IS105" s="33" t="s">
        <v>334</v>
      </c>
      <c r="IT105" s="33" t="s">
        <v>334</v>
      </c>
      <c r="IU105" s="33" t="s">
        <v>334</v>
      </c>
      <c r="IV105" s="33" t="s">
        <v>334</v>
      </c>
      <c r="IW105" s="33" t="s">
        <v>334</v>
      </c>
      <c r="IX105" s="33" t="s">
        <v>334</v>
      </c>
      <c r="IY105" s="33" t="s">
        <v>334</v>
      </c>
      <c r="IZ105" s="33" t="s">
        <v>334</v>
      </c>
      <c r="JA105" s="33" t="s">
        <v>334</v>
      </c>
      <c r="JB105" s="33" t="s">
        <v>334</v>
      </c>
      <c r="JC105" s="33" t="s">
        <v>334</v>
      </c>
      <c r="JD105" s="33" t="s">
        <v>334</v>
      </c>
      <c r="JE105" s="33" t="s">
        <v>334</v>
      </c>
      <c r="JF105" s="33" t="s">
        <v>334</v>
      </c>
      <c r="JG105" s="33" t="s">
        <v>334</v>
      </c>
      <c r="JH105" s="33" t="s">
        <v>334</v>
      </c>
      <c r="JI105" s="33" t="s">
        <v>334</v>
      </c>
      <c r="JJ105" s="33" t="s">
        <v>334</v>
      </c>
      <c r="JK105" s="33" t="s">
        <v>334</v>
      </c>
      <c r="JL105" s="33" t="s">
        <v>334</v>
      </c>
      <c r="JM105" s="33" t="s">
        <v>334</v>
      </c>
      <c r="JN105" s="33" t="s">
        <v>334</v>
      </c>
      <c r="JO105" s="33" t="s">
        <v>334</v>
      </c>
      <c r="JP105" s="33" t="s">
        <v>334</v>
      </c>
      <c r="JQ105" s="33" t="s">
        <v>334</v>
      </c>
      <c r="JR105" s="33" t="s">
        <v>334</v>
      </c>
      <c r="JS105" s="33" t="s">
        <v>334</v>
      </c>
      <c r="JT105" s="33" t="s">
        <v>334</v>
      </c>
      <c r="JU105" s="33" t="s">
        <v>334</v>
      </c>
      <c r="JV105" s="33" t="s">
        <v>334</v>
      </c>
      <c r="JW105" s="33" t="s">
        <v>334</v>
      </c>
      <c r="JX105" s="33" t="s">
        <v>334</v>
      </c>
      <c r="JY105" s="33" t="s">
        <v>334</v>
      </c>
      <c r="JZ105" s="33" t="s">
        <v>334</v>
      </c>
      <c r="KA105" s="33" t="s">
        <v>334</v>
      </c>
      <c r="KB105" s="33" t="s">
        <v>334</v>
      </c>
      <c r="KC105" s="33" t="s">
        <v>334</v>
      </c>
      <c r="KD105" s="33" t="s">
        <v>334</v>
      </c>
      <c r="KE105" s="33" t="s">
        <v>334</v>
      </c>
      <c r="KF105" s="33" t="s">
        <v>334</v>
      </c>
      <c r="KG105" s="33" t="s">
        <v>334</v>
      </c>
      <c r="KH105" s="33" t="s">
        <v>334</v>
      </c>
      <c r="KI105" s="33" t="s">
        <v>334</v>
      </c>
      <c r="KJ105" s="33" t="s">
        <v>334</v>
      </c>
      <c r="KK105" s="33" t="s">
        <v>334</v>
      </c>
      <c r="KL105" s="33" t="s">
        <v>334</v>
      </c>
      <c r="KM105" s="33" t="s">
        <v>334</v>
      </c>
      <c r="KN105" s="33" t="s">
        <v>334</v>
      </c>
      <c r="KO105" s="33" t="s">
        <v>334</v>
      </c>
      <c r="KP105" s="33" t="s">
        <v>334</v>
      </c>
      <c r="KQ105" s="33" t="s">
        <v>334</v>
      </c>
      <c r="KR105" s="33" t="s">
        <v>334</v>
      </c>
      <c r="KS105" s="33" t="s">
        <v>334</v>
      </c>
      <c r="KT105" s="33" t="s">
        <v>334</v>
      </c>
      <c r="KU105" s="33" t="s">
        <v>334</v>
      </c>
      <c r="KV105" s="33" t="s">
        <v>334</v>
      </c>
      <c r="KW105" s="33" t="s">
        <v>334</v>
      </c>
      <c r="KX105" s="33" t="s">
        <v>334</v>
      </c>
      <c r="KY105" s="33" t="s">
        <v>334</v>
      </c>
      <c r="KZ105" s="33" t="s">
        <v>334</v>
      </c>
      <c r="LA105" s="33" t="s">
        <v>334</v>
      </c>
      <c r="LB105" s="33" t="s">
        <v>334</v>
      </c>
      <c r="LC105" s="33" t="s">
        <v>334</v>
      </c>
      <c r="LD105" s="33" t="s">
        <v>334</v>
      </c>
      <c r="LE105" s="33" t="s">
        <v>334</v>
      </c>
      <c r="LF105" s="33" t="s">
        <v>334</v>
      </c>
      <c r="LG105" s="33" t="s">
        <v>334</v>
      </c>
      <c r="LH105" s="33" t="s">
        <v>334</v>
      </c>
      <c r="LI105" s="33" t="s">
        <v>334</v>
      </c>
      <c r="LJ105" s="33" t="s">
        <v>334</v>
      </c>
      <c r="LK105" s="33" t="s">
        <v>334</v>
      </c>
      <c r="LL105" s="33" t="s">
        <v>334</v>
      </c>
      <c r="LM105" s="33" t="s">
        <v>334</v>
      </c>
      <c r="LN105" s="33" t="s">
        <v>334</v>
      </c>
      <c r="LO105" s="33" t="s">
        <v>334</v>
      </c>
      <c r="LP105" s="33" t="s">
        <v>334</v>
      </c>
      <c r="LQ105" s="33" t="s">
        <v>334</v>
      </c>
      <c r="LR105" s="33" t="s">
        <v>334</v>
      </c>
      <c r="LS105" s="33" t="s">
        <v>334</v>
      </c>
      <c r="LT105" s="33" t="s">
        <v>334</v>
      </c>
      <c r="LU105" s="33" t="s">
        <v>334</v>
      </c>
      <c r="LV105" s="33" t="s">
        <v>334</v>
      </c>
      <c r="LW105" s="33" t="s">
        <v>334</v>
      </c>
      <c r="LX105" s="33" t="s">
        <v>334</v>
      </c>
      <c r="LY105" s="33" t="s">
        <v>334</v>
      </c>
      <c r="LZ105" s="33" t="s">
        <v>334</v>
      </c>
      <c r="MA105" s="33" t="s">
        <v>334</v>
      </c>
      <c r="MB105" s="33" t="s">
        <v>334</v>
      </c>
      <c r="MC105" s="33" t="s">
        <v>334</v>
      </c>
      <c r="MD105" s="33" t="s">
        <v>334</v>
      </c>
      <c r="ME105" s="33" t="s">
        <v>334</v>
      </c>
      <c r="MF105" s="33" t="s">
        <v>334</v>
      </c>
      <c r="MG105" s="33" t="s">
        <v>334</v>
      </c>
      <c r="MH105" s="33" t="s">
        <v>334</v>
      </c>
      <c r="MI105" s="33" t="s">
        <v>334</v>
      </c>
      <c r="MJ105" s="33" t="s">
        <v>334</v>
      </c>
      <c r="MK105" s="33" t="s">
        <v>334</v>
      </c>
      <c r="ML105" s="33" t="s">
        <v>334</v>
      </c>
      <c r="MM105" s="33" t="s">
        <v>334</v>
      </c>
      <c r="MN105" s="33" t="s">
        <v>334</v>
      </c>
      <c r="MO105" s="33" t="s">
        <v>334</v>
      </c>
      <c r="MP105" s="33" t="s">
        <v>334</v>
      </c>
      <c r="MQ105" s="33" t="s">
        <v>334</v>
      </c>
      <c r="MR105" s="33" t="s">
        <v>334</v>
      </c>
      <c r="MS105" s="33" t="s">
        <v>334</v>
      </c>
      <c r="MT105" s="33" t="s">
        <v>334</v>
      </c>
      <c r="MU105" s="33" t="s">
        <v>334</v>
      </c>
      <c r="MV105" s="33" t="s">
        <v>334</v>
      </c>
      <c r="MW105" s="33" t="s">
        <v>334</v>
      </c>
      <c r="MX105" s="33" t="s">
        <v>334</v>
      </c>
      <c r="MY105" s="33" t="s">
        <v>334</v>
      </c>
      <c r="MZ105" s="33" t="s">
        <v>334</v>
      </c>
      <c r="NA105" s="33" t="s">
        <v>334</v>
      </c>
      <c r="NB105" s="33" t="s">
        <v>334</v>
      </c>
      <c r="NC105" s="33" t="s">
        <v>334</v>
      </c>
      <c r="ND105" s="33" t="s">
        <v>334</v>
      </c>
      <c r="NE105" s="33" t="s">
        <v>334</v>
      </c>
      <c r="NF105" s="33" t="s">
        <v>334</v>
      </c>
      <c r="NG105" s="33" t="s">
        <v>334</v>
      </c>
      <c r="NH105" s="33" t="s">
        <v>334</v>
      </c>
      <c r="NI105" s="33" t="s">
        <v>334</v>
      </c>
      <c r="NJ105" s="33" t="s">
        <v>334</v>
      </c>
      <c r="NK105" s="33" t="s">
        <v>334</v>
      </c>
      <c r="NL105" s="33" t="s">
        <v>334</v>
      </c>
      <c r="NM105" s="33" t="s">
        <v>334</v>
      </c>
      <c r="NN105" s="33" t="s">
        <v>334</v>
      </c>
      <c r="NO105" s="33" t="s">
        <v>334</v>
      </c>
      <c r="NP105" s="33" t="s">
        <v>334</v>
      </c>
      <c r="NQ105" s="33" t="s">
        <v>334</v>
      </c>
      <c r="NR105" s="33" t="s">
        <v>334</v>
      </c>
      <c r="NS105" s="33" t="s">
        <v>334</v>
      </c>
      <c r="NT105" s="33" t="s">
        <v>334</v>
      </c>
      <c r="NU105" s="33" t="s">
        <v>334</v>
      </c>
      <c r="NV105" s="33" t="s">
        <v>334</v>
      </c>
      <c r="NW105" s="33" t="s">
        <v>334</v>
      </c>
      <c r="NX105" s="33" t="s">
        <v>334</v>
      </c>
      <c r="NY105" s="33" t="s">
        <v>334</v>
      </c>
      <c r="NZ105" s="33" t="s">
        <v>334</v>
      </c>
      <c r="OA105" s="33" t="s">
        <v>334</v>
      </c>
      <c r="OB105" s="33" t="s">
        <v>334</v>
      </c>
      <c r="OC105" s="33" t="s">
        <v>334</v>
      </c>
      <c r="OD105" s="33" t="s">
        <v>334</v>
      </c>
      <c r="OE105" s="33" t="s">
        <v>334</v>
      </c>
      <c r="OF105" s="33" t="s">
        <v>334</v>
      </c>
      <c r="OG105" s="33" t="s">
        <v>334</v>
      </c>
      <c r="OH105" s="33" t="s">
        <v>334</v>
      </c>
      <c r="OI105" s="33" t="s">
        <v>334</v>
      </c>
      <c r="OJ105" s="33" t="s">
        <v>334</v>
      </c>
      <c r="OK105" s="33" t="s">
        <v>334</v>
      </c>
      <c r="OL105" s="33" t="s">
        <v>334</v>
      </c>
      <c r="OM105" s="33" t="s">
        <v>334</v>
      </c>
      <c r="ON105" s="33" t="s">
        <v>334</v>
      </c>
      <c r="OO105" s="33" t="s">
        <v>334</v>
      </c>
      <c r="OP105" s="33" t="s">
        <v>334</v>
      </c>
      <c r="OQ105" s="33" t="s">
        <v>334</v>
      </c>
      <c r="OR105" s="33" t="s">
        <v>334</v>
      </c>
      <c r="OS105" s="33" t="s">
        <v>334</v>
      </c>
      <c r="OT105" s="33" t="s">
        <v>334</v>
      </c>
      <c r="OU105" s="33" t="s">
        <v>334</v>
      </c>
      <c r="OV105" s="33" t="s">
        <v>334</v>
      </c>
      <c r="OW105" s="33" t="s">
        <v>334</v>
      </c>
      <c r="OX105" s="33" t="s">
        <v>334</v>
      </c>
      <c r="OY105" s="33" t="s">
        <v>334</v>
      </c>
      <c r="OZ105" s="33" t="s">
        <v>334</v>
      </c>
      <c r="PA105" s="33" t="s">
        <v>334</v>
      </c>
      <c r="PB105" s="33" t="s">
        <v>334</v>
      </c>
      <c r="PC105" s="33" t="s">
        <v>334</v>
      </c>
      <c r="PD105" s="33" t="s">
        <v>334</v>
      </c>
      <c r="PE105" s="33" t="s">
        <v>334</v>
      </c>
      <c r="PF105" s="33" t="s">
        <v>334</v>
      </c>
      <c r="PG105" s="33" t="s">
        <v>334</v>
      </c>
      <c r="PH105" s="33" t="s">
        <v>334</v>
      </c>
      <c r="PI105" s="33" t="s">
        <v>334</v>
      </c>
      <c r="PJ105" s="33" t="s">
        <v>334</v>
      </c>
      <c r="PK105" s="33" t="s">
        <v>334</v>
      </c>
      <c r="PL105" s="33" t="s">
        <v>334</v>
      </c>
      <c r="PM105" s="33" t="s">
        <v>334</v>
      </c>
      <c r="PN105" s="33" t="s">
        <v>334</v>
      </c>
      <c r="PO105" s="33" t="s">
        <v>334</v>
      </c>
      <c r="PP105" s="33" t="s">
        <v>334</v>
      </c>
      <c r="PQ105" s="33" t="s">
        <v>334</v>
      </c>
      <c r="PR105" s="33" t="s">
        <v>334</v>
      </c>
      <c r="PS105" s="33" t="s">
        <v>334</v>
      </c>
      <c r="PT105" s="33" t="s">
        <v>334</v>
      </c>
      <c r="PU105" s="33" t="s">
        <v>334</v>
      </c>
      <c r="PV105" s="33" t="s">
        <v>334</v>
      </c>
      <c r="PW105" s="33" t="s">
        <v>334</v>
      </c>
      <c r="PX105" s="33" t="s">
        <v>334</v>
      </c>
      <c r="PY105" s="33" t="s">
        <v>334</v>
      </c>
      <c r="PZ105" s="33" t="s">
        <v>334</v>
      </c>
      <c r="QA105" s="33" t="s">
        <v>334</v>
      </c>
      <c r="QB105" s="33" t="s">
        <v>334</v>
      </c>
      <c r="QC105" s="33" t="s">
        <v>334</v>
      </c>
      <c r="QD105" s="33" t="s">
        <v>334</v>
      </c>
      <c r="QE105" s="33" t="s">
        <v>334</v>
      </c>
      <c r="QF105" s="33" t="s">
        <v>334</v>
      </c>
      <c r="QG105" s="33" t="s">
        <v>334</v>
      </c>
      <c r="QH105" s="33" t="s">
        <v>334</v>
      </c>
      <c r="QI105" s="33" t="s">
        <v>334</v>
      </c>
      <c r="QJ105" s="33" t="s">
        <v>334</v>
      </c>
      <c r="QK105" s="33" t="s">
        <v>334</v>
      </c>
      <c r="QL105" s="33" t="s">
        <v>334</v>
      </c>
      <c r="QM105" s="33" t="s">
        <v>334</v>
      </c>
      <c r="QN105" s="33" t="s">
        <v>334</v>
      </c>
      <c r="QO105" s="33" t="s">
        <v>334</v>
      </c>
      <c r="QP105" s="33" t="s">
        <v>334</v>
      </c>
      <c r="QQ105" s="33" t="s">
        <v>334</v>
      </c>
      <c r="QR105" s="33" t="s">
        <v>334</v>
      </c>
      <c r="QS105" s="33" t="s">
        <v>334</v>
      </c>
      <c r="QT105" s="33" t="s">
        <v>334</v>
      </c>
      <c r="QU105" s="33" t="s">
        <v>334</v>
      </c>
      <c r="QV105" s="33" t="s">
        <v>334</v>
      </c>
      <c r="QW105" s="33" t="s">
        <v>334</v>
      </c>
      <c r="QX105" s="33" t="s">
        <v>334</v>
      </c>
      <c r="QY105" s="33" t="s">
        <v>334</v>
      </c>
      <c r="QZ105" s="33" t="s">
        <v>334</v>
      </c>
      <c r="RA105" s="33" t="s">
        <v>334</v>
      </c>
      <c r="RB105" s="33" t="s">
        <v>334</v>
      </c>
      <c r="RC105" s="33" t="s">
        <v>334</v>
      </c>
      <c r="RD105" s="33" t="s">
        <v>334</v>
      </c>
      <c r="RE105" s="33" t="s">
        <v>334</v>
      </c>
      <c r="RF105" s="33" t="s">
        <v>334</v>
      </c>
      <c r="RG105" s="33" t="s">
        <v>334</v>
      </c>
      <c r="RH105" s="33" t="s">
        <v>334</v>
      </c>
      <c r="RI105" s="33" t="s">
        <v>334</v>
      </c>
      <c r="RJ105" s="33" t="s">
        <v>334</v>
      </c>
      <c r="RK105" s="33" t="s">
        <v>334</v>
      </c>
      <c r="RL105" s="33" t="s">
        <v>334</v>
      </c>
      <c r="RM105" s="33" t="s">
        <v>334</v>
      </c>
      <c r="RN105" s="33" t="s">
        <v>334</v>
      </c>
      <c r="RO105" s="33" t="s">
        <v>334</v>
      </c>
      <c r="RP105" s="33" t="s">
        <v>334</v>
      </c>
      <c r="RQ105" s="33" t="s">
        <v>334</v>
      </c>
      <c r="RR105" s="33" t="s">
        <v>334</v>
      </c>
      <c r="RS105" s="33" t="s">
        <v>334</v>
      </c>
      <c r="RT105" s="33" t="s">
        <v>334</v>
      </c>
      <c r="RU105" s="33" t="s">
        <v>334</v>
      </c>
      <c r="RV105" s="33" t="s">
        <v>334</v>
      </c>
      <c r="RW105" s="33" t="s">
        <v>334</v>
      </c>
      <c r="RX105" s="33" t="s">
        <v>334</v>
      </c>
      <c r="RY105" s="33" t="s">
        <v>334</v>
      </c>
      <c r="RZ105" s="33" t="s">
        <v>334</v>
      </c>
      <c r="SA105" s="33" t="s">
        <v>334</v>
      </c>
      <c r="SB105" s="33" t="s">
        <v>334</v>
      </c>
      <c r="SC105" s="33" t="s">
        <v>334</v>
      </c>
      <c r="SD105" s="33" t="s">
        <v>334</v>
      </c>
      <c r="SE105" s="33" t="s">
        <v>334</v>
      </c>
      <c r="SF105" s="33" t="s">
        <v>334</v>
      </c>
      <c r="SG105" s="33" t="s">
        <v>334</v>
      </c>
      <c r="SH105" s="33" t="s">
        <v>334</v>
      </c>
      <c r="SI105" s="33" t="s">
        <v>334</v>
      </c>
      <c r="SJ105" s="33" t="s">
        <v>334</v>
      </c>
      <c r="SK105" s="33" t="s">
        <v>334</v>
      </c>
      <c r="SL105" s="33" t="s">
        <v>334</v>
      </c>
      <c r="SM105" s="33" t="s">
        <v>334</v>
      </c>
      <c r="SN105" s="33" t="s">
        <v>334</v>
      </c>
      <c r="SO105" s="33" t="s">
        <v>334</v>
      </c>
      <c r="SP105" s="33" t="s">
        <v>334</v>
      </c>
      <c r="SQ105" s="33" t="s">
        <v>334</v>
      </c>
      <c r="SR105" s="33" t="s">
        <v>334</v>
      </c>
      <c r="SS105" s="33" t="s">
        <v>334</v>
      </c>
      <c r="ST105" s="33" t="s">
        <v>334</v>
      </c>
      <c r="SU105" s="33" t="s">
        <v>334</v>
      </c>
      <c r="SV105" s="33" t="s">
        <v>334</v>
      </c>
      <c r="SW105" s="33" t="s">
        <v>334</v>
      </c>
      <c r="SX105" s="33" t="s">
        <v>334</v>
      </c>
      <c r="SY105" s="33" t="s">
        <v>334</v>
      </c>
      <c r="SZ105" s="33" t="s">
        <v>334</v>
      </c>
      <c r="TA105" s="33" t="s">
        <v>334</v>
      </c>
      <c r="TB105" s="33" t="s">
        <v>334</v>
      </c>
      <c r="TC105" s="33" t="s">
        <v>334</v>
      </c>
      <c r="TD105" s="33" t="s">
        <v>334</v>
      </c>
      <c r="TE105" s="33" t="s">
        <v>334</v>
      </c>
      <c r="TF105" s="33" t="s">
        <v>334</v>
      </c>
      <c r="TG105" s="33" t="s">
        <v>334</v>
      </c>
      <c r="TH105" s="33" t="s">
        <v>334</v>
      </c>
      <c r="TI105" s="33" t="s">
        <v>334</v>
      </c>
      <c r="TJ105" s="33" t="s">
        <v>334</v>
      </c>
      <c r="TK105" s="33" t="s">
        <v>334</v>
      </c>
      <c r="TL105" s="33" t="s">
        <v>334</v>
      </c>
      <c r="TM105" s="33" t="s">
        <v>334</v>
      </c>
      <c r="TN105" s="33" t="s">
        <v>334</v>
      </c>
      <c r="TO105" s="33" t="s">
        <v>334</v>
      </c>
      <c r="TP105" s="33" t="s">
        <v>334</v>
      </c>
      <c r="TQ105" s="33" t="s">
        <v>334</v>
      </c>
      <c r="TR105" s="33" t="s">
        <v>334</v>
      </c>
      <c r="TS105" s="33" t="s">
        <v>334</v>
      </c>
      <c r="TT105" s="33" t="s">
        <v>334</v>
      </c>
      <c r="TU105" s="33" t="s">
        <v>334</v>
      </c>
      <c r="TV105" s="33" t="s">
        <v>334</v>
      </c>
      <c r="TW105" s="33" t="s">
        <v>334</v>
      </c>
      <c r="TX105" s="33" t="s">
        <v>334</v>
      </c>
      <c r="TY105" s="33" t="s">
        <v>334</v>
      </c>
      <c r="TZ105" s="33" t="s">
        <v>334</v>
      </c>
      <c r="UA105" s="33" t="s">
        <v>334</v>
      </c>
      <c r="UB105" s="33" t="s">
        <v>334</v>
      </c>
      <c r="UC105" s="33" t="s">
        <v>334</v>
      </c>
      <c r="UD105" s="33" t="s">
        <v>334</v>
      </c>
      <c r="UE105" s="33" t="s">
        <v>334</v>
      </c>
      <c r="UF105" s="33" t="s">
        <v>334</v>
      </c>
      <c r="UG105" s="33" t="s">
        <v>334</v>
      </c>
      <c r="UH105" s="33" t="s">
        <v>334</v>
      </c>
      <c r="UI105" s="33" t="s">
        <v>334</v>
      </c>
      <c r="UJ105" s="33" t="s">
        <v>334</v>
      </c>
      <c r="UK105" s="33" t="s">
        <v>334</v>
      </c>
      <c r="UL105" s="33" t="s">
        <v>334</v>
      </c>
      <c r="UM105" s="33" t="s">
        <v>334</v>
      </c>
      <c r="UN105" s="33" t="s">
        <v>334</v>
      </c>
      <c r="UO105" s="33" t="s">
        <v>334</v>
      </c>
      <c r="UP105" s="33" t="s">
        <v>334</v>
      </c>
      <c r="UQ105" s="33" t="s">
        <v>334</v>
      </c>
      <c r="UR105" s="33" t="s">
        <v>334</v>
      </c>
      <c r="US105" s="33" t="s">
        <v>334</v>
      </c>
      <c r="UT105" s="33" t="s">
        <v>334</v>
      </c>
      <c r="UU105" s="33" t="s">
        <v>334</v>
      </c>
      <c r="UV105" s="33" t="s">
        <v>334</v>
      </c>
      <c r="UW105" s="33" t="s">
        <v>334</v>
      </c>
      <c r="UX105" s="33" t="s">
        <v>334</v>
      </c>
      <c r="UY105" s="33" t="s">
        <v>334</v>
      </c>
      <c r="UZ105" s="33" t="s">
        <v>334</v>
      </c>
      <c r="VA105" s="33" t="s">
        <v>334</v>
      </c>
      <c r="VB105" s="33" t="s">
        <v>334</v>
      </c>
      <c r="VC105" s="33" t="s">
        <v>334</v>
      </c>
      <c r="VD105" s="33" t="s">
        <v>334</v>
      </c>
      <c r="VE105" s="33" t="s">
        <v>334</v>
      </c>
      <c r="VF105" s="33" t="s">
        <v>334</v>
      </c>
      <c r="VG105" s="33" t="s">
        <v>334</v>
      </c>
      <c r="VH105" s="33" t="s">
        <v>334</v>
      </c>
      <c r="VI105" s="33" t="s">
        <v>334</v>
      </c>
      <c r="VJ105" s="33" t="s">
        <v>334</v>
      </c>
      <c r="VK105" s="33" t="s">
        <v>334</v>
      </c>
      <c r="VL105" s="33" t="s">
        <v>334</v>
      </c>
      <c r="VM105" s="33" t="s">
        <v>334</v>
      </c>
      <c r="VN105" s="33" t="s">
        <v>334</v>
      </c>
      <c r="VO105" s="33" t="s">
        <v>334</v>
      </c>
      <c r="VP105" s="33" t="s">
        <v>334</v>
      </c>
      <c r="VQ105" s="33" t="s">
        <v>334</v>
      </c>
      <c r="VR105" s="33" t="s">
        <v>334</v>
      </c>
      <c r="VS105" s="33" t="s">
        <v>334</v>
      </c>
      <c r="VT105" s="33" t="s">
        <v>334</v>
      </c>
      <c r="VU105" s="33" t="s">
        <v>334</v>
      </c>
      <c r="VV105" s="33" t="s">
        <v>334</v>
      </c>
      <c r="VW105" s="33" t="s">
        <v>334</v>
      </c>
      <c r="VX105" s="33" t="s">
        <v>334</v>
      </c>
      <c r="VY105" s="33" t="s">
        <v>334</v>
      </c>
      <c r="VZ105" s="33" t="s">
        <v>334</v>
      </c>
      <c r="WA105" s="33" t="s">
        <v>334</v>
      </c>
      <c r="WB105" s="33" t="s">
        <v>334</v>
      </c>
      <c r="WC105" s="33" t="s">
        <v>334</v>
      </c>
      <c r="WD105" s="33" t="s">
        <v>334</v>
      </c>
      <c r="WE105" s="33" t="s">
        <v>334</v>
      </c>
      <c r="WF105" s="33" t="s">
        <v>334</v>
      </c>
      <c r="WG105" s="33" t="s">
        <v>334</v>
      </c>
      <c r="WH105" s="33" t="s">
        <v>334</v>
      </c>
      <c r="WI105" s="33" t="s">
        <v>334</v>
      </c>
      <c r="WJ105" s="33" t="s">
        <v>334</v>
      </c>
      <c r="WK105" s="33" t="s">
        <v>334</v>
      </c>
      <c r="WL105" s="33" t="s">
        <v>334</v>
      </c>
      <c r="WM105" s="33" t="s">
        <v>334</v>
      </c>
      <c r="WN105" s="33" t="s">
        <v>334</v>
      </c>
      <c r="WO105" s="33" t="s">
        <v>334</v>
      </c>
      <c r="WP105" s="33" t="s">
        <v>334</v>
      </c>
      <c r="WQ105" s="33" t="s">
        <v>334</v>
      </c>
      <c r="WR105" s="33" t="s">
        <v>334</v>
      </c>
      <c r="WS105" s="33" t="s">
        <v>334</v>
      </c>
      <c r="WT105" s="33" t="s">
        <v>334</v>
      </c>
      <c r="WU105" s="33" t="s">
        <v>334</v>
      </c>
      <c r="WV105" s="33" t="s">
        <v>334</v>
      </c>
      <c r="WW105" s="33" t="s">
        <v>334</v>
      </c>
      <c r="WX105" s="33" t="s">
        <v>334</v>
      </c>
      <c r="WY105" s="33" t="s">
        <v>334</v>
      </c>
      <c r="WZ105" s="33" t="s">
        <v>334</v>
      </c>
      <c r="XA105" s="33" t="s">
        <v>334</v>
      </c>
      <c r="XB105" s="33" t="s">
        <v>334</v>
      </c>
      <c r="XC105" s="33" t="s">
        <v>334</v>
      </c>
      <c r="XD105" s="33" t="s">
        <v>334</v>
      </c>
      <c r="XE105" s="33" t="s">
        <v>334</v>
      </c>
      <c r="XF105" s="33" t="s">
        <v>334</v>
      </c>
      <c r="XG105" s="33" t="s">
        <v>334</v>
      </c>
      <c r="XH105" s="33" t="s">
        <v>334</v>
      </c>
      <c r="XI105" s="33" t="s">
        <v>334</v>
      </c>
      <c r="XJ105" s="33" t="s">
        <v>334</v>
      </c>
      <c r="XK105" s="33" t="s">
        <v>334</v>
      </c>
      <c r="XL105" s="33" t="s">
        <v>334</v>
      </c>
      <c r="XM105" s="33" t="s">
        <v>334</v>
      </c>
      <c r="XN105" s="33" t="s">
        <v>334</v>
      </c>
      <c r="XO105" s="33" t="s">
        <v>334</v>
      </c>
      <c r="XP105" s="33" t="s">
        <v>334</v>
      </c>
      <c r="XQ105" s="33" t="s">
        <v>334</v>
      </c>
      <c r="XR105" s="33" t="s">
        <v>334</v>
      </c>
      <c r="XS105" s="33" t="s">
        <v>334</v>
      </c>
      <c r="XT105" s="33" t="s">
        <v>334</v>
      </c>
      <c r="XU105" s="33" t="s">
        <v>334</v>
      </c>
      <c r="XV105" s="33" t="s">
        <v>334</v>
      </c>
      <c r="XW105" s="33" t="s">
        <v>334</v>
      </c>
      <c r="XX105" s="33" t="s">
        <v>334</v>
      </c>
      <c r="XY105" s="33" t="s">
        <v>334</v>
      </c>
      <c r="XZ105" s="33" t="s">
        <v>334</v>
      </c>
      <c r="YA105" s="33" t="s">
        <v>334</v>
      </c>
      <c r="YB105" s="33" t="s">
        <v>334</v>
      </c>
      <c r="YC105" s="33" t="s">
        <v>334</v>
      </c>
      <c r="YD105" s="33" t="s">
        <v>334</v>
      </c>
      <c r="YE105" s="33" t="s">
        <v>334</v>
      </c>
      <c r="YF105" s="33" t="s">
        <v>334</v>
      </c>
      <c r="YG105" s="33" t="s">
        <v>334</v>
      </c>
      <c r="YH105" s="33" t="s">
        <v>334</v>
      </c>
      <c r="YI105" s="33" t="s">
        <v>334</v>
      </c>
      <c r="YJ105" s="33" t="s">
        <v>334</v>
      </c>
      <c r="YK105" s="33" t="s">
        <v>334</v>
      </c>
      <c r="YL105" s="33" t="s">
        <v>334</v>
      </c>
      <c r="YM105" s="33" t="s">
        <v>334</v>
      </c>
      <c r="YN105" s="33" t="s">
        <v>334</v>
      </c>
      <c r="YO105" s="33" t="s">
        <v>334</v>
      </c>
      <c r="YP105" s="33" t="s">
        <v>334</v>
      </c>
      <c r="YQ105" s="33" t="s">
        <v>334</v>
      </c>
      <c r="YR105" s="33" t="s">
        <v>334</v>
      </c>
      <c r="YS105" s="33" t="s">
        <v>334</v>
      </c>
      <c r="YT105" s="33" t="s">
        <v>334</v>
      </c>
      <c r="YU105" s="33" t="s">
        <v>334</v>
      </c>
      <c r="YV105" s="33" t="s">
        <v>334</v>
      </c>
      <c r="YW105" s="33" t="s">
        <v>334</v>
      </c>
      <c r="YX105" s="33" t="s">
        <v>334</v>
      </c>
      <c r="YY105" s="33" t="s">
        <v>334</v>
      </c>
      <c r="YZ105" s="33" t="s">
        <v>334</v>
      </c>
      <c r="ZA105" s="33" t="s">
        <v>334</v>
      </c>
      <c r="ZB105" s="33" t="s">
        <v>334</v>
      </c>
      <c r="ZC105" s="33" t="s">
        <v>334</v>
      </c>
      <c r="ZD105" s="33" t="s">
        <v>334</v>
      </c>
      <c r="ZE105" s="33" t="s">
        <v>334</v>
      </c>
      <c r="ZF105" s="33" t="s">
        <v>334</v>
      </c>
      <c r="ZG105" s="33" t="s">
        <v>334</v>
      </c>
      <c r="ZH105" s="33" t="s">
        <v>334</v>
      </c>
      <c r="ZI105" s="33" t="s">
        <v>334</v>
      </c>
      <c r="ZJ105" s="33" t="s">
        <v>334</v>
      </c>
      <c r="ZK105" s="33" t="s">
        <v>334</v>
      </c>
      <c r="ZL105" s="33" t="s">
        <v>334</v>
      </c>
      <c r="ZM105" s="33" t="s">
        <v>334</v>
      </c>
      <c r="ZN105" s="33" t="s">
        <v>334</v>
      </c>
      <c r="ZO105" s="33" t="s">
        <v>334</v>
      </c>
      <c r="ZP105" s="33" t="s">
        <v>334</v>
      </c>
      <c r="ZQ105" s="33" t="s">
        <v>334</v>
      </c>
      <c r="ZR105" s="33" t="s">
        <v>334</v>
      </c>
      <c r="ZS105" s="33" t="s">
        <v>334</v>
      </c>
      <c r="ZT105" s="33" t="s">
        <v>334</v>
      </c>
      <c r="ZU105" s="33" t="s">
        <v>334</v>
      </c>
      <c r="ZV105" s="33" t="s">
        <v>334</v>
      </c>
      <c r="ZW105" s="33" t="s">
        <v>334</v>
      </c>
      <c r="ZX105" s="33" t="s">
        <v>334</v>
      </c>
      <c r="ZY105" s="33" t="s">
        <v>334</v>
      </c>
      <c r="ZZ105" s="33" t="s">
        <v>334</v>
      </c>
      <c r="AAA105" s="33" t="s">
        <v>334</v>
      </c>
      <c r="AAB105" s="33" t="s">
        <v>334</v>
      </c>
      <c r="AAC105" s="33" t="s">
        <v>334</v>
      </c>
      <c r="AAD105" s="33" t="s">
        <v>334</v>
      </c>
      <c r="AAE105" s="33" t="s">
        <v>334</v>
      </c>
      <c r="AAF105" s="33" t="s">
        <v>334</v>
      </c>
      <c r="AAG105" s="33" t="s">
        <v>334</v>
      </c>
      <c r="AAH105" s="33" t="s">
        <v>334</v>
      </c>
      <c r="AAI105" s="33" t="s">
        <v>334</v>
      </c>
      <c r="AAJ105" s="33" t="s">
        <v>334</v>
      </c>
      <c r="AAK105" s="33" t="s">
        <v>334</v>
      </c>
      <c r="AAL105" s="33" t="s">
        <v>334</v>
      </c>
      <c r="AAM105" s="33" t="s">
        <v>334</v>
      </c>
      <c r="AAN105" s="33" t="s">
        <v>334</v>
      </c>
      <c r="AAO105" s="33" t="s">
        <v>334</v>
      </c>
      <c r="AAP105" s="33" t="s">
        <v>334</v>
      </c>
      <c r="AAQ105" s="33" t="s">
        <v>334</v>
      </c>
      <c r="AAR105" s="33" t="s">
        <v>334</v>
      </c>
      <c r="AAS105" s="33" t="s">
        <v>334</v>
      </c>
      <c r="AAT105" s="33" t="s">
        <v>334</v>
      </c>
      <c r="AAU105" s="33" t="s">
        <v>334</v>
      </c>
      <c r="AAV105" s="33" t="s">
        <v>334</v>
      </c>
      <c r="AAW105" s="33" t="s">
        <v>334</v>
      </c>
      <c r="AAX105" s="33" t="s">
        <v>334</v>
      </c>
      <c r="AAY105" s="33" t="s">
        <v>334</v>
      </c>
      <c r="AAZ105" s="33" t="s">
        <v>334</v>
      </c>
      <c r="ABA105" s="33" t="s">
        <v>334</v>
      </c>
      <c r="ABB105" s="33" t="s">
        <v>334</v>
      </c>
      <c r="ABC105" s="33" t="s">
        <v>334</v>
      </c>
      <c r="ABD105" s="33" t="s">
        <v>334</v>
      </c>
      <c r="ABE105" s="33" t="s">
        <v>334</v>
      </c>
      <c r="ABF105" s="33" t="s">
        <v>334</v>
      </c>
      <c r="ABG105" s="33" t="s">
        <v>334</v>
      </c>
      <c r="ABH105" s="33" t="s">
        <v>334</v>
      </c>
      <c r="ABI105" s="33" t="s">
        <v>334</v>
      </c>
      <c r="ABJ105" s="33" t="s">
        <v>334</v>
      </c>
      <c r="ABK105" s="33" t="s">
        <v>334</v>
      </c>
      <c r="ABL105" s="33" t="s">
        <v>334</v>
      </c>
      <c r="ABM105" s="33" t="s">
        <v>334</v>
      </c>
      <c r="ABN105" s="33" t="s">
        <v>334</v>
      </c>
      <c r="ABO105" s="33" t="s">
        <v>334</v>
      </c>
      <c r="ABP105" s="33" t="s">
        <v>334</v>
      </c>
      <c r="ABQ105" s="33" t="s">
        <v>334</v>
      </c>
      <c r="ABR105" s="33" t="s">
        <v>334</v>
      </c>
      <c r="ABS105" s="33" t="s">
        <v>334</v>
      </c>
      <c r="ABT105" s="33" t="s">
        <v>334</v>
      </c>
      <c r="ABU105" s="33" t="s">
        <v>334</v>
      </c>
      <c r="ABV105" s="33" t="s">
        <v>334</v>
      </c>
      <c r="ABW105" s="33" t="s">
        <v>334</v>
      </c>
      <c r="ABX105" s="33" t="s">
        <v>334</v>
      </c>
      <c r="ABY105" s="33" t="s">
        <v>334</v>
      </c>
      <c r="ABZ105" s="33" t="s">
        <v>334</v>
      </c>
      <c r="ACA105" s="33" t="s">
        <v>334</v>
      </c>
      <c r="ACB105" s="33" t="s">
        <v>334</v>
      </c>
      <c r="ACC105" s="33" t="s">
        <v>334</v>
      </c>
      <c r="ACD105" s="33" t="s">
        <v>334</v>
      </c>
      <c r="ACE105" s="33" t="s">
        <v>334</v>
      </c>
      <c r="ACF105" s="33" t="s">
        <v>334</v>
      </c>
      <c r="ACG105" s="33" t="s">
        <v>334</v>
      </c>
      <c r="ACH105" s="33" t="s">
        <v>334</v>
      </c>
      <c r="ACI105" s="33" t="s">
        <v>334</v>
      </c>
      <c r="ACJ105" s="33" t="s">
        <v>334</v>
      </c>
      <c r="ACK105" s="33" t="s">
        <v>334</v>
      </c>
      <c r="ACL105" s="33" t="s">
        <v>334</v>
      </c>
      <c r="ACM105" s="33" t="s">
        <v>334</v>
      </c>
      <c r="ACN105" s="33" t="s">
        <v>334</v>
      </c>
      <c r="ACO105" s="33" t="s">
        <v>334</v>
      </c>
      <c r="ACP105" s="33" t="s">
        <v>334</v>
      </c>
      <c r="ACQ105" s="33" t="s">
        <v>334</v>
      </c>
      <c r="ACR105" s="33" t="s">
        <v>334</v>
      </c>
      <c r="ACS105" s="33" t="s">
        <v>334</v>
      </c>
      <c r="ACT105" s="33" t="s">
        <v>334</v>
      </c>
      <c r="ACU105" s="33" t="s">
        <v>334</v>
      </c>
      <c r="ACV105" s="33" t="s">
        <v>334</v>
      </c>
      <c r="ACW105" s="33" t="s">
        <v>334</v>
      </c>
      <c r="ACX105" s="33" t="s">
        <v>334</v>
      </c>
      <c r="ACY105" s="33" t="s">
        <v>334</v>
      </c>
      <c r="ACZ105" s="33" t="s">
        <v>334</v>
      </c>
      <c r="ADA105" s="33" t="s">
        <v>334</v>
      </c>
      <c r="ADB105" s="33" t="s">
        <v>334</v>
      </c>
      <c r="ADC105" s="33" t="s">
        <v>334</v>
      </c>
      <c r="ADD105" s="33" t="s">
        <v>334</v>
      </c>
      <c r="ADE105" s="33" t="s">
        <v>334</v>
      </c>
      <c r="ADF105" s="33" t="s">
        <v>334</v>
      </c>
      <c r="ADG105" s="33" t="s">
        <v>334</v>
      </c>
      <c r="ADH105" s="33" t="s">
        <v>334</v>
      </c>
      <c r="ADI105" s="33" t="s">
        <v>334</v>
      </c>
      <c r="ADJ105" s="33" t="s">
        <v>334</v>
      </c>
      <c r="ADK105" s="33" t="s">
        <v>334</v>
      </c>
      <c r="ADL105" s="33" t="s">
        <v>334</v>
      </c>
      <c r="ADM105" s="33" t="s">
        <v>334</v>
      </c>
      <c r="ADN105" s="33" t="s">
        <v>334</v>
      </c>
      <c r="ADO105" s="33" t="s">
        <v>334</v>
      </c>
      <c r="ADP105" s="33" t="s">
        <v>334</v>
      </c>
      <c r="ADQ105" s="33" t="s">
        <v>334</v>
      </c>
      <c r="ADR105" s="33" t="s">
        <v>334</v>
      </c>
      <c r="ADS105" s="33" t="s">
        <v>334</v>
      </c>
      <c r="ADT105" s="33" t="s">
        <v>334</v>
      </c>
      <c r="ADU105" s="33" t="s">
        <v>334</v>
      </c>
      <c r="ADV105" s="33" t="s">
        <v>334</v>
      </c>
      <c r="ADW105" s="33" t="s">
        <v>334</v>
      </c>
      <c r="ADX105" s="33" t="s">
        <v>334</v>
      </c>
      <c r="ADY105" s="33" t="s">
        <v>334</v>
      </c>
      <c r="ADZ105" s="33" t="s">
        <v>334</v>
      </c>
      <c r="AEA105" s="33" t="s">
        <v>334</v>
      </c>
      <c r="AEB105" s="33" t="s">
        <v>334</v>
      </c>
      <c r="AEC105" s="33" t="s">
        <v>334</v>
      </c>
      <c r="AED105" s="33" t="s">
        <v>334</v>
      </c>
      <c r="AEE105" s="33" t="s">
        <v>334</v>
      </c>
      <c r="AEF105" s="33" t="s">
        <v>334</v>
      </c>
      <c r="AEG105" s="33" t="s">
        <v>334</v>
      </c>
      <c r="AEH105" s="33" t="s">
        <v>334</v>
      </c>
      <c r="AEI105" s="33" t="s">
        <v>334</v>
      </c>
      <c r="AEJ105" s="33" t="s">
        <v>334</v>
      </c>
      <c r="AEK105" s="33" t="s">
        <v>334</v>
      </c>
      <c r="AEL105" s="33" t="s">
        <v>334</v>
      </c>
      <c r="AEM105" s="33" t="s">
        <v>334</v>
      </c>
      <c r="AEN105" s="33" t="s">
        <v>334</v>
      </c>
      <c r="AEO105" s="33" t="s">
        <v>334</v>
      </c>
      <c r="AEP105" s="33" t="s">
        <v>334</v>
      </c>
      <c r="AEQ105" s="33" t="s">
        <v>334</v>
      </c>
      <c r="AER105" s="33" t="s">
        <v>334</v>
      </c>
      <c r="AES105" s="33" t="s">
        <v>334</v>
      </c>
      <c r="AET105" s="33" t="s">
        <v>334</v>
      </c>
      <c r="AEU105" s="33" t="s">
        <v>334</v>
      </c>
      <c r="AEV105" s="33" t="s">
        <v>334</v>
      </c>
      <c r="AEW105" s="33" t="s">
        <v>334</v>
      </c>
      <c r="AEX105" s="33" t="s">
        <v>334</v>
      </c>
      <c r="AEY105" s="33" t="s">
        <v>334</v>
      </c>
      <c r="AEZ105" s="33" t="s">
        <v>334</v>
      </c>
      <c r="AFA105" s="33" t="s">
        <v>334</v>
      </c>
      <c r="AFB105" s="33" t="s">
        <v>334</v>
      </c>
      <c r="AFC105" s="33" t="s">
        <v>334</v>
      </c>
      <c r="AFD105" s="33" t="s">
        <v>334</v>
      </c>
      <c r="AFE105" s="33" t="s">
        <v>334</v>
      </c>
      <c r="AFF105" s="33" t="s">
        <v>334</v>
      </c>
      <c r="AFG105" s="33" t="s">
        <v>334</v>
      </c>
      <c r="AFH105" s="33" t="s">
        <v>334</v>
      </c>
      <c r="AFI105" s="33" t="s">
        <v>334</v>
      </c>
      <c r="AFJ105" s="33" t="s">
        <v>334</v>
      </c>
      <c r="AFK105" s="33" t="s">
        <v>334</v>
      </c>
      <c r="AFL105" s="33" t="s">
        <v>334</v>
      </c>
      <c r="AFM105" s="33" t="s">
        <v>334</v>
      </c>
      <c r="AFN105" s="33" t="s">
        <v>334</v>
      </c>
      <c r="AFO105" s="33" t="s">
        <v>334</v>
      </c>
      <c r="AFP105" s="33" t="s">
        <v>334</v>
      </c>
      <c r="AFQ105" s="33" t="s">
        <v>334</v>
      </c>
      <c r="AFR105" s="33" t="s">
        <v>334</v>
      </c>
      <c r="AFS105" s="33" t="s">
        <v>334</v>
      </c>
      <c r="AFT105" s="33" t="s">
        <v>334</v>
      </c>
      <c r="AFU105" s="33" t="s">
        <v>334</v>
      </c>
      <c r="AFV105" s="33" t="s">
        <v>334</v>
      </c>
      <c r="AFW105" s="33" t="s">
        <v>334</v>
      </c>
      <c r="AFX105" s="33" t="s">
        <v>334</v>
      </c>
      <c r="AFY105" s="33" t="s">
        <v>334</v>
      </c>
      <c r="AFZ105" s="33" t="s">
        <v>334</v>
      </c>
      <c r="AGA105" s="33" t="s">
        <v>334</v>
      </c>
      <c r="AGB105" s="33" t="s">
        <v>334</v>
      </c>
      <c r="AGC105" s="33" t="s">
        <v>334</v>
      </c>
      <c r="AGD105" s="33" t="s">
        <v>334</v>
      </c>
      <c r="AGE105" s="33" t="s">
        <v>334</v>
      </c>
      <c r="AGF105" s="33" t="s">
        <v>334</v>
      </c>
      <c r="AGG105" s="33" t="s">
        <v>334</v>
      </c>
      <c r="AGH105" s="33" t="s">
        <v>334</v>
      </c>
      <c r="AGI105" s="33" t="s">
        <v>334</v>
      </c>
      <c r="AGJ105" s="33" t="s">
        <v>334</v>
      </c>
      <c r="AGK105" s="33" t="s">
        <v>334</v>
      </c>
      <c r="AGL105" s="33" t="s">
        <v>334</v>
      </c>
      <c r="AGM105" s="33" t="s">
        <v>334</v>
      </c>
      <c r="AGN105" s="33" t="s">
        <v>334</v>
      </c>
      <c r="AGO105" s="33" t="s">
        <v>334</v>
      </c>
      <c r="AGP105" s="33" t="s">
        <v>334</v>
      </c>
      <c r="AGQ105" s="33" t="s">
        <v>334</v>
      </c>
      <c r="AGR105" s="33" t="s">
        <v>334</v>
      </c>
      <c r="AGS105" s="33" t="s">
        <v>334</v>
      </c>
      <c r="AGT105" s="33" t="s">
        <v>334</v>
      </c>
      <c r="AGU105" s="33" t="s">
        <v>334</v>
      </c>
      <c r="AGV105" s="33" t="s">
        <v>334</v>
      </c>
      <c r="AGW105" s="33" t="s">
        <v>334</v>
      </c>
      <c r="AGX105" s="33" t="s">
        <v>334</v>
      </c>
      <c r="AGY105" s="33" t="s">
        <v>334</v>
      </c>
      <c r="AGZ105" s="33" t="s">
        <v>334</v>
      </c>
      <c r="AHA105" s="33" t="s">
        <v>334</v>
      </c>
      <c r="AHB105" s="33" t="s">
        <v>334</v>
      </c>
      <c r="AHC105" s="33" t="s">
        <v>334</v>
      </c>
      <c r="AHD105" s="33" t="s">
        <v>334</v>
      </c>
      <c r="AHE105" s="33" t="s">
        <v>334</v>
      </c>
      <c r="AHF105" s="33" t="s">
        <v>334</v>
      </c>
      <c r="AHG105" s="33" t="s">
        <v>334</v>
      </c>
      <c r="AHH105" s="33" t="s">
        <v>334</v>
      </c>
      <c r="AHI105" s="33" t="s">
        <v>334</v>
      </c>
      <c r="AHJ105" s="33" t="s">
        <v>334</v>
      </c>
      <c r="AHK105" s="33" t="s">
        <v>334</v>
      </c>
      <c r="AHL105" s="33" t="s">
        <v>334</v>
      </c>
      <c r="AHM105" s="33" t="s">
        <v>334</v>
      </c>
      <c r="AHN105" s="33" t="s">
        <v>334</v>
      </c>
      <c r="AHO105" s="33" t="s">
        <v>334</v>
      </c>
      <c r="AHP105" s="33" t="s">
        <v>334</v>
      </c>
      <c r="AHQ105" s="33" t="s">
        <v>334</v>
      </c>
      <c r="AHR105" s="33" t="s">
        <v>334</v>
      </c>
      <c r="AHS105" s="33" t="s">
        <v>334</v>
      </c>
      <c r="AHT105" s="33" t="s">
        <v>334</v>
      </c>
      <c r="AHU105" s="33" t="s">
        <v>334</v>
      </c>
      <c r="AHV105" s="33" t="s">
        <v>334</v>
      </c>
      <c r="AHW105" s="33" t="s">
        <v>334</v>
      </c>
      <c r="AHX105" s="33" t="s">
        <v>334</v>
      </c>
      <c r="AHY105" s="33" t="s">
        <v>334</v>
      </c>
      <c r="AHZ105" s="33" t="s">
        <v>334</v>
      </c>
      <c r="AIA105" s="33" t="s">
        <v>334</v>
      </c>
      <c r="AIB105" s="33" t="s">
        <v>334</v>
      </c>
      <c r="AIC105" s="33" t="s">
        <v>334</v>
      </c>
      <c r="AID105" s="33" t="s">
        <v>334</v>
      </c>
      <c r="AIE105" s="33" t="s">
        <v>334</v>
      </c>
      <c r="AIF105" s="33" t="s">
        <v>334</v>
      </c>
      <c r="AIG105" s="33" t="s">
        <v>334</v>
      </c>
      <c r="AIH105" s="33" t="s">
        <v>334</v>
      </c>
      <c r="AII105" s="33" t="s">
        <v>334</v>
      </c>
      <c r="AIJ105" s="33" t="s">
        <v>334</v>
      </c>
      <c r="AIK105" s="33" t="s">
        <v>334</v>
      </c>
      <c r="AIL105" s="33" t="s">
        <v>334</v>
      </c>
      <c r="AIM105" s="33" t="s">
        <v>334</v>
      </c>
      <c r="AIN105" s="33" t="s">
        <v>334</v>
      </c>
      <c r="AIO105" s="33" t="s">
        <v>334</v>
      </c>
      <c r="AIP105" s="33" t="s">
        <v>334</v>
      </c>
      <c r="AIQ105" s="33" t="s">
        <v>334</v>
      </c>
      <c r="AIR105" s="33" t="s">
        <v>334</v>
      </c>
      <c r="AIS105" s="33" t="s">
        <v>334</v>
      </c>
      <c r="AIT105" s="33" t="s">
        <v>334</v>
      </c>
      <c r="AIU105" s="33" t="s">
        <v>334</v>
      </c>
      <c r="AIV105" s="33" t="s">
        <v>334</v>
      </c>
      <c r="AIW105" s="33" t="s">
        <v>334</v>
      </c>
      <c r="AIX105" s="33" t="s">
        <v>334</v>
      </c>
      <c r="AIY105" s="33" t="s">
        <v>334</v>
      </c>
      <c r="AIZ105" s="33" t="s">
        <v>334</v>
      </c>
      <c r="AJA105" s="33" t="s">
        <v>334</v>
      </c>
      <c r="AJB105" s="33" t="s">
        <v>334</v>
      </c>
      <c r="AJC105" s="33" t="s">
        <v>334</v>
      </c>
      <c r="AJD105" s="33" t="s">
        <v>334</v>
      </c>
      <c r="AJE105" s="33" t="s">
        <v>334</v>
      </c>
      <c r="AJF105" s="33" t="s">
        <v>334</v>
      </c>
      <c r="AJG105" s="33" t="s">
        <v>334</v>
      </c>
      <c r="AJH105" s="33" t="s">
        <v>334</v>
      </c>
      <c r="AJI105" s="33" t="s">
        <v>334</v>
      </c>
      <c r="AJJ105" s="33" t="s">
        <v>334</v>
      </c>
      <c r="AJK105" s="33" t="s">
        <v>334</v>
      </c>
      <c r="AJL105" s="33" t="s">
        <v>334</v>
      </c>
      <c r="AJM105" s="33" t="s">
        <v>334</v>
      </c>
      <c r="AJN105" s="33" t="s">
        <v>334</v>
      </c>
      <c r="AJO105" s="33" t="s">
        <v>334</v>
      </c>
      <c r="AJP105" s="33" t="s">
        <v>334</v>
      </c>
      <c r="AJQ105" s="33" t="s">
        <v>334</v>
      </c>
      <c r="AJR105" s="33" t="s">
        <v>334</v>
      </c>
      <c r="AJS105" s="33" t="s">
        <v>334</v>
      </c>
      <c r="AJT105" s="33" t="s">
        <v>334</v>
      </c>
      <c r="AJU105" s="33" t="s">
        <v>334</v>
      </c>
      <c r="AJV105" s="33" t="s">
        <v>334</v>
      </c>
      <c r="AJW105" s="33" t="s">
        <v>334</v>
      </c>
      <c r="AJX105" s="33" t="s">
        <v>334</v>
      </c>
      <c r="AJY105" s="33" t="s">
        <v>334</v>
      </c>
      <c r="AJZ105" s="33" t="s">
        <v>334</v>
      </c>
      <c r="AKA105" s="33" t="s">
        <v>334</v>
      </c>
      <c r="AKB105" s="33" t="s">
        <v>334</v>
      </c>
      <c r="AKC105" s="33" t="s">
        <v>334</v>
      </c>
      <c r="AKD105" s="33" t="s">
        <v>334</v>
      </c>
      <c r="AKE105" s="33" t="s">
        <v>334</v>
      </c>
      <c r="AKF105" s="33" t="s">
        <v>334</v>
      </c>
      <c r="AKG105" s="33" t="s">
        <v>334</v>
      </c>
      <c r="AKH105" s="33" t="s">
        <v>334</v>
      </c>
      <c r="AKI105" s="33" t="s">
        <v>334</v>
      </c>
      <c r="AKJ105" s="33" t="s">
        <v>334</v>
      </c>
      <c r="AKK105" s="33" t="s">
        <v>334</v>
      </c>
      <c r="AKL105" s="33" t="s">
        <v>334</v>
      </c>
      <c r="AKM105" s="33" t="s">
        <v>334</v>
      </c>
      <c r="AKN105" s="33" t="s">
        <v>334</v>
      </c>
      <c r="AKO105" s="33" t="s">
        <v>334</v>
      </c>
      <c r="AKP105" s="33" t="s">
        <v>334</v>
      </c>
      <c r="AKQ105" s="33" t="s">
        <v>334</v>
      </c>
      <c r="AKR105" s="33" t="s">
        <v>334</v>
      </c>
      <c r="AKS105" s="33" t="s">
        <v>334</v>
      </c>
      <c r="AKT105" s="33" t="s">
        <v>334</v>
      </c>
      <c r="AKU105" s="33" t="s">
        <v>334</v>
      </c>
      <c r="AKV105" s="33" t="s">
        <v>334</v>
      </c>
      <c r="AKW105" s="33" t="s">
        <v>334</v>
      </c>
      <c r="AKX105" s="33" t="s">
        <v>334</v>
      </c>
      <c r="AKY105" s="33" t="s">
        <v>334</v>
      </c>
      <c r="AKZ105" s="33" t="s">
        <v>334</v>
      </c>
      <c r="ALA105" s="33" t="s">
        <v>334</v>
      </c>
      <c r="ALB105" s="33" t="s">
        <v>334</v>
      </c>
      <c r="ALC105" s="33" t="s">
        <v>334</v>
      </c>
      <c r="ALD105" s="33" t="s">
        <v>334</v>
      </c>
      <c r="ALE105" s="33" t="s">
        <v>334</v>
      </c>
      <c r="ALF105" s="33" t="s">
        <v>334</v>
      </c>
      <c r="ALG105" s="33" t="s">
        <v>334</v>
      </c>
      <c r="ALH105" s="33" t="s">
        <v>334</v>
      </c>
      <c r="ALI105" s="33" t="s">
        <v>334</v>
      </c>
      <c r="ALJ105" s="33" t="s">
        <v>334</v>
      </c>
      <c r="ALK105" s="33" t="s">
        <v>334</v>
      </c>
      <c r="ALL105" s="33" t="s">
        <v>334</v>
      </c>
      <c r="ALM105" s="33" t="s">
        <v>334</v>
      </c>
      <c r="ALN105" s="33" t="s">
        <v>334</v>
      </c>
      <c r="ALO105" s="33" t="s">
        <v>334</v>
      </c>
      <c r="ALP105" s="33" t="s">
        <v>334</v>
      </c>
      <c r="ALQ105" s="33" t="s">
        <v>334</v>
      </c>
      <c r="ALR105" s="33" t="s">
        <v>334</v>
      </c>
      <c r="ALS105" s="33" t="s">
        <v>334</v>
      </c>
      <c r="ALT105" s="33" t="s">
        <v>334</v>
      </c>
      <c r="ALU105" s="33" t="s">
        <v>334</v>
      </c>
      <c r="ALV105" s="33" t="s">
        <v>334</v>
      </c>
      <c r="ALW105" s="33" t="s">
        <v>334</v>
      </c>
      <c r="ALX105" s="33" t="s">
        <v>334</v>
      </c>
      <c r="ALY105" s="33" t="s">
        <v>334</v>
      </c>
      <c r="ALZ105" s="33" t="s">
        <v>334</v>
      </c>
      <c r="AMA105" s="33" t="s">
        <v>334</v>
      </c>
      <c r="AMB105" s="33" t="s">
        <v>334</v>
      </c>
      <c r="AMC105" s="33" t="s">
        <v>334</v>
      </c>
      <c r="AMD105" s="33" t="s">
        <v>334</v>
      </c>
      <c r="AME105" s="33" t="s">
        <v>334</v>
      </c>
      <c r="AMF105" s="33" t="s">
        <v>334</v>
      </c>
      <c r="AMG105" s="33" t="s">
        <v>334</v>
      </c>
      <c r="AMH105" s="33" t="s">
        <v>334</v>
      </c>
      <c r="AMI105" s="33" t="s">
        <v>334</v>
      </c>
      <c r="AMJ105" s="33" t="s">
        <v>334</v>
      </c>
      <c r="AMK105" s="33" t="s">
        <v>334</v>
      </c>
      <c r="AML105" s="33" t="s">
        <v>334</v>
      </c>
      <c r="AMM105" s="33" t="s">
        <v>334</v>
      </c>
      <c r="AMN105" s="33" t="s">
        <v>334</v>
      </c>
      <c r="AMO105" s="33" t="s">
        <v>334</v>
      </c>
      <c r="AMP105" s="33" t="s">
        <v>334</v>
      </c>
      <c r="AMQ105" s="33" t="s">
        <v>334</v>
      </c>
      <c r="AMR105" s="33" t="s">
        <v>334</v>
      </c>
      <c r="AMS105" s="33" t="s">
        <v>334</v>
      </c>
      <c r="AMT105" s="33" t="s">
        <v>334</v>
      </c>
      <c r="AMU105" s="33" t="s">
        <v>334</v>
      </c>
      <c r="AMV105" s="33" t="s">
        <v>334</v>
      </c>
      <c r="AMW105" s="33" t="s">
        <v>334</v>
      </c>
      <c r="AMX105" s="33" t="s">
        <v>334</v>
      </c>
      <c r="AMY105" s="33" t="s">
        <v>334</v>
      </c>
      <c r="AMZ105" s="33" t="s">
        <v>334</v>
      </c>
      <c r="ANA105" s="33" t="s">
        <v>334</v>
      </c>
      <c r="ANB105" s="33" t="s">
        <v>334</v>
      </c>
      <c r="ANC105" s="33" t="s">
        <v>334</v>
      </c>
      <c r="AND105" s="33" t="s">
        <v>334</v>
      </c>
      <c r="ANE105" s="33" t="s">
        <v>334</v>
      </c>
      <c r="ANF105" s="33" t="s">
        <v>334</v>
      </c>
      <c r="ANG105" s="33" t="s">
        <v>334</v>
      </c>
      <c r="ANH105" s="33" t="s">
        <v>334</v>
      </c>
      <c r="ANI105" s="33" t="s">
        <v>334</v>
      </c>
      <c r="ANJ105" s="33" t="s">
        <v>334</v>
      </c>
      <c r="ANK105" s="33" t="s">
        <v>334</v>
      </c>
      <c r="ANL105" s="33" t="s">
        <v>334</v>
      </c>
      <c r="ANM105" s="33" t="s">
        <v>334</v>
      </c>
      <c r="ANN105" s="33" t="s">
        <v>334</v>
      </c>
      <c r="ANO105" s="33" t="s">
        <v>334</v>
      </c>
      <c r="ANP105" s="33" t="s">
        <v>334</v>
      </c>
      <c r="ANQ105" s="33" t="s">
        <v>334</v>
      </c>
      <c r="ANR105" s="33" t="s">
        <v>334</v>
      </c>
      <c r="ANS105" s="33" t="s">
        <v>334</v>
      </c>
      <c r="ANT105" s="33" t="s">
        <v>334</v>
      </c>
      <c r="ANU105" s="33" t="s">
        <v>334</v>
      </c>
      <c r="ANV105" s="33" t="s">
        <v>334</v>
      </c>
      <c r="ANW105" s="33" t="s">
        <v>334</v>
      </c>
      <c r="ANX105" s="33" t="s">
        <v>334</v>
      </c>
      <c r="ANY105" s="33" t="s">
        <v>334</v>
      </c>
      <c r="ANZ105" s="33" t="s">
        <v>334</v>
      </c>
      <c r="AOA105" s="33" t="s">
        <v>334</v>
      </c>
      <c r="AOB105" s="33" t="s">
        <v>334</v>
      </c>
      <c r="AOC105" s="33" t="s">
        <v>334</v>
      </c>
      <c r="AOD105" s="33" t="s">
        <v>334</v>
      </c>
      <c r="AOE105" s="33" t="s">
        <v>334</v>
      </c>
      <c r="AOF105" s="33" t="s">
        <v>334</v>
      </c>
      <c r="AOG105" s="33" t="s">
        <v>334</v>
      </c>
      <c r="AOH105" s="33" t="s">
        <v>334</v>
      </c>
      <c r="AOI105" s="33" t="s">
        <v>334</v>
      </c>
      <c r="AOJ105" s="33" t="s">
        <v>334</v>
      </c>
      <c r="AOK105" s="33" t="s">
        <v>334</v>
      </c>
      <c r="AOL105" s="33" t="s">
        <v>334</v>
      </c>
      <c r="AOM105" s="33" t="s">
        <v>334</v>
      </c>
      <c r="AON105" s="33" t="s">
        <v>334</v>
      </c>
      <c r="AOO105" s="33" t="s">
        <v>334</v>
      </c>
      <c r="AOP105" s="33" t="s">
        <v>334</v>
      </c>
      <c r="AOQ105" s="33" t="s">
        <v>334</v>
      </c>
      <c r="AOR105" s="33" t="s">
        <v>334</v>
      </c>
      <c r="AOS105" s="33" t="s">
        <v>334</v>
      </c>
      <c r="AOT105" s="33" t="s">
        <v>334</v>
      </c>
      <c r="AOU105" s="33" t="s">
        <v>334</v>
      </c>
      <c r="AOV105" s="33" t="s">
        <v>334</v>
      </c>
      <c r="AOW105" s="33" t="s">
        <v>334</v>
      </c>
      <c r="AOX105" s="33" t="s">
        <v>334</v>
      </c>
      <c r="AOY105" s="33" t="s">
        <v>334</v>
      </c>
      <c r="AOZ105" s="33" t="s">
        <v>334</v>
      </c>
      <c r="APA105" s="33" t="s">
        <v>334</v>
      </c>
      <c r="APB105" s="33" t="s">
        <v>334</v>
      </c>
      <c r="APC105" s="33" t="s">
        <v>334</v>
      </c>
      <c r="APD105" s="33" t="s">
        <v>334</v>
      </c>
      <c r="APE105" s="33" t="s">
        <v>334</v>
      </c>
      <c r="APF105" s="33" t="s">
        <v>334</v>
      </c>
      <c r="APG105" s="33" t="s">
        <v>334</v>
      </c>
      <c r="APH105" s="33" t="s">
        <v>334</v>
      </c>
      <c r="API105" s="33" t="s">
        <v>334</v>
      </c>
      <c r="APJ105" s="33" t="s">
        <v>334</v>
      </c>
      <c r="APK105" s="33" t="s">
        <v>334</v>
      </c>
      <c r="APL105" s="33" t="s">
        <v>334</v>
      </c>
      <c r="APM105" s="33" t="s">
        <v>334</v>
      </c>
      <c r="APN105" s="33" t="s">
        <v>334</v>
      </c>
      <c r="APO105" s="33" t="s">
        <v>334</v>
      </c>
      <c r="APP105" s="33" t="s">
        <v>334</v>
      </c>
      <c r="APQ105" s="33" t="s">
        <v>334</v>
      </c>
      <c r="APR105" s="33" t="s">
        <v>334</v>
      </c>
      <c r="APS105" s="33" t="s">
        <v>334</v>
      </c>
      <c r="APT105" s="33" t="s">
        <v>334</v>
      </c>
      <c r="APU105" s="33" t="s">
        <v>334</v>
      </c>
      <c r="APV105" s="33" t="s">
        <v>334</v>
      </c>
      <c r="APW105" s="33" t="s">
        <v>334</v>
      </c>
      <c r="APX105" s="33" t="s">
        <v>334</v>
      </c>
      <c r="APY105" s="33" t="s">
        <v>334</v>
      </c>
      <c r="APZ105" s="33" t="s">
        <v>334</v>
      </c>
      <c r="AQA105" s="33" t="s">
        <v>334</v>
      </c>
      <c r="AQB105" s="33" t="s">
        <v>334</v>
      </c>
      <c r="AQC105" s="33" t="s">
        <v>334</v>
      </c>
      <c r="AQD105" s="33" t="s">
        <v>334</v>
      </c>
      <c r="AQE105" s="33" t="s">
        <v>334</v>
      </c>
      <c r="AQF105" s="33" t="s">
        <v>334</v>
      </c>
      <c r="AQG105" s="33" t="s">
        <v>334</v>
      </c>
      <c r="AQH105" s="33" t="s">
        <v>334</v>
      </c>
      <c r="AQI105" s="33" t="s">
        <v>334</v>
      </c>
      <c r="AQJ105" s="33" t="s">
        <v>334</v>
      </c>
      <c r="AQK105" s="33" t="s">
        <v>334</v>
      </c>
      <c r="AQL105" s="33" t="s">
        <v>334</v>
      </c>
      <c r="AQM105" s="33" t="s">
        <v>334</v>
      </c>
      <c r="AQN105" s="33" t="s">
        <v>334</v>
      </c>
      <c r="AQO105" s="33" t="s">
        <v>334</v>
      </c>
      <c r="AQP105" s="33" t="s">
        <v>334</v>
      </c>
      <c r="AQQ105" s="33" t="s">
        <v>334</v>
      </c>
      <c r="AQR105" s="33" t="s">
        <v>334</v>
      </c>
      <c r="AQS105" s="33" t="s">
        <v>334</v>
      </c>
      <c r="AQT105" s="33" t="s">
        <v>334</v>
      </c>
      <c r="AQU105" s="33" t="s">
        <v>334</v>
      </c>
      <c r="AQV105" s="33" t="s">
        <v>334</v>
      </c>
      <c r="AQW105" s="33" t="s">
        <v>334</v>
      </c>
      <c r="AQX105" s="33" t="s">
        <v>334</v>
      </c>
      <c r="AQY105" s="33" t="s">
        <v>334</v>
      </c>
      <c r="AQZ105" s="33" t="s">
        <v>334</v>
      </c>
      <c r="ARA105" s="33" t="s">
        <v>334</v>
      </c>
      <c r="ARB105" s="33" t="s">
        <v>334</v>
      </c>
      <c r="ARC105" s="33" t="s">
        <v>334</v>
      </c>
      <c r="ARD105" s="33" t="s">
        <v>334</v>
      </c>
      <c r="ARE105" s="33" t="s">
        <v>334</v>
      </c>
      <c r="ARF105" s="33" t="s">
        <v>334</v>
      </c>
      <c r="ARG105" s="33" t="s">
        <v>334</v>
      </c>
      <c r="ARH105" s="33" t="s">
        <v>334</v>
      </c>
      <c r="ARI105" s="33" t="s">
        <v>334</v>
      </c>
      <c r="ARJ105" s="33" t="s">
        <v>334</v>
      </c>
      <c r="ARK105" s="33" t="s">
        <v>334</v>
      </c>
      <c r="ARL105" s="33" t="s">
        <v>334</v>
      </c>
      <c r="ARM105" s="33" t="s">
        <v>334</v>
      </c>
      <c r="ARN105" s="33" t="s">
        <v>334</v>
      </c>
      <c r="ARO105" s="33" t="s">
        <v>334</v>
      </c>
      <c r="ARP105" s="33" t="s">
        <v>334</v>
      </c>
      <c r="ARQ105" s="33" t="s">
        <v>334</v>
      </c>
      <c r="ARR105" s="33" t="s">
        <v>334</v>
      </c>
      <c r="ARS105" s="33" t="s">
        <v>334</v>
      </c>
      <c r="ART105" s="33" t="s">
        <v>334</v>
      </c>
      <c r="ARU105" s="33" t="s">
        <v>334</v>
      </c>
      <c r="ARV105" s="33" t="s">
        <v>334</v>
      </c>
      <c r="ARW105" s="33" t="s">
        <v>334</v>
      </c>
      <c r="ARX105" s="33" t="s">
        <v>334</v>
      </c>
      <c r="ARY105" s="33" t="s">
        <v>334</v>
      </c>
      <c r="ARZ105" s="33" t="s">
        <v>334</v>
      </c>
      <c r="ASA105" s="33" t="s">
        <v>334</v>
      </c>
      <c r="ASB105" s="33" t="s">
        <v>334</v>
      </c>
      <c r="ASC105" s="33" t="s">
        <v>334</v>
      </c>
      <c r="ASD105" s="33" t="s">
        <v>334</v>
      </c>
      <c r="ASE105" s="33" t="s">
        <v>334</v>
      </c>
      <c r="ASF105" s="33" t="s">
        <v>334</v>
      </c>
      <c r="ASG105" s="33" t="s">
        <v>334</v>
      </c>
      <c r="ASH105" s="33" t="s">
        <v>334</v>
      </c>
      <c r="ASI105" s="33" t="s">
        <v>334</v>
      </c>
      <c r="ASJ105" s="33" t="s">
        <v>334</v>
      </c>
      <c r="ASK105" s="33" t="s">
        <v>334</v>
      </c>
      <c r="ASL105" s="33" t="s">
        <v>334</v>
      </c>
      <c r="ASM105" s="33" t="s">
        <v>334</v>
      </c>
      <c r="ASN105" s="33" t="s">
        <v>334</v>
      </c>
      <c r="ASO105" s="33" t="s">
        <v>334</v>
      </c>
      <c r="ASP105" s="33" t="s">
        <v>334</v>
      </c>
      <c r="ASQ105" s="33" t="s">
        <v>334</v>
      </c>
      <c r="ASR105" s="33" t="s">
        <v>334</v>
      </c>
      <c r="ASS105" s="33" t="s">
        <v>334</v>
      </c>
      <c r="AST105" s="33" t="s">
        <v>334</v>
      </c>
      <c r="ASU105" s="33" t="s">
        <v>334</v>
      </c>
      <c r="ASV105" s="33" t="s">
        <v>334</v>
      </c>
      <c r="ASW105" s="33" t="s">
        <v>334</v>
      </c>
      <c r="ASX105" s="33" t="s">
        <v>334</v>
      </c>
      <c r="ASY105" s="33" t="s">
        <v>334</v>
      </c>
      <c r="ASZ105" s="33" t="s">
        <v>334</v>
      </c>
      <c r="ATA105" s="33" t="s">
        <v>334</v>
      </c>
      <c r="ATB105" s="33" t="s">
        <v>334</v>
      </c>
      <c r="ATC105" s="33" t="s">
        <v>334</v>
      </c>
      <c r="ATD105" s="33" t="s">
        <v>334</v>
      </c>
      <c r="ATE105" s="33" t="s">
        <v>334</v>
      </c>
      <c r="ATF105" s="33" t="s">
        <v>334</v>
      </c>
      <c r="ATG105" s="33" t="s">
        <v>334</v>
      </c>
      <c r="ATH105" s="33" t="s">
        <v>334</v>
      </c>
      <c r="ATI105" s="33" t="s">
        <v>334</v>
      </c>
      <c r="ATJ105" s="33" t="s">
        <v>334</v>
      </c>
      <c r="ATK105" s="33" t="s">
        <v>334</v>
      </c>
      <c r="ATL105" s="33" t="s">
        <v>334</v>
      </c>
      <c r="ATM105" s="33" t="s">
        <v>334</v>
      </c>
      <c r="ATN105" s="33" t="s">
        <v>334</v>
      </c>
      <c r="ATO105" s="33" t="s">
        <v>334</v>
      </c>
      <c r="ATP105" s="33" t="s">
        <v>334</v>
      </c>
      <c r="ATQ105" s="33" t="s">
        <v>334</v>
      </c>
      <c r="ATR105" s="33" t="s">
        <v>334</v>
      </c>
      <c r="ATS105" s="33" t="s">
        <v>334</v>
      </c>
      <c r="ATT105" s="33" t="s">
        <v>334</v>
      </c>
      <c r="ATU105" s="33" t="s">
        <v>334</v>
      </c>
      <c r="ATV105" s="33" t="s">
        <v>334</v>
      </c>
      <c r="ATW105" s="33" t="s">
        <v>334</v>
      </c>
      <c r="ATX105" s="33" t="s">
        <v>334</v>
      </c>
      <c r="ATY105" s="33" t="s">
        <v>334</v>
      </c>
      <c r="ATZ105" s="33" t="s">
        <v>334</v>
      </c>
      <c r="AUA105" s="33" t="s">
        <v>334</v>
      </c>
      <c r="AUB105" s="33" t="s">
        <v>334</v>
      </c>
      <c r="AUC105" s="33" t="s">
        <v>334</v>
      </c>
      <c r="AUD105" s="33" t="s">
        <v>334</v>
      </c>
      <c r="AUE105" s="33" t="s">
        <v>334</v>
      </c>
      <c r="AUF105" s="33" t="s">
        <v>334</v>
      </c>
      <c r="AUG105" s="33" t="s">
        <v>334</v>
      </c>
      <c r="AUH105" s="33" t="s">
        <v>334</v>
      </c>
      <c r="AUI105" s="33" t="s">
        <v>334</v>
      </c>
      <c r="AUJ105" s="33" t="s">
        <v>334</v>
      </c>
      <c r="AUK105" s="33" t="s">
        <v>334</v>
      </c>
      <c r="AUL105" s="33" t="s">
        <v>334</v>
      </c>
      <c r="AUM105" s="33" t="s">
        <v>334</v>
      </c>
      <c r="AUN105" s="33" t="s">
        <v>334</v>
      </c>
      <c r="AUO105" s="33" t="s">
        <v>334</v>
      </c>
      <c r="AUP105" s="33" t="s">
        <v>334</v>
      </c>
      <c r="AUQ105" s="33" t="s">
        <v>334</v>
      </c>
      <c r="AUR105" s="33" t="s">
        <v>334</v>
      </c>
      <c r="AUS105" s="33" t="s">
        <v>334</v>
      </c>
      <c r="AUT105" s="33" t="s">
        <v>334</v>
      </c>
      <c r="AUU105" s="33" t="s">
        <v>334</v>
      </c>
      <c r="AUV105" s="33" t="s">
        <v>334</v>
      </c>
      <c r="AUW105" s="33" t="s">
        <v>334</v>
      </c>
      <c r="AUX105" s="33" t="s">
        <v>334</v>
      </c>
      <c r="AUY105" s="33" t="s">
        <v>334</v>
      </c>
      <c r="AUZ105" s="33" t="s">
        <v>334</v>
      </c>
      <c r="AVA105" s="33" t="s">
        <v>334</v>
      </c>
      <c r="AVB105" s="33" t="s">
        <v>334</v>
      </c>
      <c r="AVC105" s="33" t="s">
        <v>334</v>
      </c>
      <c r="AVD105" s="33" t="s">
        <v>334</v>
      </c>
      <c r="AVE105" s="33" t="s">
        <v>334</v>
      </c>
      <c r="AVF105" s="33" t="s">
        <v>334</v>
      </c>
      <c r="AVG105" s="33" t="s">
        <v>334</v>
      </c>
      <c r="AVH105" s="33" t="s">
        <v>334</v>
      </c>
      <c r="AVI105" s="33" t="s">
        <v>334</v>
      </c>
      <c r="AVJ105" s="33" t="s">
        <v>334</v>
      </c>
      <c r="AVK105" s="33" t="s">
        <v>334</v>
      </c>
      <c r="AVL105" s="33" t="s">
        <v>334</v>
      </c>
      <c r="AVM105" s="33" t="s">
        <v>334</v>
      </c>
      <c r="AVN105" s="33" t="s">
        <v>334</v>
      </c>
      <c r="AVO105" s="33" t="s">
        <v>334</v>
      </c>
      <c r="AVP105" s="33" t="s">
        <v>334</v>
      </c>
      <c r="AVQ105" s="33" t="s">
        <v>334</v>
      </c>
      <c r="AVR105" s="33" t="s">
        <v>334</v>
      </c>
      <c r="AVS105" s="33" t="s">
        <v>334</v>
      </c>
      <c r="AVT105" s="33" t="s">
        <v>334</v>
      </c>
      <c r="AVU105" s="33" t="s">
        <v>334</v>
      </c>
      <c r="AVV105" s="33" t="s">
        <v>334</v>
      </c>
      <c r="AVW105" s="33" t="s">
        <v>334</v>
      </c>
      <c r="AVX105" s="33" t="s">
        <v>334</v>
      </c>
      <c r="AVY105" s="33" t="s">
        <v>334</v>
      </c>
      <c r="AVZ105" s="33" t="s">
        <v>334</v>
      </c>
      <c r="AWA105" s="33" t="s">
        <v>334</v>
      </c>
      <c r="AWB105" s="33" t="s">
        <v>334</v>
      </c>
      <c r="AWC105" s="33" t="s">
        <v>334</v>
      </c>
      <c r="AWD105" s="33" t="s">
        <v>334</v>
      </c>
      <c r="AWE105" s="33" t="s">
        <v>334</v>
      </c>
      <c r="AWF105" s="33" t="s">
        <v>334</v>
      </c>
      <c r="AWG105" s="33" t="s">
        <v>334</v>
      </c>
      <c r="AWH105" s="33" t="s">
        <v>334</v>
      </c>
      <c r="AWI105" s="33" t="s">
        <v>334</v>
      </c>
      <c r="AWJ105" s="33" t="s">
        <v>334</v>
      </c>
      <c r="AWK105" s="33" t="s">
        <v>334</v>
      </c>
      <c r="AWL105" s="33" t="s">
        <v>334</v>
      </c>
      <c r="AWM105" s="33" t="s">
        <v>334</v>
      </c>
      <c r="AWN105" s="33" t="s">
        <v>334</v>
      </c>
      <c r="AWO105" s="33" t="s">
        <v>334</v>
      </c>
      <c r="AWP105" s="33" t="s">
        <v>334</v>
      </c>
      <c r="AWQ105" s="33" t="s">
        <v>334</v>
      </c>
      <c r="AWR105" s="33" t="s">
        <v>334</v>
      </c>
      <c r="AWS105" s="33" t="s">
        <v>334</v>
      </c>
      <c r="AWT105" s="33" t="s">
        <v>334</v>
      </c>
      <c r="AWU105" s="33" t="s">
        <v>334</v>
      </c>
      <c r="AWV105" s="33" t="s">
        <v>334</v>
      </c>
      <c r="AWW105" s="33" t="s">
        <v>334</v>
      </c>
      <c r="AWX105" s="33" t="s">
        <v>334</v>
      </c>
      <c r="AWY105" s="33" t="s">
        <v>334</v>
      </c>
      <c r="AWZ105" s="33" t="s">
        <v>334</v>
      </c>
      <c r="AXA105" s="33" t="s">
        <v>334</v>
      </c>
      <c r="AXB105" s="33" t="s">
        <v>334</v>
      </c>
      <c r="AXC105" s="33" t="s">
        <v>334</v>
      </c>
      <c r="AXD105" s="33" t="s">
        <v>334</v>
      </c>
      <c r="AXE105" s="33" t="s">
        <v>334</v>
      </c>
      <c r="AXF105" s="33" t="s">
        <v>334</v>
      </c>
      <c r="AXG105" s="33" t="s">
        <v>334</v>
      </c>
      <c r="AXH105" s="33" t="s">
        <v>334</v>
      </c>
      <c r="AXI105" s="33" t="s">
        <v>334</v>
      </c>
      <c r="AXJ105" s="33" t="s">
        <v>334</v>
      </c>
      <c r="AXK105" s="33" t="s">
        <v>334</v>
      </c>
      <c r="AXL105" s="33" t="s">
        <v>334</v>
      </c>
      <c r="AXM105" s="33" t="s">
        <v>334</v>
      </c>
      <c r="AXN105" s="33" t="s">
        <v>334</v>
      </c>
      <c r="AXO105" s="33" t="s">
        <v>334</v>
      </c>
      <c r="AXP105" s="33" t="s">
        <v>334</v>
      </c>
      <c r="AXQ105" s="33" t="s">
        <v>334</v>
      </c>
      <c r="AXR105" s="33" t="s">
        <v>334</v>
      </c>
      <c r="AXS105" s="33" t="s">
        <v>334</v>
      </c>
      <c r="AXT105" s="33" t="s">
        <v>334</v>
      </c>
      <c r="AXU105" s="33" t="s">
        <v>334</v>
      </c>
      <c r="AXV105" s="33" t="s">
        <v>334</v>
      </c>
      <c r="AXW105" s="33" t="s">
        <v>334</v>
      </c>
      <c r="AXX105" s="33" t="s">
        <v>334</v>
      </c>
      <c r="AXY105" s="33" t="s">
        <v>334</v>
      </c>
      <c r="AXZ105" s="33" t="s">
        <v>334</v>
      </c>
      <c r="AYA105" s="33" t="s">
        <v>334</v>
      </c>
      <c r="AYB105" s="33" t="s">
        <v>334</v>
      </c>
      <c r="AYC105" s="33" t="s">
        <v>334</v>
      </c>
      <c r="AYD105" s="33" t="s">
        <v>334</v>
      </c>
      <c r="AYE105" s="33" t="s">
        <v>334</v>
      </c>
      <c r="AYF105" s="33" t="s">
        <v>334</v>
      </c>
      <c r="AYG105" s="33" t="s">
        <v>334</v>
      </c>
      <c r="AYH105" s="33" t="s">
        <v>334</v>
      </c>
      <c r="AYI105" s="33" t="s">
        <v>334</v>
      </c>
      <c r="AYJ105" s="33" t="s">
        <v>334</v>
      </c>
      <c r="AYK105" s="33" t="s">
        <v>334</v>
      </c>
      <c r="AYL105" s="33" t="s">
        <v>334</v>
      </c>
      <c r="AYM105" s="33" t="s">
        <v>334</v>
      </c>
      <c r="AYN105" s="33" t="s">
        <v>334</v>
      </c>
      <c r="AYO105" s="33" t="s">
        <v>334</v>
      </c>
      <c r="AYP105" s="33" t="s">
        <v>334</v>
      </c>
      <c r="AYQ105" s="33" t="s">
        <v>334</v>
      </c>
      <c r="AYR105" s="33" t="s">
        <v>334</v>
      </c>
      <c r="AYS105" s="33" t="s">
        <v>334</v>
      </c>
      <c r="AYT105" s="33" t="s">
        <v>334</v>
      </c>
      <c r="AYU105" s="33" t="s">
        <v>334</v>
      </c>
      <c r="AYV105" s="33" t="s">
        <v>334</v>
      </c>
      <c r="AYW105" s="33" t="s">
        <v>334</v>
      </c>
      <c r="AYX105" s="33" t="s">
        <v>334</v>
      </c>
      <c r="AYY105" s="33" t="s">
        <v>334</v>
      </c>
      <c r="AYZ105" s="33" t="s">
        <v>334</v>
      </c>
      <c r="AZA105" s="33" t="s">
        <v>334</v>
      </c>
      <c r="AZB105" s="33" t="s">
        <v>334</v>
      </c>
      <c r="AZC105" s="33" t="s">
        <v>334</v>
      </c>
      <c r="AZD105" s="33" t="s">
        <v>334</v>
      </c>
      <c r="AZE105" s="33" t="s">
        <v>334</v>
      </c>
      <c r="AZF105" s="33" t="s">
        <v>334</v>
      </c>
      <c r="AZG105" s="33" t="s">
        <v>334</v>
      </c>
      <c r="AZH105" s="33" t="s">
        <v>334</v>
      </c>
      <c r="AZI105" s="33" t="s">
        <v>334</v>
      </c>
      <c r="AZJ105" s="33" t="s">
        <v>334</v>
      </c>
      <c r="AZK105" s="33" t="s">
        <v>334</v>
      </c>
      <c r="AZL105" s="33" t="s">
        <v>334</v>
      </c>
      <c r="AZM105" s="33" t="s">
        <v>334</v>
      </c>
      <c r="AZN105" s="33" t="s">
        <v>334</v>
      </c>
      <c r="AZO105" s="33" t="s">
        <v>334</v>
      </c>
      <c r="AZP105" s="33" t="s">
        <v>334</v>
      </c>
      <c r="AZQ105" s="33" t="s">
        <v>334</v>
      </c>
      <c r="AZR105" s="33" t="s">
        <v>334</v>
      </c>
      <c r="AZS105" s="33" t="s">
        <v>334</v>
      </c>
      <c r="AZT105" s="33" t="s">
        <v>334</v>
      </c>
      <c r="AZU105" s="33" t="s">
        <v>334</v>
      </c>
      <c r="AZV105" s="33" t="s">
        <v>334</v>
      </c>
      <c r="AZW105" s="33" t="s">
        <v>334</v>
      </c>
      <c r="AZX105" s="33" t="s">
        <v>334</v>
      </c>
      <c r="AZY105" s="33" t="s">
        <v>334</v>
      </c>
      <c r="AZZ105" s="33" t="s">
        <v>334</v>
      </c>
      <c r="BAA105" s="33" t="s">
        <v>334</v>
      </c>
      <c r="BAB105" s="33" t="s">
        <v>334</v>
      </c>
      <c r="BAC105" s="33" t="s">
        <v>334</v>
      </c>
      <c r="BAD105" s="33" t="s">
        <v>334</v>
      </c>
      <c r="BAE105" s="33" t="s">
        <v>334</v>
      </c>
      <c r="BAF105" s="33" t="s">
        <v>334</v>
      </c>
      <c r="BAG105" s="33" t="s">
        <v>334</v>
      </c>
      <c r="BAH105" s="33" t="s">
        <v>334</v>
      </c>
      <c r="BAI105" s="33" t="s">
        <v>334</v>
      </c>
      <c r="BAJ105" s="33" t="s">
        <v>334</v>
      </c>
      <c r="BAK105" s="33" t="s">
        <v>334</v>
      </c>
      <c r="BAL105" s="33" t="s">
        <v>334</v>
      </c>
      <c r="BAM105" s="33" t="s">
        <v>334</v>
      </c>
      <c r="BAN105" s="33" t="s">
        <v>334</v>
      </c>
      <c r="BAO105" s="33" t="s">
        <v>334</v>
      </c>
      <c r="BAP105" s="33" t="s">
        <v>334</v>
      </c>
      <c r="BAQ105" s="33" t="s">
        <v>334</v>
      </c>
      <c r="BAR105" s="33" t="s">
        <v>334</v>
      </c>
      <c r="BAS105" s="33" t="s">
        <v>334</v>
      </c>
      <c r="BAT105" s="33" t="s">
        <v>334</v>
      </c>
      <c r="BAU105" s="33" t="s">
        <v>334</v>
      </c>
      <c r="BAV105" s="33" t="s">
        <v>334</v>
      </c>
      <c r="BAW105" s="33" t="s">
        <v>334</v>
      </c>
      <c r="BAX105" s="33" t="s">
        <v>334</v>
      </c>
      <c r="BAY105" s="33" t="s">
        <v>334</v>
      </c>
      <c r="BAZ105" s="33" t="s">
        <v>334</v>
      </c>
      <c r="BBA105" s="33" t="s">
        <v>334</v>
      </c>
      <c r="BBB105" s="33" t="s">
        <v>334</v>
      </c>
      <c r="BBC105" s="33" t="s">
        <v>334</v>
      </c>
      <c r="BBD105" s="33" t="s">
        <v>334</v>
      </c>
      <c r="BBE105" s="33" t="s">
        <v>334</v>
      </c>
      <c r="BBF105" s="33" t="s">
        <v>334</v>
      </c>
      <c r="BBG105" s="33" t="s">
        <v>334</v>
      </c>
      <c r="BBH105" s="33" t="s">
        <v>334</v>
      </c>
      <c r="BBI105" s="33" t="s">
        <v>334</v>
      </c>
      <c r="BBJ105" s="33" t="s">
        <v>334</v>
      </c>
      <c r="BBK105" s="33" t="s">
        <v>334</v>
      </c>
      <c r="BBL105" s="33" t="s">
        <v>334</v>
      </c>
      <c r="BBM105" s="33" t="s">
        <v>334</v>
      </c>
      <c r="BBN105" s="33" t="s">
        <v>334</v>
      </c>
      <c r="BBO105" s="33" t="s">
        <v>334</v>
      </c>
      <c r="BBP105" s="33" t="s">
        <v>334</v>
      </c>
      <c r="BBQ105" s="33" t="s">
        <v>334</v>
      </c>
      <c r="BBR105" s="33" t="s">
        <v>334</v>
      </c>
      <c r="BBS105" s="33" t="s">
        <v>334</v>
      </c>
      <c r="BBT105" s="33" t="s">
        <v>334</v>
      </c>
      <c r="BBU105" s="33" t="s">
        <v>334</v>
      </c>
      <c r="BBV105" s="33" t="s">
        <v>334</v>
      </c>
      <c r="BBW105" s="33" t="s">
        <v>334</v>
      </c>
      <c r="BBX105" s="33" t="s">
        <v>334</v>
      </c>
      <c r="BBY105" s="33" t="s">
        <v>334</v>
      </c>
      <c r="BBZ105" s="33" t="s">
        <v>334</v>
      </c>
      <c r="BCA105" s="33" t="s">
        <v>334</v>
      </c>
      <c r="BCB105" s="33" t="s">
        <v>334</v>
      </c>
      <c r="BCC105" s="33" t="s">
        <v>334</v>
      </c>
      <c r="BCD105" s="33" t="s">
        <v>334</v>
      </c>
      <c r="BCE105" s="33" t="s">
        <v>334</v>
      </c>
      <c r="BCF105" s="33" t="s">
        <v>334</v>
      </c>
      <c r="BCG105" s="33" t="s">
        <v>334</v>
      </c>
      <c r="BCH105" s="33" t="s">
        <v>334</v>
      </c>
      <c r="BCI105" s="33" t="s">
        <v>334</v>
      </c>
      <c r="BCJ105" s="33" t="s">
        <v>334</v>
      </c>
      <c r="BCK105" s="33" t="s">
        <v>334</v>
      </c>
      <c r="BCL105" s="33" t="s">
        <v>334</v>
      </c>
      <c r="BCM105" s="33" t="s">
        <v>334</v>
      </c>
      <c r="BCN105" s="33" t="s">
        <v>334</v>
      </c>
      <c r="BCO105" s="33" t="s">
        <v>334</v>
      </c>
      <c r="BCP105" s="33" t="s">
        <v>334</v>
      </c>
      <c r="BCQ105" s="33" t="s">
        <v>334</v>
      </c>
      <c r="BCR105" s="33" t="s">
        <v>334</v>
      </c>
      <c r="BCS105" s="33" t="s">
        <v>334</v>
      </c>
      <c r="BCT105" s="33" t="s">
        <v>334</v>
      </c>
      <c r="BCU105" s="33" t="s">
        <v>334</v>
      </c>
      <c r="BCV105" s="33" t="s">
        <v>334</v>
      </c>
      <c r="BCW105" s="33" t="s">
        <v>334</v>
      </c>
      <c r="BCX105" s="33" t="s">
        <v>334</v>
      </c>
      <c r="BCY105" s="33" t="s">
        <v>334</v>
      </c>
      <c r="BCZ105" s="33" t="s">
        <v>334</v>
      </c>
      <c r="BDA105" s="33" t="s">
        <v>334</v>
      </c>
      <c r="BDB105" s="33" t="s">
        <v>334</v>
      </c>
      <c r="BDC105" s="33" t="s">
        <v>334</v>
      </c>
      <c r="BDD105" s="33" t="s">
        <v>334</v>
      </c>
      <c r="BDE105" s="33" t="s">
        <v>334</v>
      </c>
      <c r="BDF105" s="33" t="s">
        <v>334</v>
      </c>
      <c r="BDG105" s="33" t="s">
        <v>334</v>
      </c>
      <c r="BDH105" s="33" t="s">
        <v>334</v>
      </c>
      <c r="BDI105" s="33" t="s">
        <v>334</v>
      </c>
      <c r="BDJ105" s="33" t="s">
        <v>334</v>
      </c>
      <c r="BDK105" s="33" t="s">
        <v>334</v>
      </c>
      <c r="BDL105" s="33" t="s">
        <v>334</v>
      </c>
      <c r="BDM105" s="33" t="s">
        <v>334</v>
      </c>
      <c r="BDN105" s="33" t="s">
        <v>334</v>
      </c>
      <c r="BDO105" s="33" t="s">
        <v>334</v>
      </c>
      <c r="BDP105" s="33" t="s">
        <v>334</v>
      </c>
      <c r="BDQ105" s="33" t="s">
        <v>334</v>
      </c>
      <c r="BDR105" s="33" t="s">
        <v>334</v>
      </c>
      <c r="BDS105" s="33" t="s">
        <v>334</v>
      </c>
      <c r="BDT105" s="33" t="s">
        <v>334</v>
      </c>
      <c r="BDU105" s="33" t="s">
        <v>334</v>
      </c>
      <c r="BDV105" s="33" t="s">
        <v>334</v>
      </c>
      <c r="BDW105" s="33" t="s">
        <v>334</v>
      </c>
      <c r="BDX105" s="33" t="s">
        <v>334</v>
      </c>
      <c r="BDY105" s="33" t="s">
        <v>334</v>
      </c>
      <c r="BDZ105" s="33" t="s">
        <v>334</v>
      </c>
      <c r="BEA105" s="33" t="s">
        <v>334</v>
      </c>
      <c r="BEB105" s="33" t="s">
        <v>334</v>
      </c>
      <c r="BEC105" s="33" t="s">
        <v>334</v>
      </c>
      <c r="BED105" s="33" t="s">
        <v>334</v>
      </c>
      <c r="BEE105" s="33" t="s">
        <v>334</v>
      </c>
      <c r="BEF105" s="33" t="s">
        <v>334</v>
      </c>
      <c r="BEG105" s="33" t="s">
        <v>334</v>
      </c>
      <c r="BEH105" s="33" t="s">
        <v>334</v>
      </c>
      <c r="BEI105" s="33" t="s">
        <v>334</v>
      </c>
      <c r="BEJ105" s="33" t="s">
        <v>334</v>
      </c>
      <c r="BEK105" s="33" t="s">
        <v>334</v>
      </c>
      <c r="BEL105" s="33" t="s">
        <v>334</v>
      </c>
      <c r="BEM105" s="33" t="s">
        <v>334</v>
      </c>
      <c r="BEN105" s="33" t="s">
        <v>334</v>
      </c>
      <c r="BEO105" s="33" t="s">
        <v>334</v>
      </c>
      <c r="BEP105" s="33" t="s">
        <v>334</v>
      </c>
      <c r="BEQ105" s="33" t="s">
        <v>334</v>
      </c>
      <c r="BER105" s="33" t="s">
        <v>334</v>
      </c>
      <c r="BES105" s="33" t="s">
        <v>334</v>
      </c>
      <c r="BET105" s="33" t="s">
        <v>334</v>
      </c>
      <c r="BEU105" s="33" t="s">
        <v>334</v>
      </c>
      <c r="BEV105" s="33" t="s">
        <v>334</v>
      </c>
      <c r="BEW105" s="33" t="s">
        <v>334</v>
      </c>
      <c r="BEX105" s="33" t="s">
        <v>334</v>
      </c>
      <c r="BEY105" s="33" t="s">
        <v>334</v>
      </c>
      <c r="BEZ105" s="33" t="s">
        <v>334</v>
      </c>
      <c r="BFA105" s="33" t="s">
        <v>334</v>
      </c>
      <c r="BFB105" s="33" t="s">
        <v>334</v>
      </c>
      <c r="BFC105" s="33" t="s">
        <v>334</v>
      </c>
      <c r="BFD105" s="33" t="s">
        <v>334</v>
      </c>
      <c r="BFE105" s="33" t="s">
        <v>334</v>
      </c>
      <c r="BFF105" s="33" t="s">
        <v>334</v>
      </c>
      <c r="BFG105" s="33" t="s">
        <v>334</v>
      </c>
      <c r="BFH105" s="33" t="s">
        <v>334</v>
      </c>
      <c r="BFI105" s="33" t="s">
        <v>334</v>
      </c>
      <c r="BFJ105" s="33" t="s">
        <v>334</v>
      </c>
      <c r="BFK105" s="33" t="s">
        <v>334</v>
      </c>
      <c r="BFL105" s="33" t="s">
        <v>334</v>
      </c>
      <c r="BFM105" s="33" t="s">
        <v>334</v>
      </c>
      <c r="BFN105" s="33" t="s">
        <v>334</v>
      </c>
      <c r="BFO105" s="33" t="s">
        <v>334</v>
      </c>
      <c r="BFP105" s="33" t="s">
        <v>334</v>
      </c>
      <c r="BFQ105" s="33" t="s">
        <v>334</v>
      </c>
      <c r="BFR105" s="33" t="s">
        <v>334</v>
      </c>
      <c r="BFS105" s="33" t="s">
        <v>334</v>
      </c>
      <c r="BFT105" s="33" t="s">
        <v>334</v>
      </c>
      <c r="BFU105" s="33" t="s">
        <v>334</v>
      </c>
      <c r="BFV105" s="33" t="s">
        <v>334</v>
      </c>
      <c r="BFW105" s="33" t="s">
        <v>334</v>
      </c>
      <c r="BFX105" s="33" t="s">
        <v>334</v>
      </c>
      <c r="BFY105" s="33" t="s">
        <v>334</v>
      </c>
      <c r="BFZ105" s="33" t="s">
        <v>334</v>
      </c>
      <c r="BGA105" s="33" t="s">
        <v>334</v>
      </c>
      <c r="BGB105" s="33" t="s">
        <v>334</v>
      </c>
      <c r="BGC105" s="33" t="s">
        <v>334</v>
      </c>
      <c r="BGD105" s="33" t="s">
        <v>334</v>
      </c>
      <c r="BGE105" s="33" t="s">
        <v>334</v>
      </c>
      <c r="BGF105" s="33" t="s">
        <v>334</v>
      </c>
      <c r="BGG105" s="33" t="s">
        <v>334</v>
      </c>
      <c r="BGH105" s="33" t="s">
        <v>334</v>
      </c>
      <c r="BGI105" s="33" t="s">
        <v>334</v>
      </c>
      <c r="BGJ105" s="33" t="s">
        <v>334</v>
      </c>
      <c r="BGK105" s="33" t="s">
        <v>334</v>
      </c>
      <c r="BGL105" s="33" t="s">
        <v>334</v>
      </c>
      <c r="BGM105" s="33" t="s">
        <v>334</v>
      </c>
      <c r="BGN105" s="33" t="s">
        <v>334</v>
      </c>
      <c r="BGO105" s="33" t="s">
        <v>334</v>
      </c>
      <c r="BGP105" s="33" t="s">
        <v>334</v>
      </c>
      <c r="BGQ105" s="33" t="s">
        <v>334</v>
      </c>
      <c r="BGR105" s="33" t="s">
        <v>334</v>
      </c>
      <c r="BGS105" s="33" t="s">
        <v>334</v>
      </c>
      <c r="BGT105" s="33" t="s">
        <v>334</v>
      </c>
      <c r="BGU105" s="33" t="s">
        <v>334</v>
      </c>
      <c r="BGV105" s="33" t="s">
        <v>334</v>
      </c>
      <c r="BGW105" s="33" t="s">
        <v>334</v>
      </c>
      <c r="BGX105" s="33" t="s">
        <v>334</v>
      </c>
      <c r="BGY105" s="33" t="s">
        <v>334</v>
      </c>
      <c r="BGZ105" s="33" t="s">
        <v>334</v>
      </c>
      <c r="BHA105" s="33" t="s">
        <v>334</v>
      </c>
      <c r="BHB105" s="33" t="s">
        <v>334</v>
      </c>
      <c r="BHC105" s="33" t="s">
        <v>334</v>
      </c>
      <c r="BHD105" s="33" t="s">
        <v>334</v>
      </c>
      <c r="BHE105" s="33" t="s">
        <v>334</v>
      </c>
      <c r="BHF105" s="33" t="s">
        <v>334</v>
      </c>
      <c r="BHG105" s="33" t="s">
        <v>334</v>
      </c>
      <c r="BHH105" s="33" t="s">
        <v>334</v>
      </c>
      <c r="BHI105" s="33" t="s">
        <v>334</v>
      </c>
      <c r="BHJ105" s="33" t="s">
        <v>334</v>
      </c>
      <c r="BHK105" s="33" t="s">
        <v>334</v>
      </c>
      <c r="BHL105" s="33" t="s">
        <v>334</v>
      </c>
      <c r="BHM105" s="33" t="s">
        <v>334</v>
      </c>
      <c r="BHN105" s="33" t="s">
        <v>334</v>
      </c>
      <c r="BHO105" s="33" t="s">
        <v>334</v>
      </c>
      <c r="BHP105" s="33" t="s">
        <v>334</v>
      </c>
      <c r="BHQ105" s="33" t="s">
        <v>334</v>
      </c>
      <c r="BHR105" s="33" t="s">
        <v>334</v>
      </c>
      <c r="BHS105" s="33" t="s">
        <v>334</v>
      </c>
      <c r="BHT105" s="33" t="s">
        <v>334</v>
      </c>
      <c r="BHU105" s="33" t="s">
        <v>334</v>
      </c>
      <c r="BHV105" s="33" t="s">
        <v>334</v>
      </c>
      <c r="BHW105" s="33" t="s">
        <v>334</v>
      </c>
      <c r="BHX105" s="33" t="s">
        <v>334</v>
      </c>
      <c r="BHY105" s="33" t="s">
        <v>334</v>
      </c>
      <c r="BHZ105" s="33" t="s">
        <v>334</v>
      </c>
      <c r="BIA105" s="33" t="s">
        <v>334</v>
      </c>
      <c r="BIB105" s="33" t="s">
        <v>334</v>
      </c>
      <c r="BIC105" s="33" t="s">
        <v>334</v>
      </c>
      <c r="BID105" s="33" t="s">
        <v>334</v>
      </c>
      <c r="BIE105" s="33" t="s">
        <v>334</v>
      </c>
      <c r="BIF105" s="33" t="s">
        <v>334</v>
      </c>
      <c r="BIG105" s="33" t="s">
        <v>334</v>
      </c>
      <c r="BIH105" s="33" t="s">
        <v>334</v>
      </c>
      <c r="BII105" s="33" t="s">
        <v>334</v>
      </c>
      <c r="BIJ105" s="33" t="s">
        <v>334</v>
      </c>
      <c r="BIK105" s="33" t="s">
        <v>334</v>
      </c>
      <c r="BIL105" s="33" t="s">
        <v>334</v>
      </c>
      <c r="BIM105" s="33" t="s">
        <v>334</v>
      </c>
      <c r="BIN105" s="33" t="s">
        <v>334</v>
      </c>
      <c r="BIO105" s="33" t="s">
        <v>334</v>
      </c>
      <c r="BIP105" s="33" t="s">
        <v>334</v>
      </c>
      <c r="BIQ105" s="33" t="s">
        <v>334</v>
      </c>
      <c r="BIR105" s="33" t="s">
        <v>334</v>
      </c>
      <c r="BIS105" s="33" t="s">
        <v>334</v>
      </c>
      <c r="BIT105" s="33" t="s">
        <v>334</v>
      </c>
      <c r="BIU105" s="33" t="s">
        <v>334</v>
      </c>
      <c r="BIV105" s="33" t="s">
        <v>334</v>
      </c>
      <c r="BIW105" s="33" t="s">
        <v>334</v>
      </c>
      <c r="BIX105" s="33" t="s">
        <v>334</v>
      </c>
      <c r="BIY105" s="33" t="s">
        <v>334</v>
      </c>
      <c r="BIZ105" s="33" t="s">
        <v>334</v>
      </c>
      <c r="BJA105" s="33" t="s">
        <v>334</v>
      </c>
      <c r="BJB105" s="33" t="s">
        <v>334</v>
      </c>
      <c r="BJC105" s="33" t="s">
        <v>334</v>
      </c>
      <c r="BJD105" s="33" t="s">
        <v>334</v>
      </c>
      <c r="BJE105" s="33" t="s">
        <v>334</v>
      </c>
      <c r="BJF105" s="33" t="s">
        <v>334</v>
      </c>
      <c r="BJG105" s="33" t="s">
        <v>334</v>
      </c>
      <c r="BJH105" s="33" t="s">
        <v>334</v>
      </c>
      <c r="BJI105" s="33" t="s">
        <v>334</v>
      </c>
      <c r="BJJ105" s="33" t="s">
        <v>334</v>
      </c>
      <c r="BJK105" s="33" t="s">
        <v>334</v>
      </c>
      <c r="BJL105" s="33" t="s">
        <v>334</v>
      </c>
      <c r="BJM105" s="33" t="s">
        <v>334</v>
      </c>
      <c r="BJN105" s="33" t="s">
        <v>334</v>
      </c>
      <c r="BJO105" s="33" t="s">
        <v>334</v>
      </c>
      <c r="BJP105" s="33" t="s">
        <v>334</v>
      </c>
      <c r="BJQ105" s="33" t="s">
        <v>334</v>
      </c>
      <c r="BJR105" s="33" t="s">
        <v>334</v>
      </c>
      <c r="BJS105" s="33" t="s">
        <v>334</v>
      </c>
      <c r="BJT105" s="33" t="s">
        <v>334</v>
      </c>
      <c r="BJU105" s="33" t="s">
        <v>334</v>
      </c>
      <c r="BJV105" s="33" t="s">
        <v>334</v>
      </c>
      <c r="BJW105" s="33" t="s">
        <v>334</v>
      </c>
      <c r="BJX105" s="33" t="s">
        <v>334</v>
      </c>
      <c r="BJY105" s="33" t="s">
        <v>334</v>
      </c>
      <c r="BJZ105" s="33" t="s">
        <v>334</v>
      </c>
      <c r="BKA105" s="33" t="s">
        <v>334</v>
      </c>
      <c r="BKB105" s="33" t="s">
        <v>334</v>
      </c>
      <c r="BKC105" s="33" t="s">
        <v>334</v>
      </c>
      <c r="BKD105" s="33" t="s">
        <v>334</v>
      </c>
      <c r="BKE105" s="33" t="s">
        <v>334</v>
      </c>
      <c r="BKF105" s="33" t="s">
        <v>334</v>
      </c>
      <c r="BKG105" s="33" t="s">
        <v>334</v>
      </c>
      <c r="BKH105" s="33" t="s">
        <v>334</v>
      </c>
      <c r="BKI105" s="33" t="s">
        <v>334</v>
      </c>
      <c r="BKJ105" s="33" t="s">
        <v>334</v>
      </c>
      <c r="BKK105" s="33" t="s">
        <v>334</v>
      </c>
      <c r="BKL105" s="33" t="s">
        <v>334</v>
      </c>
      <c r="BKM105" s="33" t="s">
        <v>334</v>
      </c>
      <c r="BKN105" s="33" t="s">
        <v>334</v>
      </c>
      <c r="BKO105" s="33" t="s">
        <v>334</v>
      </c>
      <c r="BKP105" s="33" t="s">
        <v>334</v>
      </c>
      <c r="BKQ105" s="33" t="s">
        <v>334</v>
      </c>
      <c r="BKR105" s="33" t="s">
        <v>334</v>
      </c>
      <c r="BKS105" s="33" t="s">
        <v>334</v>
      </c>
      <c r="BKT105" s="33" t="s">
        <v>334</v>
      </c>
      <c r="BKU105" s="33" t="s">
        <v>334</v>
      </c>
      <c r="BKV105" s="33" t="s">
        <v>334</v>
      </c>
      <c r="BKW105" s="33" t="s">
        <v>334</v>
      </c>
      <c r="BKX105" s="33" t="s">
        <v>334</v>
      </c>
      <c r="BKY105" s="33" t="s">
        <v>334</v>
      </c>
      <c r="BKZ105" s="33" t="s">
        <v>334</v>
      </c>
      <c r="BLA105" s="33" t="s">
        <v>334</v>
      </c>
      <c r="BLB105" s="33" t="s">
        <v>334</v>
      </c>
      <c r="BLC105" s="33" t="s">
        <v>334</v>
      </c>
      <c r="BLD105" s="33" t="s">
        <v>334</v>
      </c>
      <c r="BLE105" s="33" t="s">
        <v>334</v>
      </c>
      <c r="BLF105" s="33" t="s">
        <v>334</v>
      </c>
      <c r="BLG105" s="33" t="s">
        <v>334</v>
      </c>
      <c r="BLH105" s="33" t="s">
        <v>334</v>
      </c>
      <c r="BLI105" s="33" t="s">
        <v>334</v>
      </c>
      <c r="BLJ105" s="33" t="s">
        <v>334</v>
      </c>
      <c r="BLK105" s="33" t="s">
        <v>334</v>
      </c>
      <c r="BLL105" s="33" t="s">
        <v>334</v>
      </c>
      <c r="BLM105" s="33" t="s">
        <v>334</v>
      </c>
      <c r="BLN105" s="33" t="s">
        <v>334</v>
      </c>
      <c r="BLO105" s="33" t="s">
        <v>334</v>
      </c>
      <c r="BLP105" s="33" t="s">
        <v>334</v>
      </c>
      <c r="BLQ105" s="33" t="s">
        <v>334</v>
      </c>
      <c r="BLR105" s="33" t="s">
        <v>334</v>
      </c>
      <c r="BLS105" s="33" t="s">
        <v>334</v>
      </c>
      <c r="BLT105" s="33" t="s">
        <v>334</v>
      </c>
      <c r="BLU105" s="33" t="s">
        <v>334</v>
      </c>
      <c r="BLV105" s="33" t="s">
        <v>334</v>
      </c>
      <c r="BLW105" s="33" t="s">
        <v>334</v>
      </c>
      <c r="BLX105" s="33" t="s">
        <v>334</v>
      </c>
      <c r="BLY105" s="33" t="s">
        <v>334</v>
      </c>
      <c r="BLZ105" s="33" t="s">
        <v>334</v>
      </c>
      <c r="BMA105" s="33" t="s">
        <v>334</v>
      </c>
      <c r="BMB105" s="33" t="s">
        <v>334</v>
      </c>
      <c r="BMC105" s="33" t="s">
        <v>334</v>
      </c>
      <c r="BMD105" s="33" t="s">
        <v>334</v>
      </c>
      <c r="BME105" s="33" t="s">
        <v>334</v>
      </c>
      <c r="BMF105" s="33" t="s">
        <v>334</v>
      </c>
      <c r="BMG105" s="33" t="s">
        <v>334</v>
      </c>
      <c r="BMH105" s="33" t="s">
        <v>334</v>
      </c>
      <c r="BMI105" s="33" t="s">
        <v>334</v>
      </c>
      <c r="BMJ105" s="33" t="s">
        <v>334</v>
      </c>
      <c r="BMK105" s="33" t="s">
        <v>334</v>
      </c>
      <c r="BML105" s="33" t="s">
        <v>334</v>
      </c>
      <c r="BMM105" s="33" t="s">
        <v>334</v>
      </c>
      <c r="BMN105" s="33" t="s">
        <v>334</v>
      </c>
      <c r="BMO105" s="33" t="s">
        <v>334</v>
      </c>
      <c r="BMP105" s="33" t="s">
        <v>334</v>
      </c>
      <c r="BMQ105" s="33" t="s">
        <v>334</v>
      </c>
      <c r="BMR105" s="33" t="s">
        <v>334</v>
      </c>
      <c r="BMS105" s="33" t="s">
        <v>334</v>
      </c>
      <c r="BMT105" s="33" t="s">
        <v>334</v>
      </c>
      <c r="BMU105" s="33" t="s">
        <v>334</v>
      </c>
      <c r="BMV105" s="33" t="s">
        <v>334</v>
      </c>
      <c r="BMW105" s="33" t="s">
        <v>334</v>
      </c>
      <c r="BMX105" s="33" t="s">
        <v>334</v>
      </c>
      <c r="BMY105" s="33" t="s">
        <v>334</v>
      </c>
      <c r="BMZ105" s="33" t="s">
        <v>334</v>
      </c>
      <c r="BNA105" s="33" t="s">
        <v>334</v>
      </c>
      <c r="BNB105" s="33" t="s">
        <v>334</v>
      </c>
      <c r="BNC105" s="33" t="s">
        <v>334</v>
      </c>
      <c r="BND105" s="33" t="s">
        <v>334</v>
      </c>
      <c r="BNE105" s="33" t="s">
        <v>334</v>
      </c>
      <c r="BNF105" s="33" t="s">
        <v>334</v>
      </c>
      <c r="BNG105" s="33" t="s">
        <v>334</v>
      </c>
      <c r="BNH105" s="33" t="s">
        <v>334</v>
      </c>
      <c r="BNI105" s="33" t="s">
        <v>334</v>
      </c>
      <c r="BNJ105" s="33" t="s">
        <v>334</v>
      </c>
      <c r="BNK105" s="33" t="s">
        <v>334</v>
      </c>
      <c r="BNL105" s="33" t="s">
        <v>334</v>
      </c>
      <c r="BNM105" s="33" t="s">
        <v>334</v>
      </c>
      <c r="BNN105" s="33" t="s">
        <v>334</v>
      </c>
      <c r="BNO105" s="33" t="s">
        <v>334</v>
      </c>
      <c r="BNP105" s="33" t="s">
        <v>334</v>
      </c>
      <c r="BNQ105" s="33" t="s">
        <v>334</v>
      </c>
      <c r="BNR105" s="33" t="s">
        <v>334</v>
      </c>
      <c r="BNS105" s="33" t="s">
        <v>334</v>
      </c>
      <c r="BNT105" s="33" t="s">
        <v>334</v>
      </c>
      <c r="BNU105" s="33" t="s">
        <v>334</v>
      </c>
      <c r="BNV105" s="33" t="s">
        <v>334</v>
      </c>
      <c r="BNW105" s="33" t="s">
        <v>334</v>
      </c>
      <c r="BNX105" s="33" t="s">
        <v>334</v>
      </c>
      <c r="BNY105" s="33" t="s">
        <v>334</v>
      </c>
      <c r="BNZ105" s="33" t="s">
        <v>334</v>
      </c>
      <c r="BOA105" s="33" t="s">
        <v>334</v>
      </c>
      <c r="BOB105" s="33" t="s">
        <v>334</v>
      </c>
      <c r="BOC105" s="33" t="s">
        <v>334</v>
      </c>
      <c r="BOD105" s="33" t="s">
        <v>334</v>
      </c>
      <c r="BOE105" s="33" t="s">
        <v>334</v>
      </c>
      <c r="BOF105" s="33" t="s">
        <v>334</v>
      </c>
      <c r="BOG105" s="33" t="s">
        <v>334</v>
      </c>
      <c r="BOH105" s="33" t="s">
        <v>334</v>
      </c>
      <c r="BOI105" s="33" t="s">
        <v>334</v>
      </c>
      <c r="BOJ105" s="33" t="s">
        <v>334</v>
      </c>
      <c r="BOK105" s="33" t="s">
        <v>334</v>
      </c>
      <c r="BOL105" s="33" t="s">
        <v>334</v>
      </c>
      <c r="BOM105" s="33" t="s">
        <v>334</v>
      </c>
      <c r="BON105" s="33" t="s">
        <v>334</v>
      </c>
      <c r="BOO105" s="33" t="s">
        <v>334</v>
      </c>
      <c r="BOP105" s="33" t="s">
        <v>334</v>
      </c>
      <c r="BOQ105" s="33" t="s">
        <v>334</v>
      </c>
      <c r="BOR105" s="33" t="s">
        <v>334</v>
      </c>
      <c r="BOS105" s="33" t="s">
        <v>334</v>
      </c>
      <c r="BOT105" s="33" t="s">
        <v>334</v>
      </c>
      <c r="BOU105" s="33" t="s">
        <v>334</v>
      </c>
      <c r="BOV105" s="33" t="s">
        <v>334</v>
      </c>
      <c r="BOW105" s="33" t="s">
        <v>334</v>
      </c>
      <c r="BOX105" s="33" t="s">
        <v>334</v>
      </c>
      <c r="BOY105" s="33" t="s">
        <v>334</v>
      </c>
      <c r="BOZ105" s="33" t="s">
        <v>334</v>
      </c>
      <c r="BPA105" s="33" t="s">
        <v>334</v>
      </c>
      <c r="BPB105" s="33" t="s">
        <v>334</v>
      </c>
      <c r="BPC105" s="33" t="s">
        <v>334</v>
      </c>
      <c r="BPD105" s="33" t="s">
        <v>334</v>
      </c>
      <c r="BPE105" s="33" t="s">
        <v>334</v>
      </c>
      <c r="BPF105" s="33" t="s">
        <v>334</v>
      </c>
      <c r="BPG105" s="33" t="s">
        <v>334</v>
      </c>
      <c r="BPH105" s="33" t="s">
        <v>334</v>
      </c>
      <c r="BPI105" s="33" t="s">
        <v>334</v>
      </c>
      <c r="BPJ105" s="33" t="s">
        <v>334</v>
      </c>
      <c r="BPK105" s="33" t="s">
        <v>334</v>
      </c>
      <c r="BPL105" s="33" t="s">
        <v>334</v>
      </c>
      <c r="BPM105" s="33" t="s">
        <v>334</v>
      </c>
      <c r="BPN105" s="33" t="s">
        <v>334</v>
      </c>
      <c r="BPO105" s="33" t="s">
        <v>334</v>
      </c>
      <c r="BPP105" s="33" t="s">
        <v>334</v>
      </c>
      <c r="BPQ105" s="33" t="s">
        <v>334</v>
      </c>
      <c r="BPR105" s="33" t="s">
        <v>334</v>
      </c>
      <c r="BPS105" s="33" t="s">
        <v>334</v>
      </c>
      <c r="BPT105" s="33" t="s">
        <v>334</v>
      </c>
      <c r="BPU105" s="33" t="s">
        <v>334</v>
      </c>
      <c r="BPV105" s="33" t="s">
        <v>334</v>
      </c>
      <c r="BPW105" s="33" t="s">
        <v>334</v>
      </c>
      <c r="BPX105" s="33" t="s">
        <v>334</v>
      </c>
      <c r="BPY105" s="33" t="s">
        <v>334</v>
      </c>
      <c r="BPZ105" s="33" t="s">
        <v>334</v>
      </c>
      <c r="BQA105" s="33" t="s">
        <v>334</v>
      </c>
      <c r="BQB105" s="33" t="s">
        <v>334</v>
      </c>
      <c r="BQC105" s="33" t="s">
        <v>334</v>
      </c>
      <c r="BQD105" s="33" t="s">
        <v>334</v>
      </c>
      <c r="BQE105" s="33" t="s">
        <v>334</v>
      </c>
      <c r="BQF105" s="33" t="s">
        <v>334</v>
      </c>
      <c r="BQG105" s="33" t="s">
        <v>334</v>
      </c>
      <c r="BQH105" s="33" t="s">
        <v>334</v>
      </c>
      <c r="BQI105" s="33" t="s">
        <v>334</v>
      </c>
      <c r="BQJ105" s="33" t="s">
        <v>334</v>
      </c>
      <c r="BQK105" s="33" t="s">
        <v>334</v>
      </c>
      <c r="BQL105" s="33" t="s">
        <v>334</v>
      </c>
      <c r="BQM105" s="33" t="s">
        <v>334</v>
      </c>
      <c r="BQN105" s="33" t="s">
        <v>334</v>
      </c>
      <c r="BQO105" s="33" t="s">
        <v>334</v>
      </c>
      <c r="BQP105" s="33" t="s">
        <v>334</v>
      </c>
      <c r="BQQ105" s="33" t="s">
        <v>334</v>
      </c>
      <c r="BQR105" s="33" t="s">
        <v>334</v>
      </c>
      <c r="BQS105" s="33" t="s">
        <v>334</v>
      </c>
      <c r="BQT105" s="33" t="s">
        <v>334</v>
      </c>
      <c r="BQU105" s="33" t="s">
        <v>334</v>
      </c>
      <c r="BQV105" s="33" t="s">
        <v>334</v>
      </c>
      <c r="BQW105" s="33" t="s">
        <v>334</v>
      </c>
      <c r="BQX105" s="33" t="s">
        <v>334</v>
      </c>
      <c r="BQY105" s="33" t="s">
        <v>334</v>
      </c>
      <c r="BQZ105" s="33" t="s">
        <v>334</v>
      </c>
      <c r="BRA105" s="33" t="s">
        <v>334</v>
      </c>
      <c r="BRB105" s="33" t="s">
        <v>334</v>
      </c>
      <c r="BRC105" s="33" t="s">
        <v>334</v>
      </c>
      <c r="BRD105" s="33" t="s">
        <v>334</v>
      </c>
      <c r="BRE105" s="33" t="s">
        <v>334</v>
      </c>
      <c r="BRF105" s="33" t="s">
        <v>334</v>
      </c>
      <c r="BRG105" s="33" t="s">
        <v>334</v>
      </c>
      <c r="BRH105" s="33" t="s">
        <v>334</v>
      </c>
      <c r="BRI105" s="33" t="s">
        <v>334</v>
      </c>
      <c r="BRJ105" s="33" t="s">
        <v>334</v>
      </c>
      <c r="BRK105" s="33" t="s">
        <v>334</v>
      </c>
      <c r="BRL105" s="33" t="s">
        <v>334</v>
      </c>
      <c r="BRM105" s="33" t="s">
        <v>334</v>
      </c>
      <c r="BRN105" s="33" t="s">
        <v>334</v>
      </c>
      <c r="BRO105" s="33" t="s">
        <v>334</v>
      </c>
      <c r="BRP105" s="33" t="s">
        <v>334</v>
      </c>
      <c r="BRQ105" s="33" t="s">
        <v>334</v>
      </c>
      <c r="BRR105" s="33" t="s">
        <v>334</v>
      </c>
      <c r="BRS105" s="33" t="s">
        <v>334</v>
      </c>
      <c r="BRT105" s="33" t="s">
        <v>334</v>
      </c>
      <c r="BRU105" s="33" t="s">
        <v>334</v>
      </c>
      <c r="BRV105" s="33" t="s">
        <v>334</v>
      </c>
      <c r="BRW105" s="33" t="s">
        <v>334</v>
      </c>
      <c r="BRX105" s="33" t="s">
        <v>334</v>
      </c>
      <c r="BRY105" s="33" t="s">
        <v>334</v>
      </c>
      <c r="BRZ105" s="33" t="s">
        <v>334</v>
      </c>
      <c r="BSA105" s="33" t="s">
        <v>334</v>
      </c>
      <c r="BSB105" s="33" t="s">
        <v>334</v>
      </c>
      <c r="BSC105" s="33" t="s">
        <v>334</v>
      </c>
      <c r="BSD105" s="33" t="s">
        <v>334</v>
      </c>
      <c r="BSE105" s="33" t="s">
        <v>334</v>
      </c>
      <c r="BSF105" s="33" t="s">
        <v>334</v>
      </c>
      <c r="BSG105" s="33" t="s">
        <v>334</v>
      </c>
      <c r="BSH105" s="33" t="s">
        <v>334</v>
      </c>
      <c r="BSI105" s="33" t="s">
        <v>334</v>
      </c>
      <c r="BSJ105" s="33" t="s">
        <v>334</v>
      </c>
      <c r="BSK105" s="33" t="s">
        <v>334</v>
      </c>
      <c r="BSL105" s="33" t="s">
        <v>334</v>
      </c>
      <c r="BSM105" s="33" t="s">
        <v>334</v>
      </c>
      <c r="BSN105" s="33" t="s">
        <v>334</v>
      </c>
      <c r="BSO105" s="33" t="s">
        <v>334</v>
      </c>
      <c r="BSP105" s="33" t="s">
        <v>334</v>
      </c>
      <c r="BSQ105" s="33" t="s">
        <v>334</v>
      </c>
      <c r="BSR105" s="33" t="s">
        <v>334</v>
      </c>
      <c r="BSS105" s="33" t="s">
        <v>334</v>
      </c>
      <c r="BST105" s="33" t="s">
        <v>334</v>
      </c>
      <c r="BSU105" s="33" t="s">
        <v>334</v>
      </c>
      <c r="BSV105" s="33" t="s">
        <v>334</v>
      </c>
      <c r="BSW105" s="33" t="s">
        <v>334</v>
      </c>
      <c r="BSX105" s="33" t="s">
        <v>334</v>
      </c>
      <c r="BSY105" s="33" t="s">
        <v>334</v>
      </c>
      <c r="BSZ105" s="33" t="s">
        <v>334</v>
      </c>
      <c r="BTA105" s="33" t="s">
        <v>334</v>
      </c>
      <c r="BTB105" s="33" t="s">
        <v>334</v>
      </c>
      <c r="BTC105" s="33" t="s">
        <v>334</v>
      </c>
      <c r="BTD105" s="33" t="s">
        <v>334</v>
      </c>
      <c r="BTE105" s="33" t="s">
        <v>334</v>
      </c>
      <c r="BTF105" s="33" t="s">
        <v>334</v>
      </c>
      <c r="BTG105" s="33" t="s">
        <v>334</v>
      </c>
      <c r="BTH105" s="33" t="s">
        <v>334</v>
      </c>
      <c r="BTI105" s="33" t="s">
        <v>334</v>
      </c>
      <c r="BTJ105" s="33" t="s">
        <v>334</v>
      </c>
      <c r="BTK105" s="33" t="s">
        <v>334</v>
      </c>
      <c r="BTL105" s="33" t="s">
        <v>334</v>
      </c>
      <c r="BTM105" s="33" t="s">
        <v>334</v>
      </c>
      <c r="BTN105" s="33" t="s">
        <v>334</v>
      </c>
      <c r="BTO105" s="33" t="s">
        <v>334</v>
      </c>
      <c r="BTP105" s="33" t="s">
        <v>334</v>
      </c>
      <c r="BTQ105" s="33" t="s">
        <v>334</v>
      </c>
      <c r="BTR105" s="33" t="s">
        <v>334</v>
      </c>
      <c r="BTS105" s="33" t="s">
        <v>334</v>
      </c>
      <c r="BTT105" s="33" t="s">
        <v>334</v>
      </c>
      <c r="BTU105" s="33" t="s">
        <v>334</v>
      </c>
      <c r="BTV105" s="33" t="s">
        <v>334</v>
      </c>
      <c r="BTW105" s="33" t="s">
        <v>334</v>
      </c>
      <c r="BTX105" s="33" t="s">
        <v>334</v>
      </c>
      <c r="BTY105" s="33" t="s">
        <v>334</v>
      </c>
      <c r="BTZ105" s="33" t="s">
        <v>334</v>
      </c>
      <c r="BUA105" s="33" t="s">
        <v>334</v>
      </c>
      <c r="BUB105" s="33" t="s">
        <v>334</v>
      </c>
      <c r="BUC105" s="33" t="s">
        <v>334</v>
      </c>
      <c r="BUD105" s="33" t="s">
        <v>334</v>
      </c>
      <c r="BUE105" s="33" t="s">
        <v>334</v>
      </c>
      <c r="BUF105" s="33" t="s">
        <v>334</v>
      </c>
      <c r="BUG105" s="33" t="s">
        <v>334</v>
      </c>
      <c r="BUH105" s="33" t="s">
        <v>334</v>
      </c>
      <c r="BUI105" s="33" t="s">
        <v>334</v>
      </c>
      <c r="BUJ105" s="33" t="s">
        <v>334</v>
      </c>
      <c r="BUK105" s="33" t="s">
        <v>334</v>
      </c>
      <c r="BUL105" s="33" t="s">
        <v>334</v>
      </c>
      <c r="BUM105" s="33" t="s">
        <v>334</v>
      </c>
      <c r="BUN105" s="33" t="s">
        <v>334</v>
      </c>
      <c r="BUO105" s="33" t="s">
        <v>334</v>
      </c>
      <c r="BUP105" s="33" t="s">
        <v>334</v>
      </c>
      <c r="BUQ105" s="33" t="s">
        <v>334</v>
      </c>
      <c r="BUR105" s="33" t="s">
        <v>334</v>
      </c>
      <c r="BUS105" s="33" t="s">
        <v>334</v>
      </c>
      <c r="BUT105" s="33" t="s">
        <v>334</v>
      </c>
      <c r="BUU105" s="33" t="s">
        <v>334</v>
      </c>
      <c r="BUV105" s="33" t="s">
        <v>334</v>
      </c>
      <c r="BUW105" s="33" t="s">
        <v>334</v>
      </c>
      <c r="BUX105" s="33" t="s">
        <v>334</v>
      </c>
      <c r="BUY105" s="33" t="s">
        <v>334</v>
      </c>
      <c r="BUZ105" s="33" t="s">
        <v>334</v>
      </c>
      <c r="BVA105" s="33" t="s">
        <v>334</v>
      </c>
      <c r="BVB105" s="33" t="s">
        <v>334</v>
      </c>
      <c r="BVC105" s="33" t="s">
        <v>334</v>
      </c>
      <c r="BVD105" s="33" t="s">
        <v>334</v>
      </c>
      <c r="BVE105" s="33" t="s">
        <v>334</v>
      </c>
      <c r="BVF105" s="33" t="s">
        <v>334</v>
      </c>
      <c r="BVG105" s="33" t="s">
        <v>334</v>
      </c>
      <c r="BVH105" s="33" t="s">
        <v>334</v>
      </c>
      <c r="BVI105" s="33" t="s">
        <v>334</v>
      </c>
      <c r="BVJ105" s="33" t="s">
        <v>334</v>
      </c>
      <c r="BVK105" s="33" t="s">
        <v>334</v>
      </c>
      <c r="BVL105" s="33" t="s">
        <v>334</v>
      </c>
      <c r="BVM105" s="33" t="s">
        <v>334</v>
      </c>
      <c r="BVN105" s="33" t="s">
        <v>334</v>
      </c>
      <c r="BVO105" s="33" t="s">
        <v>334</v>
      </c>
      <c r="BVP105" s="33" t="s">
        <v>334</v>
      </c>
      <c r="BVQ105" s="33" t="s">
        <v>334</v>
      </c>
      <c r="BVR105" s="33" t="s">
        <v>334</v>
      </c>
      <c r="BVS105" s="33" t="s">
        <v>334</v>
      </c>
      <c r="BVT105" s="33" t="s">
        <v>334</v>
      </c>
      <c r="BVU105" s="33" t="s">
        <v>334</v>
      </c>
      <c r="BVV105" s="33" t="s">
        <v>334</v>
      </c>
      <c r="BVW105" s="33" t="s">
        <v>334</v>
      </c>
      <c r="BVX105" s="33" t="s">
        <v>334</v>
      </c>
      <c r="BVY105" s="33" t="s">
        <v>334</v>
      </c>
      <c r="BVZ105" s="33" t="s">
        <v>334</v>
      </c>
      <c r="BWA105" s="33" t="s">
        <v>334</v>
      </c>
      <c r="BWB105" s="33" t="s">
        <v>334</v>
      </c>
      <c r="BWC105" s="33" t="s">
        <v>334</v>
      </c>
      <c r="BWD105" s="33" t="s">
        <v>334</v>
      </c>
      <c r="BWE105" s="33" t="s">
        <v>334</v>
      </c>
      <c r="BWF105" s="33" t="s">
        <v>334</v>
      </c>
      <c r="BWG105" s="33" t="s">
        <v>334</v>
      </c>
      <c r="BWH105" s="33" t="s">
        <v>334</v>
      </c>
      <c r="BWI105" s="33" t="s">
        <v>334</v>
      </c>
      <c r="BWJ105" s="33" t="s">
        <v>334</v>
      </c>
      <c r="BWK105" s="33" t="s">
        <v>334</v>
      </c>
      <c r="BWL105" s="33" t="s">
        <v>334</v>
      </c>
      <c r="BWM105" s="33" t="s">
        <v>334</v>
      </c>
      <c r="BWN105" s="33" t="s">
        <v>334</v>
      </c>
      <c r="BWO105" s="33" t="s">
        <v>334</v>
      </c>
      <c r="BWP105" s="33" t="s">
        <v>334</v>
      </c>
      <c r="BWQ105" s="33" t="s">
        <v>334</v>
      </c>
      <c r="BWR105" s="33" t="s">
        <v>334</v>
      </c>
      <c r="BWS105" s="33" t="s">
        <v>334</v>
      </c>
      <c r="BWT105" s="33" t="s">
        <v>334</v>
      </c>
      <c r="BWU105" s="33" t="s">
        <v>334</v>
      </c>
      <c r="BWV105" s="33" t="s">
        <v>334</v>
      </c>
      <c r="BWW105" s="33" t="s">
        <v>334</v>
      </c>
      <c r="BWX105" s="33" t="s">
        <v>334</v>
      </c>
      <c r="BWY105" s="33" t="s">
        <v>334</v>
      </c>
      <c r="BWZ105" s="33" t="s">
        <v>334</v>
      </c>
      <c r="BXA105" s="33" t="s">
        <v>334</v>
      </c>
      <c r="BXB105" s="33" t="s">
        <v>334</v>
      </c>
      <c r="BXC105" s="33" t="s">
        <v>334</v>
      </c>
      <c r="BXD105" s="33" t="s">
        <v>334</v>
      </c>
      <c r="BXE105" s="33" t="s">
        <v>334</v>
      </c>
      <c r="BXF105" s="33" t="s">
        <v>334</v>
      </c>
      <c r="BXG105" s="33" t="s">
        <v>334</v>
      </c>
      <c r="BXH105" s="33" t="s">
        <v>334</v>
      </c>
      <c r="BXI105" s="33" t="s">
        <v>334</v>
      </c>
      <c r="BXJ105" s="33" t="s">
        <v>334</v>
      </c>
      <c r="BXK105" s="33" t="s">
        <v>334</v>
      </c>
      <c r="BXL105" s="33" t="s">
        <v>334</v>
      </c>
      <c r="BXM105" s="33" t="s">
        <v>334</v>
      </c>
      <c r="BXN105" s="33" t="s">
        <v>334</v>
      </c>
      <c r="BXO105" s="33" t="s">
        <v>334</v>
      </c>
      <c r="BXP105" s="33" t="s">
        <v>334</v>
      </c>
      <c r="BXQ105" s="33" t="s">
        <v>334</v>
      </c>
      <c r="BXR105" s="33" t="s">
        <v>334</v>
      </c>
      <c r="BXS105" s="33" t="s">
        <v>334</v>
      </c>
      <c r="BXT105" s="33" t="s">
        <v>334</v>
      </c>
      <c r="BXU105" s="33" t="s">
        <v>334</v>
      </c>
      <c r="BXV105" s="33" t="s">
        <v>334</v>
      </c>
      <c r="BXW105" s="33" t="s">
        <v>334</v>
      </c>
      <c r="BXX105" s="33" t="s">
        <v>334</v>
      </c>
      <c r="BXY105" s="33" t="s">
        <v>334</v>
      </c>
      <c r="BXZ105" s="33" t="s">
        <v>334</v>
      </c>
      <c r="BYA105" s="33" t="s">
        <v>334</v>
      </c>
      <c r="BYB105" s="33" t="s">
        <v>334</v>
      </c>
      <c r="BYC105" s="33" t="s">
        <v>334</v>
      </c>
      <c r="BYD105" s="33" t="s">
        <v>334</v>
      </c>
      <c r="BYE105" s="33" t="s">
        <v>334</v>
      </c>
      <c r="BYF105" s="33" t="s">
        <v>334</v>
      </c>
      <c r="BYG105" s="33" t="s">
        <v>334</v>
      </c>
      <c r="BYH105" s="33" t="s">
        <v>334</v>
      </c>
      <c r="BYI105" s="33" t="s">
        <v>334</v>
      </c>
      <c r="BYJ105" s="33" t="s">
        <v>334</v>
      </c>
      <c r="BYK105" s="33" t="s">
        <v>334</v>
      </c>
      <c r="BYL105" s="33" t="s">
        <v>334</v>
      </c>
      <c r="BYM105" s="33" t="s">
        <v>334</v>
      </c>
      <c r="BYN105" s="33" t="s">
        <v>334</v>
      </c>
      <c r="BYO105" s="33" t="s">
        <v>334</v>
      </c>
      <c r="BYP105" s="33" t="s">
        <v>334</v>
      </c>
      <c r="BYQ105" s="33" t="s">
        <v>334</v>
      </c>
      <c r="BYR105" s="33" t="s">
        <v>334</v>
      </c>
      <c r="BYS105" s="33" t="s">
        <v>334</v>
      </c>
      <c r="BYT105" s="33" t="s">
        <v>334</v>
      </c>
      <c r="BYU105" s="33" t="s">
        <v>334</v>
      </c>
      <c r="BYV105" s="33" t="s">
        <v>334</v>
      </c>
      <c r="BYW105" s="33" t="s">
        <v>334</v>
      </c>
      <c r="BYX105" s="33" t="s">
        <v>334</v>
      </c>
      <c r="BYY105" s="33" t="s">
        <v>334</v>
      </c>
      <c r="BYZ105" s="33" t="s">
        <v>334</v>
      </c>
      <c r="BZA105" s="33" t="s">
        <v>334</v>
      </c>
      <c r="BZB105" s="33" t="s">
        <v>334</v>
      </c>
      <c r="BZC105" s="33" t="s">
        <v>334</v>
      </c>
      <c r="BZD105" s="33" t="s">
        <v>334</v>
      </c>
      <c r="BZE105" s="33" t="s">
        <v>334</v>
      </c>
      <c r="BZF105" s="33" t="s">
        <v>334</v>
      </c>
      <c r="BZG105" s="33" t="s">
        <v>334</v>
      </c>
      <c r="BZH105" s="33" t="s">
        <v>334</v>
      </c>
      <c r="BZI105" s="33" t="s">
        <v>334</v>
      </c>
      <c r="BZJ105" s="33" t="s">
        <v>334</v>
      </c>
      <c r="BZK105" s="33" t="s">
        <v>334</v>
      </c>
      <c r="BZL105" s="33" t="s">
        <v>334</v>
      </c>
      <c r="BZM105" s="33" t="s">
        <v>334</v>
      </c>
      <c r="BZN105" s="33" t="s">
        <v>334</v>
      </c>
      <c r="BZO105" s="33" t="s">
        <v>334</v>
      </c>
      <c r="BZP105" s="33" t="s">
        <v>334</v>
      </c>
      <c r="BZQ105" s="33" t="s">
        <v>334</v>
      </c>
      <c r="BZR105" s="33" t="s">
        <v>334</v>
      </c>
      <c r="BZS105" s="33" t="s">
        <v>334</v>
      </c>
      <c r="BZT105" s="33" t="s">
        <v>334</v>
      </c>
      <c r="BZU105" s="33" t="s">
        <v>334</v>
      </c>
      <c r="BZV105" s="33" t="s">
        <v>334</v>
      </c>
      <c r="BZW105" s="33" t="s">
        <v>334</v>
      </c>
      <c r="BZX105" s="33" t="s">
        <v>334</v>
      </c>
      <c r="BZY105" s="33" t="s">
        <v>334</v>
      </c>
      <c r="BZZ105" s="33" t="s">
        <v>334</v>
      </c>
      <c r="CAA105" s="33" t="s">
        <v>334</v>
      </c>
      <c r="CAB105" s="33" t="s">
        <v>334</v>
      </c>
      <c r="CAC105" s="33" t="s">
        <v>334</v>
      </c>
      <c r="CAD105" s="33" t="s">
        <v>334</v>
      </c>
      <c r="CAE105" s="33" t="s">
        <v>334</v>
      </c>
      <c r="CAF105" s="33" t="s">
        <v>334</v>
      </c>
      <c r="CAG105" s="33" t="s">
        <v>334</v>
      </c>
      <c r="CAH105" s="33" t="s">
        <v>334</v>
      </c>
      <c r="CAI105" s="33" t="s">
        <v>334</v>
      </c>
      <c r="CAJ105" s="33" t="s">
        <v>334</v>
      </c>
      <c r="CAK105" s="33" t="s">
        <v>334</v>
      </c>
      <c r="CAL105" s="33" t="s">
        <v>334</v>
      </c>
      <c r="CAM105" s="33" t="s">
        <v>334</v>
      </c>
      <c r="CAN105" s="33" t="s">
        <v>334</v>
      </c>
      <c r="CAO105" s="33" t="s">
        <v>334</v>
      </c>
      <c r="CAP105" s="33" t="s">
        <v>334</v>
      </c>
      <c r="CAQ105" s="33" t="s">
        <v>334</v>
      </c>
      <c r="CAR105" s="33" t="s">
        <v>334</v>
      </c>
      <c r="CAS105" s="33" t="s">
        <v>334</v>
      </c>
      <c r="CAT105" s="33" t="s">
        <v>334</v>
      </c>
      <c r="CAU105" s="33" t="s">
        <v>334</v>
      </c>
      <c r="CAV105" s="33" t="s">
        <v>334</v>
      </c>
      <c r="CAW105" s="33" t="s">
        <v>334</v>
      </c>
      <c r="CAX105" s="33" t="s">
        <v>334</v>
      </c>
      <c r="CAY105" s="33" t="s">
        <v>334</v>
      </c>
      <c r="CAZ105" s="33" t="s">
        <v>334</v>
      </c>
      <c r="CBA105" s="33" t="s">
        <v>334</v>
      </c>
      <c r="CBB105" s="33" t="s">
        <v>334</v>
      </c>
      <c r="CBC105" s="33" t="s">
        <v>334</v>
      </c>
      <c r="CBD105" s="33" t="s">
        <v>334</v>
      </c>
      <c r="CBE105" s="33" t="s">
        <v>334</v>
      </c>
      <c r="CBF105" s="33" t="s">
        <v>334</v>
      </c>
      <c r="CBG105" s="33" t="s">
        <v>334</v>
      </c>
      <c r="CBH105" s="33" t="s">
        <v>334</v>
      </c>
      <c r="CBI105" s="33" t="s">
        <v>334</v>
      </c>
      <c r="CBJ105" s="33" t="s">
        <v>334</v>
      </c>
      <c r="CBK105" s="33" t="s">
        <v>334</v>
      </c>
      <c r="CBL105" s="33" t="s">
        <v>334</v>
      </c>
      <c r="CBM105" s="33" t="s">
        <v>334</v>
      </c>
      <c r="CBN105" s="33" t="s">
        <v>334</v>
      </c>
      <c r="CBO105" s="33" t="s">
        <v>334</v>
      </c>
      <c r="CBP105" s="33" t="s">
        <v>334</v>
      </c>
      <c r="CBQ105" s="33" t="s">
        <v>334</v>
      </c>
      <c r="CBR105" s="33" t="s">
        <v>334</v>
      </c>
      <c r="CBS105" s="33" t="s">
        <v>334</v>
      </c>
      <c r="CBT105" s="33" t="s">
        <v>334</v>
      </c>
      <c r="CBU105" s="33" t="s">
        <v>334</v>
      </c>
      <c r="CBV105" s="33" t="s">
        <v>334</v>
      </c>
      <c r="CBW105" s="33" t="s">
        <v>334</v>
      </c>
      <c r="CBX105" s="33" t="s">
        <v>334</v>
      </c>
      <c r="CBY105" s="33" t="s">
        <v>334</v>
      </c>
      <c r="CBZ105" s="33" t="s">
        <v>334</v>
      </c>
      <c r="CCA105" s="33" t="s">
        <v>334</v>
      </c>
      <c r="CCB105" s="33" t="s">
        <v>334</v>
      </c>
      <c r="CCC105" s="33" t="s">
        <v>334</v>
      </c>
      <c r="CCD105" s="33" t="s">
        <v>334</v>
      </c>
      <c r="CCE105" s="33" t="s">
        <v>334</v>
      </c>
      <c r="CCF105" s="33" t="s">
        <v>334</v>
      </c>
      <c r="CCG105" s="33" t="s">
        <v>334</v>
      </c>
      <c r="CCH105" s="33" t="s">
        <v>334</v>
      </c>
      <c r="CCI105" s="33" t="s">
        <v>334</v>
      </c>
      <c r="CCJ105" s="33" t="s">
        <v>334</v>
      </c>
      <c r="CCK105" s="33" t="s">
        <v>334</v>
      </c>
      <c r="CCL105" s="33" t="s">
        <v>334</v>
      </c>
      <c r="CCM105" s="33" t="s">
        <v>334</v>
      </c>
      <c r="CCN105" s="33" t="s">
        <v>334</v>
      </c>
      <c r="CCO105" s="33" t="s">
        <v>334</v>
      </c>
      <c r="CCP105" s="33" t="s">
        <v>334</v>
      </c>
      <c r="CCQ105" s="33" t="s">
        <v>334</v>
      </c>
      <c r="CCR105" s="33" t="s">
        <v>334</v>
      </c>
      <c r="CCS105" s="33" t="s">
        <v>334</v>
      </c>
      <c r="CCT105" s="33" t="s">
        <v>334</v>
      </c>
      <c r="CCU105" s="33" t="s">
        <v>334</v>
      </c>
      <c r="CCV105" s="33" t="s">
        <v>334</v>
      </c>
      <c r="CCW105" s="33" t="s">
        <v>334</v>
      </c>
      <c r="CCX105" s="33" t="s">
        <v>334</v>
      </c>
      <c r="CCY105" s="33" t="s">
        <v>334</v>
      </c>
      <c r="CCZ105" s="33" t="s">
        <v>334</v>
      </c>
      <c r="CDA105" s="33" t="s">
        <v>334</v>
      </c>
      <c r="CDB105" s="33" t="s">
        <v>334</v>
      </c>
      <c r="CDC105" s="33" t="s">
        <v>334</v>
      </c>
      <c r="CDD105" s="33" t="s">
        <v>334</v>
      </c>
      <c r="CDE105" s="33" t="s">
        <v>334</v>
      </c>
      <c r="CDF105" s="33" t="s">
        <v>334</v>
      </c>
      <c r="CDG105" s="33" t="s">
        <v>334</v>
      </c>
      <c r="CDH105" s="33" t="s">
        <v>334</v>
      </c>
      <c r="CDI105" s="33" t="s">
        <v>334</v>
      </c>
      <c r="CDJ105" s="33" t="s">
        <v>334</v>
      </c>
      <c r="CDK105" s="33" t="s">
        <v>334</v>
      </c>
      <c r="CDL105" s="33" t="s">
        <v>334</v>
      </c>
      <c r="CDM105" s="33" t="s">
        <v>334</v>
      </c>
      <c r="CDN105" s="33" t="s">
        <v>334</v>
      </c>
      <c r="CDO105" s="33" t="s">
        <v>334</v>
      </c>
      <c r="CDP105" s="33" t="s">
        <v>334</v>
      </c>
      <c r="CDQ105" s="33" t="s">
        <v>334</v>
      </c>
      <c r="CDR105" s="33" t="s">
        <v>334</v>
      </c>
      <c r="CDS105" s="33" t="s">
        <v>334</v>
      </c>
      <c r="CDT105" s="33" t="s">
        <v>334</v>
      </c>
      <c r="CDU105" s="33" t="s">
        <v>334</v>
      </c>
      <c r="CDV105" s="33" t="s">
        <v>334</v>
      </c>
      <c r="CDW105" s="33" t="s">
        <v>334</v>
      </c>
      <c r="CDX105" s="33" t="s">
        <v>334</v>
      </c>
      <c r="CDY105" s="33" t="s">
        <v>334</v>
      </c>
      <c r="CDZ105" s="33" t="s">
        <v>334</v>
      </c>
      <c r="CEA105" s="33" t="s">
        <v>334</v>
      </c>
      <c r="CEB105" s="33" t="s">
        <v>334</v>
      </c>
      <c r="CEC105" s="33" t="s">
        <v>334</v>
      </c>
      <c r="CED105" s="33" t="s">
        <v>334</v>
      </c>
      <c r="CEE105" s="33" t="s">
        <v>334</v>
      </c>
      <c r="CEF105" s="33" t="s">
        <v>334</v>
      </c>
      <c r="CEG105" s="33" t="s">
        <v>334</v>
      </c>
      <c r="CEH105" s="33" t="s">
        <v>334</v>
      </c>
      <c r="CEI105" s="33" t="s">
        <v>334</v>
      </c>
      <c r="CEJ105" s="33" t="s">
        <v>334</v>
      </c>
      <c r="CEK105" s="33" t="s">
        <v>334</v>
      </c>
      <c r="CEL105" s="33" t="s">
        <v>334</v>
      </c>
      <c r="CEM105" s="33" t="s">
        <v>334</v>
      </c>
      <c r="CEN105" s="33" t="s">
        <v>334</v>
      </c>
      <c r="CEO105" s="33" t="s">
        <v>334</v>
      </c>
      <c r="CEP105" s="33" t="s">
        <v>334</v>
      </c>
      <c r="CEQ105" s="33" t="s">
        <v>334</v>
      </c>
      <c r="CER105" s="33" t="s">
        <v>334</v>
      </c>
      <c r="CES105" s="33" t="s">
        <v>334</v>
      </c>
      <c r="CET105" s="33" t="s">
        <v>334</v>
      </c>
      <c r="CEU105" s="33" t="s">
        <v>334</v>
      </c>
      <c r="CEV105" s="33" t="s">
        <v>334</v>
      </c>
      <c r="CEW105" s="33" t="s">
        <v>334</v>
      </c>
      <c r="CEX105" s="33" t="s">
        <v>334</v>
      </c>
      <c r="CEY105" s="33" t="s">
        <v>334</v>
      </c>
      <c r="CEZ105" s="33" t="s">
        <v>334</v>
      </c>
      <c r="CFA105" s="33" t="s">
        <v>334</v>
      </c>
      <c r="CFB105" s="33" t="s">
        <v>334</v>
      </c>
      <c r="CFC105" s="33" t="s">
        <v>334</v>
      </c>
      <c r="CFD105" s="33" t="s">
        <v>334</v>
      </c>
      <c r="CFE105" s="33" t="s">
        <v>334</v>
      </c>
      <c r="CFF105" s="33" t="s">
        <v>334</v>
      </c>
      <c r="CFG105" s="33" t="s">
        <v>334</v>
      </c>
      <c r="CFH105" s="33" t="s">
        <v>334</v>
      </c>
      <c r="CFI105" s="33" t="s">
        <v>334</v>
      </c>
      <c r="CFJ105" s="33" t="s">
        <v>334</v>
      </c>
      <c r="CFK105" s="33" t="s">
        <v>334</v>
      </c>
      <c r="CFL105" s="33" t="s">
        <v>334</v>
      </c>
      <c r="CFM105" s="33" t="s">
        <v>334</v>
      </c>
      <c r="CFN105" s="33" t="s">
        <v>334</v>
      </c>
      <c r="CFO105" s="33" t="s">
        <v>334</v>
      </c>
      <c r="CFP105" s="33" t="s">
        <v>334</v>
      </c>
      <c r="CFQ105" s="33" t="s">
        <v>334</v>
      </c>
      <c r="CFR105" s="33" t="s">
        <v>334</v>
      </c>
      <c r="CFS105" s="33" t="s">
        <v>334</v>
      </c>
      <c r="CFT105" s="33" t="s">
        <v>334</v>
      </c>
      <c r="CFU105" s="33" t="s">
        <v>334</v>
      </c>
      <c r="CFV105" s="33" t="s">
        <v>334</v>
      </c>
      <c r="CFW105" s="33" t="s">
        <v>334</v>
      </c>
      <c r="CFX105" s="33" t="s">
        <v>334</v>
      </c>
      <c r="CFY105" s="33" t="s">
        <v>334</v>
      </c>
      <c r="CFZ105" s="33" t="s">
        <v>334</v>
      </c>
      <c r="CGA105" s="33" t="s">
        <v>334</v>
      </c>
      <c r="CGB105" s="33" t="s">
        <v>334</v>
      </c>
      <c r="CGC105" s="33" t="s">
        <v>334</v>
      </c>
      <c r="CGD105" s="33" t="s">
        <v>334</v>
      </c>
      <c r="CGE105" s="33" t="s">
        <v>334</v>
      </c>
      <c r="CGF105" s="33" t="s">
        <v>334</v>
      </c>
      <c r="CGG105" s="33" t="s">
        <v>334</v>
      </c>
      <c r="CGH105" s="33" t="s">
        <v>334</v>
      </c>
      <c r="CGI105" s="33" t="s">
        <v>334</v>
      </c>
      <c r="CGJ105" s="33" t="s">
        <v>334</v>
      </c>
      <c r="CGK105" s="33" t="s">
        <v>334</v>
      </c>
      <c r="CGL105" s="33" t="s">
        <v>334</v>
      </c>
      <c r="CGM105" s="33" t="s">
        <v>334</v>
      </c>
      <c r="CGN105" s="33" t="s">
        <v>334</v>
      </c>
      <c r="CGO105" s="33" t="s">
        <v>334</v>
      </c>
      <c r="CGP105" s="33" t="s">
        <v>334</v>
      </c>
      <c r="CGQ105" s="33" t="s">
        <v>334</v>
      </c>
      <c r="CGR105" s="33" t="s">
        <v>334</v>
      </c>
      <c r="CGS105" s="33" t="s">
        <v>334</v>
      </c>
      <c r="CGT105" s="33" t="s">
        <v>334</v>
      </c>
      <c r="CGU105" s="33" t="s">
        <v>334</v>
      </c>
      <c r="CGV105" s="33" t="s">
        <v>334</v>
      </c>
      <c r="CGW105" s="33" t="s">
        <v>334</v>
      </c>
      <c r="CGX105" s="33" t="s">
        <v>334</v>
      </c>
      <c r="CGY105" s="33" t="s">
        <v>334</v>
      </c>
      <c r="CGZ105" s="33" t="s">
        <v>334</v>
      </c>
      <c r="CHA105" s="33" t="s">
        <v>334</v>
      </c>
      <c r="CHB105" s="33" t="s">
        <v>334</v>
      </c>
      <c r="CHC105" s="33" t="s">
        <v>334</v>
      </c>
      <c r="CHD105" s="33" t="s">
        <v>334</v>
      </c>
      <c r="CHE105" s="33" t="s">
        <v>334</v>
      </c>
      <c r="CHF105" s="33" t="s">
        <v>334</v>
      </c>
      <c r="CHG105" s="33" t="s">
        <v>334</v>
      </c>
      <c r="CHH105" s="33" t="s">
        <v>334</v>
      </c>
      <c r="CHI105" s="33" t="s">
        <v>334</v>
      </c>
      <c r="CHJ105" s="33" t="s">
        <v>334</v>
      </c>
      <c r="CHK105" s="33" t="s">
        <v>334</v>
      </c>
      <c r="CHL105" s="33" t="s">
        <v>334</v>
      </c>
      <c r="CHM105" s="33" t="s">
        <v>334</v>
      </c>
      <c r="CHN105" s="33" t="s">
        <v>334</v>
      </c>
      <c r="CHO105" s="33" t="s">
        <v>334</v>
      </c>
      <c r="CHP105" s="33" t="s">
        <v>334</v>
      </c>
      <c r="CHQ105" s="33" t="s">
        <v>334</v>
      </c>
      <c r="CHR105" s="33" t="s">
        <v>334</v>
      </c>
      <c r="CHS105" s="33" t="s">
        <v>334</v>
      </c>
      <c r="CHT105" s="33" t="s">
        <v>334</v>
      </c>
      <c r="CHU105" s="33" t="s">
        <v>334</v>
      </c>
      <c r="CHV105" s="33" t="s">
        <v>334</v>
      </c>
      <c r="CHW105" s="33" t="s">
        <v>334</v>
      </c>
      <c r="CHX105" s="33" t="s">
        <v>334</v>
      </c>
      <c r="CHY105" s="33" t="s">
        <v>334</v>
      </c>
      <c r="CHZ105" s="33" t="s">
        <v>334</v>
      </c>
      <c r="CIA105" s="33" t="s">
        <v>334</v>
      </c>
      <c r="CIB105" s="33" t="s">
        <v>334</v>
      </c>
      <c r="CIC105" s="33" t="s">
        <v>334</v>
      </c>
      <c r="CID105" s="33" t="s">
        <v>334</v>
      </c>
      <c r="CIE105" s="33" t="s">
        <v>334</v>
      </c>
      <c r="CIF105" s="33" t="s">
        <v>334</v>
      </c>
      <c r="CIG105" s="33" t="s">
        <v>334</v>
      </c>
      <c r="CIH105" s="33" t="s">
        <v>334</v>
      </c>
      <c r="CII105" s="33" t="s">
        <v>334</v>
      </c>
      <c r="CIJ105" s="33" t="s">
        <v>334</v>
      </c>
      <c r="CIK105" s="33" t="s">
        <v>334</v>
      </c>
      <c r="CIL105" s="33" t="s">
        <v>334</v>
      </c>
      <c r="CIM105" s="33" t="s">
        <v>334</v>
      </c>
      <c r="CIN105" s="33" t="s">
        <v>334</v>
      </c>
      <c r="CIO105" s="33" t="s">
        <v>334</v>
      </c>
      <c r="CIP105" s="33" t="s">
        <v>334</v>
      </c>
      <c r="CIQ105" s="33" t="s">
        <v>334</v>
      </c>
      <c r="CIR105" s="33" t="s">
        <v>334</v>
      </c>
      <c r="CIS105" s="33" t="s">
        <v>334</v>
      </c>
      <c r="CIT105" s="33" t="s">
        <v>334</v>
      </c>
      <c r="CIU105" s="33" t="s">
        <v>334</v>
      </c>
      <c r="CIV105" s="33" t="s">
        <v>334</v>
      </c>
      <c r="CIW105" s="33" t="s">
        <v>334</v>
      </c>
      <c r="CIX105" s="33" t="s">
        <v>334</v>
      </c>
      <c r="CIY105" s="33" t="s">
        <v>334</v>
      </c>
      <c r="CIZ105" s="33" t="s">
        <v>334</v>
      </c>
      <c r="CJA105" s="33" t="s">
        <v>334</v>
      </c>
      <c r="CJB105" s="33" t="s">
        <v>334</v>
      </c>
      <c r="CJC105" s="33" t="s">
        <v>334</v>
      </c>
      <c r="CJD105" s="33" t="s">
        <v>334</v>
      </c>
      <c r="CJE105" s="33" t="s">
        <v>334</v>
      </c>
      <c r="CJF105" s="33" t="s">
        <v>334</v>
      </c>
      <c r="CJG105" s="33" t="s">
        <v>334</v>
      </c>
      <c r="CJH105" s="33" t="s">
        <v>334</v>
      </c>
      <c r="CJI105" s="33" t="s">
        <v>334</v>
      </c>
      <c r="CJJ105" s="33" t="s">
        <v>334</v>
      </c>
      <c r="CJK105" s="33" t="s">
        <v>334</v>
      </c>
      <c r="CJL105" s="33" t="s">
        <v>334</v>
      </c>
      <c r="CJM105" s="33" t="s">
        <v>334</v>
      </c>
      <c r="CJN105" s="33" t="s">
        <v>334</v>
      </c>
      <c r="CJO105" s="33" t="s">
        <v>334</v>
      </c>
      <c r="CJP105" s="33" t="s">
        <v>334</v>
      </c>
      <c r="CJQ105" s="33" t="s">
        <v>334</v>
      </c>
      <c r="CJR105" s="33" t="s">
        <v>334</v>
      </c>
      <c r="CJS105" s="33" t="s">
        <v>334</v>
      </c>
      <c r="CJT105" s="33" t="s">
        <v>334</v>
      </c>
      <c r="CJU105" s="33" t="s">
        <v>334</v>
      </c>
      <c r="CJV105" s="33" t="s">
        <v>334</v>
      </c>
      <c r="CJW105" s="33" t="s">
        <v>334</v>
      </c>
      <c r="CJX105" s="33" t="s">
        <v>334</v>
      </c>
      <c r="CJY105" s="33" t="s">
        <v>334</v>
      </c>
      <c r="CJZ105" s="33" t="s">
        <v>334</v>
      </c>
      <c r="CKA105" s="33" t="s">
        <v>334</v>
      </c>
      <c r="CKB105" s="33" t="s">
        <v>334</v>
      </c>
      <c r="CKC105" s="33" t="s">
        <v>334</v>
      </c>
      <c r="CKD105" s="33" t="s">
        <v>334</v>
      </c>
      <c r="CKE105" s="33" t="s">
        <v>334</v>
      </c>
      <c r="CKF105" s="33" t="s">
        <v>334</v>
      </c>
      <c r="CKG105" s="33" t="s">
        <v>334</v>
      </c>
      <c r="CKH105" s="33" t="s">
        <v>334</v>
      </c>
      <c r="CKI105" s="33" t="s">
        <v>334</v>
      </c>
      <c r="CKJ105" s="33" t="s">
        <v>334</v>
      </c>
      <c r="CKK105" s="33" t="s">
        <v>334</v>
      </c>
      <c r="CKL105" s="33" t="s">
        <v>334</v>
      </c>
      <c r="CKM105" s="33" t="s">
        <v>334</v>
      </c>
      <c r="CKN105" s="33" t="s">
        <v>334</v>
      </c>
      <c r="CKO105" s="33" t="s">
        <v>334</v>
      </c>
      <c r="CKP105" s="33" t="s">
        <v>334</v>
      </c>
      <c r="CKQ105" s="33" t="s">
        <v>334</v>
      </c>
      <c r="CKR105" s="33" t="s">
        <v>334</v>
      </c>
      <c r="CKS105" s="33" t="s">
        <v>334</v>
      </c>
      <c r="CKT105" s="33" t="s">
        <v>334</v>
      </c>
      <c r="CKU105" s="33" t="s">
        <v>334</v>
      </c>
      <c r="CKV105" s="33" t="s">
        <v>334</v>
      </c>
      <c r="CKW105" s="33" t="s">
        <v>334</v>
      </c>
      <c r="CKX105" s="33" t="s">
        <v>334</v>
      </c>
      <c r="CKY105" s="33" t="s">
        <v>334</v>
      </c>
      <c r="CKZ105" s="33" t="s">
        <v>334</v>
      </c>
      <c r="CLA105" s="33" t="s">
        <v>334</v>
      </c>
      <c r="CLB105" s="33" t="s">
        <v>334</v>
      </c>
      <c r="CLC105" s="33" t="s">
        <v>334</v>
      </c>
      <c r="CLD105" s="33" t="s">
        <v>334</v>
      </c>
      <c r="CLE105" s="33" t="s">
        <v>334</v>
      </c>
      <c r="CLF105" s="33" t="s">
        <v>334</v>
      </c>
      <c r="CLG105" s="33" t="s">
        <v>334</v>
      </c>
      <c r="CLH105" s="33" t="s">
        <v>334</v>
      </c>
      <c r="CLI105" s="33" t="s">
        <v>334</v>
      </c>
      <c r="CLJ105" s="33" t="s">
        <v>334</v>
      </c>
      <c r="CLK105" s="33" t="s">
        <v>334</v>
      </c>
      <c r="CLL105" s="33" t="s">
        <v>334</v>
      </c>
      <c r="CLM105" s="33" t="s">
        <v>334</v>
      </c>
      <c r="CLN105" s="33" t="s">
        <v>334</v>
      </c>
      <c r="CLO105" s="33" t="s">
        <v>334</v>
      </c>
      <c r="CLP105" s="33" t="s">
        <v>334</v>
      </c>
      <c r="CLQ105" s="33" t="s">
        <v>334</v>
      </c>
      <c r="CLR105" s="33" t="s">
        <v>334</v>
      </c>
      <c r="CLS105" s="33" t="s">
        <v>334</v>
      </c>
      <c r="CLT105" s="33" t="s">
        <v>334</v>
      </c>
      <c r="CLU105" s="33" t="s">
        <v>334</v>
      </c>
      <c r="CLV105" s="33" t="s">
        <v>334</v>
      </c>
      <c r="CLW105" s="33" t="s">
        <v>334</v>
      </c>
      <c r="CLX105" s="33" t="s">
        <v>334</v>
      </c>
      <c r="CLY105" s="33" t="s">
        <v>334</v>
      </c>
      <c r="CLZ105" s="33" t="s">
        <v>334</v>
      </c>
      <c r="CMA105" s="33" t="s">
        <v>334</v>
      </c>
      <c r="CMB105" s="33" t="s">
        <v>334</v>
      </c>
      <c r="CMC105" s="33" t="s">
        <v>334</v>
      </c>
      <c r="CMD105" s="33" t="s">
        <v>334</v>
      </c>
      <c r="CME105" s="33" t="s">
        <v>334</v>
      </c>
      <c r="CMF105" s="33" t="s">
        <v>334</v>
      </c>
      <c r="CMG105" s="33" t="s">
        <v>334</v>
      </c>
      <c r="CMH105" s="33" t="s">
        <v>334</v>
      </c>
      <c r="CMI105" s="33" t="s">
        <v>334</v>
      </c>
      <c r="CMJ105" s="33" t="s">
        <v>334</v>
      </c>
      <c r="CMK105" s="33" t="s">
        <v>334</v>
      </c>
      <c r="CML105" s="33" t="s">
        <v>334</v>
      </c>
      <c r="CMM105" s="33" t="s">
        <v>334</v>
      </c>
      <c r="CMN105" s="33" t="s">
        <v>334</v>
      </c>
      <c r="CMO105" s="33" t="s">
        <v>334</v>
      </c>
      <c r="CMP105" s="33" t="s">
        <v>334</v>
      </c>
      <c r="CMQ105" s="33" t="s">
        <v>334</v>
      </c>
      <c r="CMR105" s="33" t="s">
        <v>334</v>
      </c>
      <c r="CMS105" s="33" t="s">
        <v>334</v>
      </c>
      <c r="CMT105" s="33" t="s">
        <v>334</v>
      </c>
      <c r="CMU105" s="33" t="s">
        <v>334</v>
      </c>
      <c r="CMV105" s="33" t="s">
        <v>334</v>
      </c>
      <c r="CMW105" s="33" t="s">
        <v>334</v>
      </c>
      <c r="CMX105" s="33" t="s">
        <v>334</v>
      </c>
      <c r="CMY105" s="33" t="s">
        <v>334</v>
      </c>
      <c r="CMZ105" s="33" t="s">
        <v>334</v>
      </c>
      <c r="CNA105" s="33" t="s">
        <v>334</v>
      </c>
      <c r="CNB105" s="33" t="s">
        <v>334</v>
      </c>
      <c r="CNC105" s="33" t="s">
        <v>334</v>
      </c>
      <c r="CND105" s="33" t="s">
        <v>334</v>
      </c>
      <c r="CNE105" s="33" t="s">
        <v>334</v>
      </c>
      <c r="CNF105" s="33" t="s">
        <v>334</v>
      </c>
      <c r="CNG105" s="33" t="s">
        <v>334</v>
      </c>
      <c r="CNH105" s="33" t="s">
        <v>334</v>
      </c>
      <c r="CNI105" s="33" t="s">
        <v>334</v>
      </c>
      <c r="CNJ105" s="33" t="s">
        <v>334</v>
      </c>
      <c r="CNK105" s="33" t="s">
        <v>334</v>
      </c>
      <c r="CNL105" s="33" t="s">
        <v>334</v>
      </c>
      <c r="CNM105" s="33" t="s">
        <v>334</v>
      </c>
      <c r="CNN105" s="33" t="s">
        <v>334</v>
      </c>
      <c r="CNO105" s="33" t="s">
        <v>334</v>
      </c>
      <c r="CNP105" s="33" t="s">
        <v>334</v>
      </c>
      <c r="CNQ105" s="33" t="s">
        <v>334</v>
      </c>
      <c r="CNR105" s="33" t="s">
        <v>334</v>
      </c>
      <c r="CNS105" s="33" t="s">
        <v>334</v>
      </c>
      <c r="CNT105" s="33" t="s">
        <v>334</v>
      </c>
      <c r="CNU105" s="33" t="s">
        <v>334</v>
      </c>
      <c r="CNV105" s="33" t="s">
        <v>334</v>
      </c>
      <c r="CNW105" s="33" t="s">
        <v>334</v>
      </c>
      <c r="CNX105" s="33" t="s">
        <v>334</v>
      </c>
      <c r="CNY105" s="33" t="s">
        <v>334</v>
      </c>
      <c r="CNZ105" s="33" t="s">
        <v>334</v>
      </c>
      <c r="COA105" s="33" t="s">
        <v>334</v>
      </c>
      <c r="COB105" s="33" t="s">
        <v>334</v>
      </c>
      <c r="COC105" s="33" t="s">
        <v>334</v>
      </c>
      <c r="COD105" s="33" t="s">
        <v>334</v>
      </c>
      <c r="COE105" s="33" t="s">
        <v>334</v>
      </c>
      <c r="COF105" s="33" t="s">
        <v>334</v>
      </c>
      <c r="COG105" s="33" t="s">
        <v>334</v>
      </c>
      <c r="COH105" s="33" t="s">
        <v>334</v>
      </c>
      <c r="COI105" s="33" t="s">
        <v>334</v>
      </c>
      <c r="COJ105" s="33" t="s">
        <v>334</v>
      </c>
      <c r="COK105" s="33" t="s">
        <v>334</v>
      </c>
      <c r="COL105" s="33" t="s">
        <v>334</v>
      </c>
      <c r="COM105" s="33" t="s">
        <v>334</v>
      </c>
      <c r="CON105" s="33" t="s">
        <v>334</v>
      </c>
      <c r="COO105" s="33" t="s">
        <v>334</v>
      </c>
      <c r="COP105" s="33" t="s">
        <v>334</v>
      </c>
      <c r="COQ105" s="33" t="s">
        <v>334</v>
      </c>
      <c r="COR105" s="33" t="s">
        <v>334</v>
      </c>
      <c r="COS105" s="33" t="s">
        <v>334</v>
      </c>
      <c r="COT105" s="33" t="s">
        <v>334</v>
      </c>
      <c r="COU105" s="33" t="s">
        <v>334</v>
      </c>
      <c r="COV105" s="33" t="s">
        <v>334</v>
      </c>
      <c r="COW105" s="33" t="s">
        <v>334</v>
      </c>
      <c r="COX105" s="33" t="s">
        <v>334</v>
      </c>
      <c r="COY105" s="33" t="s">
        <v>334</v>
      </c>
      <c r="COZ105" s="33" t="s">
        <v>334</v>
      </c>
      <c r="CPA105" s="33" t="s">
        <v>334</v>
      </c>
      <c r="CPB105" s="33" t="s">
        <v>334</v>
      </c>
      <c r="CPC105" s="33" t="s">
        <v>334</v>
      </c>
      <c r="CPD105" s="33" t="s">
        <v>334</v>
      </c>
      <c r="CPE105" s="33" t="s">
        <v>334</v>
      </c>
      <c r="CPF105" s="33" t="s">
        <v>334</v>
      </c>
      <c r="CPG105" s="33" t="s">
        <v>334</v>
      </c>
      <c r="CPH105" s="33" t="s">
        <v>334</v>
      </c>
      <c r="CPI105" s="33" t="s">
        <v>334</v>
      </c>
      <c r="CPJ105" s="33" t="s">
        <v>334</v>
      </c>
      <c r="CPK105" s="33" t="s">
        <v>334</v>
      </c>
      <c r="CPL105" s="33" t="s">
        <v>334</v>
      </c>
      <c r="CPM105" s="33" t="s">
        <v>334</v>
      </c>
      <c r="CPN105" s="33" t="s">
        <v>334</v>
      </c>
      <c r="CPO105" s="33" t="s">
        <v>334</v>
      </c>
      <c r="CPP105" s="33" t="s">
        <v>334</v>
      </c>
      <c r="CPQ105" s="33" t="s">
        <v>334</v>
      </c>
      <c r="CPR105" s="33" t="s">
        <v>334</v>
      </c>
      <c r="CPS105" s="33" t="s">
        <v>334</v>
      </c>
      <c r="CPT105" s="33" t="s">
        <v>334</v>
      </c>
      <c r="CPU105" s="33" t="s">
        <v>334</v>
      </c>
      <c r="CPV105" s="33" t="s">
        <v>334</v>
      </c>
      <c r="CPW105" s="33" t="s">
        <v>334</v>
      </c>
      <c r="CPX105" s="33" t="s">
        <v>334</v>
      </c>
      <c r="CPY105" s="33" t="s">
        <v>334</v>
      </c>
      <c r="CPZ105" s="33" t="s">
        <v>334</v>
      </c>
      <c r="CQA105" s="33" t="s">
        <v>334</v>
      </c>
      <c r="CQB105" s="33" t="s">
        <v>334</v>
      </c>
      <c r="CQC105" s="33" t="s">
        <v>334</v>
      </c>
      <c r="CQD105" s="33" t="s">
        <v>334</v>
      </c>
      <c r="CQE105" s="33" t="s">
        <v>334</v>
      </c>
      <c r="CQF105" s="33" t="s">
        <v>334</v>
      </c>
      <c r="CQG105" s="33" t="s">
        <v>334</v>
      </c>
      <c r="CQH105" s="33" t="s">
        <v>334</v>
      </c>
      <c r="CQI105" s="33" t="s">
        <v>334</v>
      </c>
      <c r="CQJ105" s="33" t="s">
        <v>334</v>
      </c>
      <c r="CQK105" s="33" t="s">
        <v>334</v>
      </c>
      <c r="CQL105" s="33" t="s">
        <v>334</v>
      </c>
      <c r="CQM105" s="33" t="s">
        <v>334</v>
      </c>
      <c r="CQN105" s="33" t="s">
        <v>334</v>
      </c>
      <c r="CQO105" s="33" t="s">
        <v>334</v>
      </c>
      <c r="CQP105" s="33" t="s">
        <v>334</v>
      </c>
      <c r="CQQ105" s="33" t="s">
        <v>334</v>
      </c>
      <c r="CQR105" s="33" t="s">
        <v>334</v>
      </c>
      <c r="CQS105" s="33" t="s">
        <v>334</v>
      </c>
      <c r="CQT105" s="33" t="s">
        <v>334</v>
      </c>
      <c r="CQU105" s="33" t="s">
        <v>334</v>
      </c>
      <c r="CQV105" s="33" t="s">
        <v>334</v>
      </c>
      <c r="CQW105" s="33" t="s">
        <v>334</v>
      </c>
      <c r="CQX105" s="33" t="s">
        <v>334</v>
      </c>
      <c r="CQY105" s="33" t="s">
        <v>334</v>
      </c>
      <c r="CQZ105" s="33" t="s">
        <v>334</v>
      </c>
      <c r="CRA105" s="33" t="s">
        <v>334</v>
      </c>
      <c r="CRB105" s="33" t="s">
        <v>334</v>
      </c>
      <c r="CRC105" s="33" t="s">
        <v>334</v>
      </c>
      <c r="CRD105" s="33" t="s">
        <v>334</v>
      </c>
      <c r="CRE105" s="33" t="s">
        <v>334</v>
      </c>
      <c r="CRF105" s="33" t="s">
        <v>334</v>
      </c>
      <c r="CRG105" s="33" t="s">
        <v>334</v>
      </c>
      <c r="CRH105" s="33" t="s">
        <v>334</v>
      </c>
      <c r="CRI105" s="33" t="s">
        <v>334</v>
      </c>
      <c r="CRJ105" s="33" t="s">
        <v>334</v>
      </c>
      <c r="CRK105" s="33" t="s">
        <v>334</v>
      </c>
      <c r="CRL105" s="33" t="s">
        <v>334</v>
      </c>
      <c r="CRM105" s="33" t="s">
        <v>334</v>
      </c>
      <c r="CRN105" s="33" t="s">
        <v>334</v>
      </c>
      <c r="CRO105" s="33" t="s">
        <v>334</v>
      </c>
      <c r="CRP105" s="33" t="s">
        <v>334</v>
      </c>
      <c r="CRQ105" s="33" t="s">
        <v>334</v>
      </c>
      <c r="CRR105" s="33" t="s">
        <v>334</v>
      </c>
      <c r="CRS105" s="33" t="s">
        <v>334</v>
      </c>
      <c r="CRT105" s="33" t="s">
        <v>334</v>
      </c>
      <c r="CRU105" s="33" t="s">
        <v>334</v>
      </c>
      <c r="CRV105" s="33" t="s">
        <v>334</v>
      </c>
      <c r="CRW105" s="33" t="s">
        <v>334</v>
      </c>
      <c r="CRX105" s="33" t="s">
        <v>334</v>
      </c>
      <c r="CRY105" s="33" t="s">
        <v>334</v>
      </c>
      <c r="CRZ105" s="33" t="s">
        <v>334</v>
      </c>
      <c r="CSA105" s="33" t="s">
        <v>334</v>
      </c>
      <c r="CSB105" s="33" t="s">
        <v>334</v>
      </c>
      <c r="CSC105" s="33" t="s">
        <v>334</v>
      </c>
      <c r="CSD105" s="33" t="s">
        <v>334</v>
      </c>
      <c r="CSE105" s="33" t="s">
        <v>334</v>
      </c>
      <c r="CSF105" s="33" t="s">
        <v>334</v>
      </c>
      <c r="CSG105" s="33" t="s">
        <v>334</v>
      </c>
      <c r="CSH105" s="33" t="s">
        <v>334</v>
      </c>
      <c r="CSI105" s="33" t="s">
        <v>334</v>
      </c>
      <c r="CSJ105" s="33" t="s">
        <v>334</v>
      </c>
      <c r="CSK105" s="33" t="s">
        <v>334</v>
      </c>
      <c r="CSL105" s="33" t="s">
        <v>334</v>
      </c>
      <c r="CSM105" s="33" t="s">
        <v>334</v>
      </c>
      <c r="CSN105" s="33" t="s">
        <v>334</v>
      </c>
      <c r="CSO105" s="33" t="s">
        <v>334</v>
      </c>
      <c r="CSP105" s="33" t="s">
        <v>334</v>
      </c>
      <c r="CSQ105" s="33" t="s">
        <v>334</v>
      </c>
      <c r="CSR105" s="33" t="s">
        <v>334</v>
      </c>
      <c r="CSS105" s="33" t="s">
        <v>334</v>
      </c>
      <c r="CST105" s="33" t="s">
        <v>334</v>
      </c>
      <c r="CSU105" s="33" t="s">
        <v>334</v>
      </c>
      <c r="CSV105" s="33" t="s">
        <v>334</v>
      </c>
      <c r="CSW105" s="33" t="s">
        <v>334</v>
      </c>
      <c r="CSX105" s="33" t="s">
        <v>334</v>
      </c>
      <c r="CSY105" s="33" t="s">
        <v>334</v>
      </c>
      <c r="CSZ105" s="33" t="s">
        <v>334</v>
      </c>
      <c r="CTA105" s="33" t="s">
        <v>334</v>
      </c>
      <c r="CTB105" s="33" t="s">
        <v>334</v>
      </c>
      <c r="CTC105" s="33" t="s">
        <v>334</v>
      </c>
      <c r="CTD105" s="33" t="s">
        <v>334</v>
      </c>
      <c r="CTE105" s="33" t="s">
        <v>334</v>
      </c>
      <c r="CTF105" s="33" t="s">
        <v>334</v>
      </c>
      <c r="CTG105" s="33" t="s">
        <v>334</v>
      </c>
      <c r="CTH105" s="33" t="s">
        <v>334</v>
      </c>
      <c r="CTI105" s="33" t="s">
        <v>334</v>
      </c>
      <c r="CTJ105" s="33" t="s">
        <v>334</v>
      </c>
      <c r="CTK105" s="33" t="s">
        <v>334</v>
      </c>
      <c r="CTL105" s="33" t="s">
        <v>334</v>
      </c>
      <c r="CTM105" s="33" t="s">
        <v>334</v>
      </c>
      <c r="CTN105" s="33" t="s">
        <v>334</v>
      </c>
      <c r="CTO105" s="33" t="s">
        <v>334</v>
      </c>
      <c r="CTP105" s="33" t="s">
        <v>334</v>
      </c>
      <c r="CTQ105" s="33" t="s">
        <v>334</v>
      </c>
      <c r="CTR105" s="33" t="s">
        <v>334</v>
      </c>
      <c r="CTS105" s="33" t="s">
        <v>334</v>
      </c>
      <c r="CTT105" s="33" t="s">
        <v>334</v>
      </c>
      <c r="CTU105" s="33" t="s">
        <v>334</v>
      </c>
      <c r="CTV105" s="33" t="s">
        <v>334</v>
      </c>
      <c r="CTW105" s="33" t="s">
        <v>334</v>
      </c>
      <c r="CTX105" s="33" t="s">
        <v>334</v>
      </c>
      <c r="CTY105" s="33" t="s">
        <v>334</v>
      </c>
      <c r="CTZ105" s="33" t="s">
        <v>334</v>
      </c>
      <c r="CUA105" s="33" t="s">
        <v>334</v>
      </c>
      <c r="CUB105" s="33" t="s">
        <v>334</v>
      </c>
      <c r="CUC105" s="33" t="s">
        <v>334</v>
      </c>
      <c r="CUD105" s="33" t="s">
        <v>334</v>
      </c>
      <c r="CUE105" s="33" t="s">
        <v>334</v>
      </c>
      <c r="CUF105" s="33" t="s">
        <v>334</v>
      </c>
      <c r="CUG105" s="33" t="s">
        <v>334</v>
      </c>
      <c r="CUH105" s="33" t="s">
        <v>334</v>
      </c>
      <c r="CUI105" s="33" t="s">
        <v>334</v>
      </c>
      <c r="CUJ105" s="33" t="s">
        <v>334</v>
      </c>
      <c r="CUK105" s="33" t="s">
        <v>334</v>
      </c>
      <c r="CUL105" s="33" t="s">
        <v>334</v>
      </c>
      <c r="CUM105" s="33" t="s">
        <v>334</v>
      </c>
      <c r="CUN105" s="33" t="s">
        <v>334</v>
      </c>
      <c r="CUO105" s="33" t="s">
        <v>334</v>
      </c>
      <c r="CUP105" s="33" t="s">
        <v>334</v>
      </c>
      <c r="CUQ105" s="33" t="s">
        <v>334</v>
      </c>
      <c r="CUR105" s="33" t="s">
        <v>334</v>
      </c>
      <c r="CUS105" s="33" t="s">
        <v>334</v>
      </c>
      <c r="CUT105" s="33" t="s">
        <v>334</v>
      </c>
      <c r="CUU105" s="33" t="s">
        <v>334</v>
      </c>
      <c r="CUV105" s="33" t="s">
        <v>334</v>
      </c>
      <c r="CUW105" s="33" t="s">
        <v>334</v>
      </c>
      <c r="CUX105" s="33" t="s">
        <v>334</v>
      </c>
      <c r="CUY105" s="33" t="s">
        <v>334</v>
      </c>
      <c r="CUZ105" s="33" t="s">
        <v>334</v>
      </c>
      <c r="CVA105" s="33" t="s">
        <v>334</v>
      </c>
      <c r="CVB105" s="33" t="s">
        <v>334</v>
      </c>
      <c r="CVC105" s="33" t="s">
        <v>334</v>
      </c>
      <c r="CVD105" s="33" t="s">
        <v>334</v>
      </c>
      <c r="CVE105" s="33" t="s">
        <v>334</v>
      </c>
      <c r="CVF105" s="33" t="s">
        <v>334</v>
      </c>
      <c r="CVG105" s="33" t="s">
        <v>334</v>
      </c>
      <c r="CVH105" s="33" t="s">
        <v>334</v>
      </c>
      <c r="CVI105" s="33" t="s">
        <v>334</v>
      </c>
      <c r="CVJ105" s="33" t="s">
        <v>334</v>
      </c>
      <c r="CVK105" s="33" t="s">
        <v>334</v>
      </c>
      <c r="CVL105" s="33" t="s">
        <v>334</v>
      </c>
      <c r="CVM105" s="33" t="s">
        <v>334</v>
      </c>
      <c r="CVN105" s="33" t="s">
        <v>334</v>
      </c>
      <c r="CVO105" s="33" t="s">
        <v>334</v>
      </c>
      <c r="CVP105" s="33" t="s">
        <v>334</v>
      </c>
      <c r="CVQ105" s="33" t="s">
        <v>334</v>
      </c>
      <c r="CVR105" s="33" t="s">
        <v>334</v>
      </c>
      <c r="CVS105" s="33" t="s">
        <v>334</v>
      </c>
      <c r="CVT105" s="33" t="s">
        <v>334</v>
      </c>
      <c r="CVU105" s="33" t="s">
        <v>334</v>
      </c>
      <c r="CVV105" s="33" t="s">
        <v>334</v>
      </c>
      <c r="CVW105" s="33" t="s">
        <v>334</v>
      </c>
      <c r="CVX105" s="33" t="s">
        <v>334</v>
      </c>
      <c r="CVY105" s="33" t="s">
        <v>334</v>
      </c>
      <c r="CVZ105" s="33" t="s">
        <v>334</v>
      </c>
      <c r="CWA105" s="33" t="s">
        <v>334</v>
      </c>
      <c r="CWB105" s="33" t="s">
        <v>334</v>
      </c>
      <c r="CWC105" s="33" t="s">
        <v>334</v>
      </c>
      <c r="CWD105" s="33" t="s">
        <v>334</v>
      </c>
      <c r="CWE105" s="33" t="s">
        <v>334</v>
      </c>
      <c r="CWF105" s="33" t="s">
        <v>334</v>
      </c>
      <c r="CWG105" s="33" t="s">
        <v>334</v>
      </c>
      <c r="CWH105" s="33" t="s">
        <v>334</v>
      </c>
      <c r="CWI105" s="33" t="s">
        <v>334</v>
      </c>
      <c r="CWJ105" s="33" t="s">
        <v>334</v>
      </c>
      <c r="CWK105" s="33" t="s">
        <v>334</v>
      </c>
      <c r="CWL105" s="33" t="s">
        <v>334</v>
      </c>
      <c r="CWM105" s="33" t="s">
        <v>334</v>
      </c>
      <c r="CWN105" s="33" t="s">
        <v>334</v>
      </c>
      <c r="CWO105" s="33" t="s">
        <v>334</v>
      </c>
      <c r="CWP105" s="33" t="s">
        <v>334</v>
      </c>
      <c r="CWQ105" s="33" t="s">
        <v>334</v>
      </c>
      <c r="CWR105" s="33" t="s">
        <v>334</v>
      </c>
      <c r="CWS105" s="33" t="s">
        <v>334</v>
      </c>
      <c r="CWT105" s="33" t="s">
        <v>334</v>
      </c>
      <c r="CWU105" s="33" t="s">
        <v>334</v>
      </c>
      <c r="CWV105" s="33" t="s">
        <v>334</v>
      </c>
      <c r="CWW105" s="33" t="s">
        <v>334</v>
      </c>
      <c r="CWX105" s="33" t="s">
        <v>334</v>
      </c>
      <c r="CWY105" s="33" t="s">
        <v>334</v>
      </c>
      <c r="CWZ105" s="33" t="s">
        <v>334</v>
      </c>
      <c r="CXA105" s="33" t="s">
        <v>334</v>
      </c>
      <c r="CXB105" s="33" t="s">
        <v>334</v>
      </c>
      <c r="CXC105" s="33" t="s">
        <v>334</v>
      </c>
      <c r="CXD105" s="33" t="s">
        <v>334</v>
      </c>
      <c r="CXE105" s="33" t="s">
        <v>334</v>
      </c>
      <c r="CXF105" s="33" t="s">
        <v>334</v>
      </c>
      <c r="CXG105" s="33" t="s">
        <v>334</v>
      </c>
      <c r="CXH105" s="33" t="s">
        <v>334</v>
      </c>
      <c r="CXI105" s="33" t="s">
        <v>334</v>
      </c>
      <c r="CXJ105" s="33" t="s">
        <v>334</v>
      </c>
      <c r="CXK105" s="33" t="s">
        <v>334</v>
      </c>
      <c r="CXL105" s="33" t="s">
        <v>334</v>
      </c>
      <c r="CXM105" s="33" t="s">
        <v>334</v>
      </c>
      <c r="CXN105" s="33" t="s">
        <v>334</v>
      </c>
      <c r="CXO105" s="33" t="s">
        <v>334</v>
      </c>
      <c r="CXP105" s="33" t="s">
        <v>334</v>
      </c>
      <c r="CXQ105" s="33" t="s">
        <v>334</v>
      </c>
      <c r="CXR105" s="33" t="s">
        <v>334</v>
      </c>
      <c r="CXS105" s="33" t="s">
        <v>334</v>
      </c>
      <c r="CXT105" s="33" t="s">
        <v>334</v>
      </c>
      <c r="CXU105" s="33" t="s">
        <v>334</v>
      </c>
      <c r="CXV105" s="33" t="s">
        <v>334</v>
      </c>
      <c r="CXW105" s="33" t="s">
        <v>334</v>
      </c>
      <c r="CXX105" s="33" t="s">
        <v>334</v>
      </c>
      <c r="CXY105" s="33" t="s">
        <v>334</v>
      </c>
      <c r="CXZ105" s="33" t="s">
        <v>334</v>
      </c>
      <c r="CYA105" s="33" t="s">
        <v>334</v>
      </c>
      <c r="CYB105" s="33" t="s">
        <v>334</v>
      </c>
      <c r="CYC105" s="33" t="s">
        <v>334</v>
      </c>
      <c r="CYD105" s="33" t="s">
        <v>334</v>
      </c>
      <c r="CYE105" s="33" t="s">
        <v>334</v>
      </c>
      <c r="CYF105" s="33" t="s">
        <v>334</v>
      </c>
      <c r="CYG105" s="33" t="s">
        <v>334</v>
      </c>
      <c r="CYH105" s="33" t="s">
        <v>334</v>
      </c>
      <c r="CYI105" s="33" t="s">
        <v>334</v>
      </c>
      <c r="CYJ105" s="33" t="s">
        <v>334</v>
      </c>
      <c r="CYK105" s="33" t="s">
        <v>334</v>
      </c>
      <c r="CYL105" s="33" t="s">
        <v>334</v>
      </c>
      <c r="CYM105" s="33" t="s">
        <v>334</v>
      </c>
      <c r="CYN105" s="33" t="s">
        <v>334</v>
      </c>
      <c r="CYO105" s="33" t="s">
        <v>334</v>
      </c>
      <c r="CYP105" s="33" t="s">
        <v>334</v>
      </c>
      <c r="CYQ105" s="33" t="s">
        <v>334</v>
      </c>
      <c r="CYR105" s="33" t="s">
        <v>334</v>
      </c>
      <c r="CYS105" s="33" t="s">
        <v>334</v>
      </c>
      <c r="CYT105" s="33" t="s">
        <v>334</v>
      </c>
      <c r="CYU105" s="33" t="s">
        <v>334</v>
      </c>
      <c r="CYV105" s="33" t="s">
        <v>334</v>
      </c>
      <c r="CYW105" s="33" t="s">
        <v>334</v>
      </c>
      <c r="CYX105" s="33" t="s">
        <v>334</v>
      </c>
      <c r="CYY105" s="33" t="s">
        <v>334</v>
      </c>
      <c r="CYZ105" s="33" t="s">
        <v>334</v>
      </c>
      <c r="CZA105" s="33" t="s">
        <v>334</v>
      </c>
      <c r="CZB105" s="33" t="s">
        <v>334</v>
      </c>
      <c r="CZC105" s="33" t="s">
        <v>334</v>
      </c>
      <c r="CZD105" s="33" t="s">
        <v>334</v>
      </c>
      <c r="CZE105" s="33" t="s">
        <v>334</v>
      </c>
      <c r="CZF105" s="33" t="s">
        <v>334</v>
      </c>
      <c r="CZG105" s="33" t="s">
        <v>334</v>
      </c>
      <c r="CZH105" s="33" t="s">
        <v>334</v>
      </c>
      <c r="CZI105" s="33" t="s">
        <v>334</v>
      </c>
      <c r="CZJ105" s="33" t="s">
        <v>334</v>
      </c>
      <c r="CZK105" s="33" t="s">
        <v>334</v>
      </c>
      <c r="CZL105" s="33" t="s">
        <v>334</v>
      </c>
      <c r="CZM105" s="33" t="s">
        <v>334</v>
      </c>
      <c r="CZN105" s="33" t="s">
        <v>334</v>
      </c>
      <c r="CZO105" s="33" t="s">
        <v>334</v>
      </c>
      <c r="CZP105" s="33" t="s">
        <v>334</v>
      </c>
      <c r="CZQ105" s="33" t="s">
        <v>334</v>
      </c>
      <c r="CZR105" s="33" t="s">
        <v>334</v>
      </c>
      <c r="CZS105" s="33" t="s">
        <v>334</v>
      </c>
      <c r="CZT105" s="33" t="s">
        <v>334</v>
      </c>
      <c r="CZU105" s="33" t="s">
        <v>334</v>
      </c>
      <c r="CZV105" s="33" t="s">
        <v>334</v>
      </c>
      <c r="CZW105" s="33" t="s">
        <v>334</v>
      </c>
      <c r="CZX105" s="33" t="s">
        <v>334</v>
      </c>
      <c r="CZY105" s="33" t="s">
        <v>334</v>
      </c>
      <c r="CZZ105" s="33" t="s">
        <v>334</v>
      </c>
      <c r="DAA105" s="33" t="s">
        <v>334</v>
      </c>
      <c r="DAB105" s="33" t="s">
        <v>334</v>
      </c>
      <c r="DAC105" s="33" t="s">
        <v>334</v>
      </c>
      <c r="DAD105" s="33" t="s">
        <v>334</v>
      </c>
      <c r="DAE105" s="33" t="s">
        <v>334</v>
      </c>
      <c r="DAF105" s="33" t="s">
        <v>334</v>
      </c>
      <c r="DAG105" s="33" t="s">
        <v>334</v>
      </c>
      <c r="DAH105" s="33" t="s">
        <v>334</v>
      </c>
      <c r="DAI105" s="33" t="s">
        <v>334</v>
      </c>
      <c r="DAJ105" s="33" t="s">
        <v>334</v>
      </c>
      <c r="DAK105" s="33" t="s">
        <v>334</v>
      </c>
      <c r="DAL105" s="33" t="s">
        <v>334</v>
      </c>
      <c r="DAM105" s="33" t="s">
        <v>334</v>
      </c>
      <c r="DAN105" s="33" t="s">
        <v>334</v>
      </c>
      <c r="DAO105" s="33" t="s">
        <v>334</v>
      </c>
      <c r="DAP105" s="33" t="s">
        <v>334</v>
      </c>
      <c r="DAQ105" s="33" t="s">
        <v>334</v>
      </c>
      <c r="DAR105" s="33" t="s">
        <v>334</v>
      </c>
      <c r="DAS105" s="33" t="s">
        <v>334</v>
      </c>
      <c r="DAT105" s="33" t="s">
        <v>334</v>
      </c>
      <c r="DAU105" s="33" t="s">
        <v>334</v>
      </c>
      <c r="DAV105" s="33" t="s">
        <v>334</v>
      </c>
      <c r="DAW105" s="33" t="s">
        <v>334</v>
      </c>
      <c r="DAX105" s="33" t="s">
        <v>334</v>
      </c>
      <c r="DAY105" s="33" t="s">
        <v>334</v>
      </c>
      <c r="DAZ105" s="33" t="s">
        <v>334</v>
      </c>
      <c r="DBA105" s="33" t="s">
        <v>334</v>
      </c>
      <c r="DBB105" s="33" t="s">
        <v>334</v>
      </c>
      <c r="DBC105" s="33" t="s">
        <v>334</v>
      </c>
      <c r="DBD105" s="33" t="s">
        <v>334</v>
      </c>
      <c r="DBE105" s="33" t="s">
        <v>334</v>
      </c>
      <c r="DBF105" s="33" t="s">
        <v>334</v>
      </c>
      <c r="DBG105" s="33" t="s">
        <v>334</v>
      </c>
      <c r="DBH105" s="33" t="s">
        <v>334</v>
      </c>
      <c r="DBI105" s="33" t="s">
        <v>334</v>
      </c>
      <c r="DBJ105" s="33" t="s">
        <v>334</v>
      </c>
      <c r="DBK105" s="33" t="s">
        <v>334</v>
      </c>
      <c r="DBL105" s="33" t="s">
        <v>334</v>
      </c>
      <c r="DBM105" s="33" t="s">
        <v>334</v>
      </c>
      <c r="DBN105" s="33" t="s">
        <v>334</v>
      </c>
      <c r="DBO105" s="33" t="s">
        <v>334</v>
      </c>
      <c r="DBP105" s="33" t="s">
        <v>334</v>
      </c>
      <c r="DBQ105" s="33" t="s">
        <v>334</v>
      </c>
      <c r="DBR105" s="33" t="s">
        <v>334</v>
      </c>
      <c r="DBS105" s="33" t="s">
        <v>334</v>
      </c>
      <c r="DBT105" s="33" t="s">
        <v>334</v>
      </c>
      <c r="DBU105" s="33" t="s">
        <v>334</v>
      </c>
      <c r="DBV105" s="33" t="s">
        <v>334</v>
      </c>
      <c r="DBW105" s="33" t="s">
        <v>334</v>
      </c>
      <c r="DBX105" s="33" t="s">
        <v>334</v>
      </c>
      <c r="DBY105" s="33" t="s">
        <v>334</v>
      </c>
      <c r="DBZ105" s="33" t="s">
        <v>334</v>
      </c>
      <c r="DCA105" s="33" t="s">
        <v>334</v>
      </c>
      <c r="DCB105" s="33" t="s">
        <v>334</v>
      </c>
      <c r="DCC105" s="33" t="s">
        <v>334</v>
      </c>
      <c r="DCD105" s="33" t="s">
        <v>334</v>
      </c>
      <c r="DCE105" s="33" t="s">
        <v>334</v>
      </c>
      <c r="DCF105" s="33" t="s">
        <v>334</v>
      </c>
      <c r="DCG105" s="33" t="s">
        <v>334</v>
      </c>
      <c r="DCH105" s="33" t="s">
        <v>334</v>
      </c>
      <c r="DCI105" s="33" t="s">
        <v>334</v>
      </c>
      <c r="DCJ105" s="33" t="s">
        <v>334</v>
      </c>
      <c r="DCK105" s="33" t="s">
        <v>334</v>
      </c>
      <c r="DCL105" s="33" t="s">
        <v>334</v>
      </c>
      <c r="DCM105" s="33" t="s">
        <v>334</v>
      </c>
      <c r="DCN105" s="33" t="s">
        <v>334</v>
      </c>
      <c r="DCO105" s="33" t="s">
        <v>334</v>
      </c>
      <c r="DCP105" s="33" t="s">
        <v>334</v>
      </c>
      <c r="DCQ105" s="33" t="s">
        <v>334</v>
      </c>
      <c r="DCR105" s="33" t="s">
        <v>334</v>
      </c>
      <c r="DCS105" s="33" t="s">
        <v>334</v>
      </c>
      <c r="DCT105" s="33" t="s">
        <v>334</v>
      </c>
      <c r="DCU105" s="33" t="s">
        <v>334</v>
      </c>
      <c r="DCV105" s="33" t="s">
        <v>334</v>
      </c>
      <c r="DCW105" s="33" t="s">
        <v>334</v>
      </c>
      <c r="DCX105" s="33" t="s">
        <v>334</v>
      </c>
      <c r="DCY105" s="33" t="s">
        <v>334</v>
      </c>
      <c r="DCZ105" s="33" t="s">
        <v>334</v>
      </c>
      <c r="DDA105" s="33" t="s">
        <v>334</v>
      </c>
      <c r="DDB105" s="33" t="s">
        <v>334</v>
      </c>
      <c r="DDC105" s="33" t="s">
        <v>334</v>
      </c>
      <c r="DDD105" s="33" t="s">
        <v>334</v>
      </c>
      <c r="DDE105" s="33" t="s">
        <v>334</v>
      </c>
      <c r="DDF105" s="33" t="s">
        <v>334</v>
      </c>
      <c r="DDG105" s="33" t="s">
        <v>334</v>
      </c>
      <c r="DDH105" s="33" t="s">
        <v>334</v>
      </c>
      <c r="DDI105" s="33" t="s">
        <v>334</v>
      </c>
      <c r="DDJ105" s="33" t="s">
        <v>334</v>
      </c>
      <c r="DDK105" s="33" t="s">
        <v>334</v>
      </c>
      <c r="DDL105" s="33" t="s">
        <v>334</v>
      </c>
      <c r="DDM105" s="33" t="s">
        <v>334</v>
      </c>
      <c r="DDN105" s="33" t="s">
        <v>334</v>
      </c>
      <c r="DDO105" s="33" t="s">
        <v>334</v>
      </c>
      <c r="DDP105" s="33" t="s">
        <v>334</v>
      </c>
      <c r="DDQ105" s="33" t="s">
        <v>334</v>
      </c>
      <c r="DDR105" s="33" t="s">
        <v>334</v>
      </c>
      <c r="DDS105" s="33" t="s">
        <v>334</v>
      </c>
      <c r="DDT105" s="33" t="s">
        <v>334</v>
      </c>
      <c r="DDU105" s="33" t="s">
        <v>334</v>
      </c>
      <c r="DDV105" s="33" t="s">
        <v>334</v>
      </c>
      <c r="DDW105" s="33" t="s">
        <v>334</v>
      </c>
      <c r="DDX105" s="33" t="s">
        <v>334</v>
      </c>
      <c r="DDY105" s="33" t="s">
        <v>334</v>
      </c>
      <c r="DDZ105" s="33" t="s">
        <v>334</v>
      </c>
      <c r="DEA105" s="33" t="s">
        <v>334</v>
      </c>
      <c r="DEB105" s="33" t="s">
        <v>334</v>
      </c>
      <c r="DEC105" s="33" t="s">
        <v>334</v>
      </c>
      <c r="DED105" s="33" t="s">
        <v>334</v>
      </c>
      <c r="DEE105" s="33" t="s">
        <v>334</v>
      </c>
      <c r="DEF105" s="33" t="s">
        <v>334</v>
      </c>
      <c r="DEG105" s="33" t="s">
        <v>334</v>
      </c>
      <c r="DEH105" s="33" t="s">
        <v>334</v>
      </c>
      <c r="DEI105" s="33" t="s">
        <v>334</v>
      </c>
      <c r="DEJ105" s="33" t="s">
        <v>334</v>
      </c>
      <c r="DEK105" s="33" t="s">
        <v>334</v>
      </c>
      <c r="DEL105" s="33" t="s">
        <v>334</v>
      </c>
      <c r="DEM105" s="33" t="s">
        <v>334</v>
      </c>
      <c r="DEN105" s="33" t="s">
        <v>334</v>
      </c>
      <c r="DEO105" s="33" t="s">
        <v>334</v>
      </c>
      <c r="DEP105" s="33" t="s">
        <v>334</v>
      </c>
      <c r="DEQ105" s="33" t="s">
        <v>334</v>
      </c>
      <c r="DER105" s="33" t="s">
        <v>334</v>
      </c>
      <c r="DES105" s="33" t="s">
        <v>334</v>
      </c>
      <c r="DET105" s="33" t="s">
        <v>334</v>
      </c>
      <c r="DEU105" s="33" t="s">
        <v>334</v>
      </c>
      <c r="DEV105" s="33" t="s">
        <v>334</v>
      </c>
      <c r="DEW105" s="33" t="s">
        <v>334</v>
      </c>
      <c r="DEX105" s="33" t="s">
        <v>334</v>
      </c>
      <c r="DEY105" s="33" t="s">
        <v>334</v>
      </c>
      <c r="DEZ105" s="33" t="s">
        <v>334</v>
      </c>
      <c r="DFA105" s="33" t="s">
        <v>334</v>
      </c>
      <c r="DFB105" s="33" t="s">
        <v>334</v>
      </c>
      <c r="DFC105" s="33" t="s">
        <v>334</v>
      </c>
      <c r="DFD105" s="33" t="s">
        <v>334</v>
      </c>
      <c r="DFE105" s="33" t="s">
        <v>334</v>
      </c>
      <c r="DFF105" s="33" t="s">
        <v>334</v>
      </c>
      <c r="DFG105" s="33" t="s">
        <v>334</v>
      </c>
      <c r="DFH105" s="33" t="s">
        <v>334</v>
      </c>
      <c r="DFI105" s="33" t="s">
        <v>334</v>
      </c>
      <c r="DFJ105" s="33" t="s">
        <v>334</v>
      </c>
      <c r="DFK105" s="33" t="s">
        <v>334</v>
      </c>
      <c r="DFL105" s="33" t="s">
        <v>334</v>
      </c>
      <c r="DFM105" s="33" t="s">
        <v>334</v>
      </c>
      <c r="DFN105" s="33" t="s">
        <v>334</v>
      </c>
      <c r="DFO105" s="33" t="s">
        <v>334</v>
      </c>
      <c r="DFP105" s="33" t="s">
        <v>334</v>
      </c>
      <c r="DFQ105" s="33" t="s">
        <v>334</v>
      </c>
      <c r="DFR105" s="33" t="s">
        <v>334</v>
      </c>
      <c r="DFS105" s="33" t="s">
        <v>334</v>
      </c>
      <c r="DFT105" s="33" t="s">
        <v>334</v>
      </c>
      <c r="DFU105" s="33" t="s">
        <v>334</v>
      </c>
      <c r="DFV105" s="33" t="s">
        <v>334</v>
      </c>
      <c r="DFW105" s="33" t="s">
        <v>334</v>
      </c>
      <c r="DFX105" s="33" t="s">
        <v>334</v>
      </c>
      <c r="DFY105" s="33" t="s">
        <v>334</v>
      </c>
      <c r="DFZ105" s="33" t="s">
        <v>334</v>
      </c>
      <c r="DGA105" s="33" t="s">
        <v>334</v>
      </c>
      <c r="DGB105" s="33" t="s">
        <v>334</v>
      </c>
      <c r="DGC105" s="33" t="s">
        <v>334</v>
      </c>
      <c r="DGD105" s="33" t="s">
        <v>334</v>
      </c>
      <c r="DGE105" s="33" t="s">
        <v>334</v>
      </c>
      <c r="DGF105" s="33" t="s">
        <v>334</v>
      </c>
      <c r="DGG105" s="33" t="s">
        <v>334</v>
      </c>
      <c r="DGH105" s="33" t="s">
        <v>334</v>
      </c>
      <c r="DGI105" s="33" t="s">
        <v>334</v>
      </c>
      <c r="DGJ105" s="33" t="s">
        <v>334</v>
      </c>
      <c r="DGK105" s="33" t="s">
        <v>334</v>
      </c>
      <c r="DGL105" s="33" t="s">
        <v>334</v>
      </c>
      <c r="DGM105" s="33" t="s">
        <v>334</v>
      </c>
      <c r="DGN105" s="33" t="s">
        <v>334</v>
      </c>
      <c r="DGO105" s="33" t="s">
        <v>334</v>
      </c>
      <c r="DGP105" s="33" t="s">
        <v>334</v>
      </c>
      <c r="DGQ105" s="33" t="s">
        <v>334</v>
      </c>
      <c r="DGR105" s="33" t="s">
        <v>334</v>
      </c>
      <c r="DGS105" s="33" t="s">
        <v>334</v>
      </c>
      <c r="DGT105" s="33" t="s">
        <v>334</v>
      </c>
      <c r="DGU105" s="33" t="s">
        <v>334</v>
      </c>
      <c r="DGV105" s="33" t="s">
        <v>334</v>
      </c>
      <c r="DGW105" s="33" t="s">
        <v>334</v>
      </c>
      <c r="DGX105" s="33" t="s">
        <v>334</v>
      </c>
      <c r="DGY105" s="33" t="s">
        <v>334</v>
      </c>
      <c r="DGZ105" s="33" t="s">
        <v>334</v>
      </c>
      <c r="DHA105" s="33" t="s">
        <v>334</v>
      </c>
      <c r="DHB105" s="33" t="s">
        <v>334</v>
      </c>
      <c r="DHC105" s="33" t="s">
        <v>334</v>
      </c>
      <c r="DHD105" s="33" t="s">
        <v>334</v>
      </c>
      <c r="DHE105" s="33" t="s">
        <v>334</v>
      </c>
      <c r="DHF105" s="33" t="s">
        <v>334</v>
      </c>
      <c r="DHG105" s="33" t="s">
        <v>334</v>
      </c>
      <c r="DHH105" s="33" t="s">
        <v>334</v>
      </c>
      <c r="DHI105" s="33" t="s">
        <v>334</v>
      </c>
      <c r="DHJ105" s="33" t="s">
        <v>334</v>
      </c>
      <c r="DHK105" s="33" t="s">
        <v>334</v>
      </c>
      <c r="DHL105" s="33" t="s">
        <v>334</v>
      </c>
      <c r="DHM105" s="33" t="s">
        <v>334</v>
      </c>
      <c r="DHN105" s="33" t="s">
        <v>334</v>
      </c>
      <c r="DHO105" s="33" t="s">
        <v>334</v>
      </c>
      <c r="DHP105" s="33" t="s">
        <v>334</v>
      </c>
      <c r="DHQ105" s="33" t="s">
        <v>334</v>
      </c>
      <c r="DHR105" s="33" t="s">
        <v>334</v>
      </c>
      <c r="DHS105" s="33" t="s">
        <v>334</v>
      </c>
      <c r="DHT105" s="33" t="s">
        <v>334</v>
      </c>
      <c r="DHU105" s="33" t="s">
        <v>334</v>
      </c>
      <c r="DHV105" s="33" t="s">
        <v>334</v>
      </c>
      <c r="DHW105" s="33" t="s">
        <v>334</v>
      </c>
      <c r="DHX105" s="33" t="s">
        <v>334</v>
      </c>
      <c r="DHY105" s="33" t="s">
        <v>334</v>
      </c>
      <c r="DHZ105" s="33" t="s">
        <v>334</v>
      </c>
      <c r="DIA105" s="33" t="s">
        <v>334</v>
      </c>
      <c r="DIB105" s="33" t="s">
        <v>334</v>
      </c>
      <c r="DIC105" s="33" t="s">
        <v>334</v>
      </c>
      <c r="DID105" s="33" t="s">
        <v>334</v>
      </c>
      <c r="DIE105" s="33" t="s">
        <v>334</v>
      </c>
      <c r="DIF105" s="33" t="s">
        <v>334</v>
      </c>
      <c r="DIG105" s="33" t="s">
        <v>334</v>
      </c>
      <c r="DIH105" s="33" t="s">
        <v>334</v>
      </c>
      <c r="DII105" s="33" t="s">
        <v>334</v>
      </c>
      <c r="DIJ105" s="33" t="s">
        <v>334</v>
      </c>
      <c r="DIK105" s="33" t="s">
        <v>334</v>
      </c>
      <c r="DIL105" s="33" t="s">
        <v>334</v>
      </c>
      <c r="DIM105" s="33" t="s">
        <v>334</v>
      </c>
      <c r="DIN105" s="33" t="s">
        <v>334</v>
      </c>
      <c r="DIO105" s="33" t="s">
        <v>334</v>
      </c>
      <c r="DIP105" s="33" t="s">
        <v>334</v>
      </c>
      <c r="DIQ105" s="33" t="s">
        <v>334</v>
      </c>
      <c r="DIR105" s="33" t="s">
        <v>334</v>
      </c>
      <c r="DIS105" s="33" t="s">
        <v>334</v>
      </c>
      <c r="DIT105" s="33" t="s">
        <v>334</v>
      </c>
      <c r="DIU105" s="33" t="s">
        <v>334</v>
      </c>
      <c r="DIV105" s="33" t="s">
        <v>334</v>
      </c>
      <c r="DIW105" s="33" t="s">
        <v>334</v>
      </c>
      <c r="DIX105" s="33" t="s">
        <v>334</v>
      </c>
      <c r="DIY105" s="33" t="s">
        <v>334</v>
      </c>
      <c r="DIZ105" s="33" t="s">
        <v>334</v>
      </c>
      <c r="DJA105" s="33" t="s">
        <v>334</v>
      </c>
      <c r="DJB105" s="33" t="s">
        <v>334</v>
      </c>
      <c r="DJC105" s="33" t="s">
        <v>334</v>
      </c>
      <c r="DJD105" s="33" t="s">
        <v>334</v>
      </c>
      <c r="DJE105" s="33" t="s">
        <v>334</v>
      </c>
      <c r="DJF105" s="33" t="s">
        <v>334</v>
      </c>
      <c r="DJG105" s="33" t="s">
        <v>334</v>
      </c>
      <c r="DJH105" s="33" t="s">
        <v>334</v>
      </c>
      <c r="DJI105" s="33" t="s">
        <v>334</v>
      </c>
      <c r="DJJ105" s="33" t="s">
        <v>334</v>
      </c>
      <c r="DJK105" s="33" t="s">
        <v>334</v>
      </c>
      <c r="DJL105" s="33" t="s">
        <v>334</v>
      </c>
      <c r="DJM105" s="33" t="s">
        <v>334</v>
      </c>
      <c r="DJN105" s="33" t="s">
        <v>334</v>
      </c>
      <c r="DJO105" s="33" t="s">
        <v>334</v>
      </c>
      <c r="DJP105" s="33" t="s">
        <v>334</v>
      </c>
      <c r="DJQ105" s="33" t="s">
        <v>334</v>
      </c>
      <c r="DJR105" s="33" t="s">
        <v>334</v>
      </c>
      <c r="DJS105" s="33" t="s">
        <v>334</v>
      </c>
      <c r="DJT105" s="33" t="s">
        <v>334</v>
      </c>
      <c r="DJU105" s="33" t="s">
        <v>334</v>
      </c>
      <c r="DJV105" s="33" t="s">
        <v>334</v>
      </c>
      <c r="DJW105" s="33" t="s">
        <v>334</v>
      </c>
      <c r="DJX105" s="33" t="s">
        <v>334</v>
      </c>
      <c r="DJY105" s="33" t="s">
        <v>334</v>
      </c>
      <c r="DJZ105" s="33" t="s">
        <v>334</v>
      </c>
      <c r="DKA105" s="33" t="s">
        <v>334</v>
      </c>
      <c r="DKB105" s="33" t="s">
        <v>334</v>
      </c>
      <c r="DKC105" s="33" t="s">
        <v>334</v>
      </c>
      <c r="DKD105" s="33" t="s">
        <v>334</v>
      </c>
      <c r="DKE105" s="33" t="s">
        <v>334</v>
      </c>
      <c r="DKF105" s="33" t="s">
        <v>334</v>
      </c>
      <c r="DKG105" s="33" t="s">
        <v>334</v>
      </c>
      <c r="DKH105" s="33" t="s">
        <v>334</v>
      </c>
      <c r="DKI105" s="33" t="s">
        <v>334</v>
      </c>
      <c r="DKJ105" s="33" t="s">
        <v>334</v>
      </c>
      <c r="DKK105" s="33" t="s">
        <v>334</v>
      </c>
      <c r="DKL105" s="33" t="s">
        <v>334</v>
      </c>
      <c r="DKM105" s="33" t="s">
        <v>334</v>
      </c>
      <c r="DKN105" s="33" t="s">
        <v>334</v>
      </c>
      <c r="DKO105" s="33" t="s">
        <v>334</v>
      </c>
      <c r="DKP105" s="33" t="s">
        <v>334</v>
      </c>
      <c r="DKQ105" s="33" t="s">
        <v>334</v>
      </c>
      <c r="DKR105" s="33" t="s">
        <v>334</v>
      </c>
      <c r="DKS105" s="33" t="s">
        <v>334</v>
      </c>
      <c r="DKT105" s="33" t="s">
        <v>334</v>
      </c>
      <c r="DKU105" s="33" t="s">
        <v>334</v>
      </c>
      <c r="DKV105" s="33" t="s">
        <v>334</v>
      </c>
      <c r="DKW105" s="33" t="s">
        <v>334</v>
      </c>
      <c r="DKX105" s="33" t="s">
        <v>334</v>
      </c>
      <c r="DKY105" s="33" t="s">
        <v>334</v>
      </c>
      <c r="DKZ105" s="33" t="s">
        <v>334</v>
      </c>
      <c r="DLA105" s="33" t="s">
        <v>334</v>
      </c>
      <c r="DLB105" s="33" t="s">
        <v>334</v>
      </c>
      <c r="DLC105" s="33" t="s">
        <v>334</v>
      </c>
      <c r="DLD105" s="33" t="s">
        <v>334</v>
      </c>
      <c r="DLE105" s="33" t="s">
        <v>334</v>
      </c>
      <c r="DLF105" s="33" t="s">
        <v>334</v>
      </c>
      <c r="DLG105" s="33" t="s">
        <v>334</v>
      </c>
      <c r="DLH105" s="33" t="s">
        <v>334</v>
      </c>
      <c r="DLI105" s="33" t="s">
        <v>334</v>
      </c>
      <c r="DLJ105" s="33" t="s">
        <v>334</v>
      </c>
      <c r="DLK105" s="33" t="s">
        <v>334</v>
      </c>
      <c r="DLL105" s="33" t="s">
        <v>334</v>
      </c>
      <c r="DLM105" s="33" t="s">
        <v>334</v>
      </c>
      <c r="DLN105" s="33" t="s">
        <v>334</v>
      </c>
      <c r="DLO105" s="33" t="s">
        <v>334</v>
      </c>
      <c r="DLP105" s="33" t="s">
        <v>334</v>
      </c>
      <c r="DLQ105" s="33" t="s">
        <v>334</v>
      </c>
      <c r="DLR105" s="33" t="s">
        <v>334</v>
      </c>
      <c r="DLS105" s="33" t="s">
        <v>334</v>
      </c>
      <c r="DLT105" s="33" t="s">
        <v>334</v>
      </c>
      <c r="DLU105" s="33" t="s">
        <v>334</v>
      </c>
      <c r="DLV105" s="33" t="s">
        <v>334</v>
      </c>
      <c r="DLW105" s="33" t="s">
        <v>334</v>
      </c>
      <c r="DLX105" s="33" t="s">
        <v>334</v>
      </c>
      <c r="DLY105" s="33" t="s">
        <v>334</v>
      </c>
      <c r="DLZ105" s="33" t="s">
        <v>334</v>
      </c>
      <c r="DMA105" s="33" t="s">
        <v>334</v>
      </c>
      <c r="DMB105" s="33" t="s">
        <v>334</v>
      </c>
      <c r="DMC105" s="33" t="s">
        <v>334</v>
      </c>
      <c r="DMD105" s="33" t="s">
        <v>334</v>
      </c>
      <c r="DME105" s="33" t="s">
        <v>334</v>
      </c>
      <c r="DMF105" s="33" t="s">
        <v>334</v>
      </c>
      <c r="DMG105" s="33" t="s">
        <v>334</v>
      </c>
      <c r="DMH105" s="33" t="s">
        <v>334</v>
      </c>
      <c r="DMI105" s="33" t="s">
        <v>334</v>
      </c>
      <c r="DMJ105" s="33" t="s">
        <v>334</v>
      </c>
      <c r="DMK105" s="33" t="s">
        <v>334</v>
      </c>
      <c r="DML105" s="33" t="s">
        <v>334</v>
      </c>
      <c r="DMM105" s="33" t="s">
        <v>334</v>
      </c>
      <c r="DMN105" s="33" t="s">
        <v>334</v>
      </c>
      <c r="DMO105" s="33" t="s">
        <v>334</v>
      </c>
      <c r="DMP105" s="33" t="s">
        <v>334</v>
      </c>
      <c r="DMQ105" s="33" t="s">
        <v>334</v>
      </c>
      <c r="DMR105" s="33" t="s">
        <v>334</v>
      </c>
      <c r="DMS105" s="33" t="s">
        <v>334</v>
      </c>
      <c r="DMT105" s="33" t="s">
        <v>334</v>
      </c>
      <c r="DMU105" s="33" t="s">
        <v>334</v>
      </c>
      <c r="DMV105" s="33" t="s">
        <v>334</v>
      </c>
      <c r="DMW105" s="33" t="s">
        <v>334</v>
      </c>
      <c r="DMX105" s="33" t="s">
        <v>334</v>
      </c>
      <c r="DMY105" s="33" t="s">
        <v>334</v>
      </c>
      <c r="DMZ105" s="33" t="s">
        <v>334</v>
      </c>
      <c r="DNA105" s="33" t="s">
        <v>334</v>
      </c>
      <c r="DNB105" s="33" t="s">
        <v>334</v>
      </c>
      <c r="DNC105" s="33" t="s">
        <v>334</v>
      </c>
      <c r="DND105" s="33" t="s">
        <v>334</v>
      </c>
      <c r="DNE105" s="33" t="s">
        <v>334</v>
      </c>
      <c r="DNF105" s="33" t="s">
        <v>334</v>
      </c>
      <c r="DNG105" s="33" t="s">
        <v>334</v>
      </c>
      <c r="DNH105" s="33" t="s">
        <v>334</v>
      </c>
      <c r="DNI105" s="33" t="s">
        <v>334</v>
      </c>
      <c r="DNJ105" s="33" t="s">
        <v>334</v>
      </c>
      <c r="DNK105" s="33" t="s">
        <v>334</v>
      </c>
      <c r="DNL105" s="33" t="s">
        <v>334</v>
      </c>
      <c r="DNM105" s="33" t="s">
        <v>334</v>
      </c>
      <c r="DNN105" s="33" t="s">
        <v>334</v>
      </c>
      <c r="DNO105" s="33" t="s">
        <v>334</v>
      </c>
      <c r="DNP105" s="33" t="s">
        <v>334</v>
      </c>
      <c r="DNQ105" s="33" t="s">
        <v>334</v>
      </c>
      <c r="DNR105" s="33" t="s">
        <v>334</v>
      </c>
      <c r="DNS105" s="33" t="s">
        <v>334</v>
      </c>
      <c r="DNT105" s="33" t="s">
        <v>334</v>
      </c>
      <c r="DNU105" s="33" t="s">
        <v>334</v>
      </c>
      <c r="DNV105" s="33" t="s">
        <v>334</v>
      </c>
      <c r="DNW105" s="33" t="s">
        <v>334</v>
      </c>
      <c r="DNX105" s="33" t="s">
        <v>334</v>
      </c>
      <c r="DNY105" s="33" t="s">
        <v>334</v>
      </c>
      <c r="DNZ105" s="33" t="s">
        <v>334</v>
      </c>
      <c r="DOA105" s="33" t="s">
        <v>334</v>
      </c>
      <c r="DOB105" s="33" t="s">
        <v>334</v>
      </c>
      <c r="DOC105" s="33" t="s">
        <v>334</v>
      </c>
      <c r="DOD105" s="33" t="s">
        <v>334</v>
      </c>
      <c r="DOE105" s="33" t="s">
        <v>334</v>
      </c>
      <c r="DOF105" s="33" t="s">
        <v>334</v>
      </c>
      <c r="DOG105" s="33" t="s">
        <v>334</v>
      </c>
      <c r="DOH105" s="33" t="s">
        <v>334</v>
      </c>
      <c r="DOI105" s="33" t="s">
        <v>334</v>
      </c>
      <c r="DOJ105" s="33" t="s">
        <v>334</v>
      </c>
      <c r="DOK105" s="33" t="s">
        <v>334</v>
      </c>
      <c r="DOL105" s="33" t="s">
        <v>334</v>
      </c>
      <c r="DOM105" s="33" t="s">
        <v>334</v>
      </c>
      <c r="DON105" s="33" t="s">
        <v>334</v>
      </c>
      <c r="DOO105" s="33" t="s">
        <v>334</v>
      </c>
      <c r="DOP105" s="33" t="s">
        <v>334</v>
      </c>
      <c r="DOQ105" s="33" t="s">
        <v>334</v>
      </c>
      <c r="DOR105" s="33" t="s">
        <v>334</v>
      </c>
      <c r="DOS105" s="33" t="s">
        <v>334</v>
      </c>
      <c r="DOT105" s="33" t="s">
        <v>334</v>
      </c>
      <c r="DOU105" s="33" t="s">
        <v>334</v>
      </c>
      <c r="DOV105" s="33" t="s">
        <v>334</v>
      </c>
      <c r="DOW105" s="33" t="s">
        <v>334</v>
      </c>
      <c r="DOX105" s="33" t="s">
        <v>334</v>
      </c>
      <c r="DOY105" s="33" t="s">
        <v>334</v>
      </c>
      <c r="DOZ105" s="33" t="s">
        <v>334</v>
      </c>
      <c r="DPA105" s="33" t="s">
        <v>334</v>
      </c>
      <c r="DPB105" s="33" t="s">
        <v>334</v>
      </c>
      <c r="DPC105" s="33" t="s">
        <v>334</v>
      </c>
      <c r="DPD105" s="33" t="s">
        <v>334</v>
      </c>
      <c r="DPE105" s="33" t="s">
        <v>334</v>
      </c>
      <c r="DPF105" s="33" t="s">
        <v>334</v>
      </c>
      <c r="DPG105" s="33" t="s">
        <v>334</v>
      </c>
      <c r="DPH105" s="33" t="s">
        <v>334</v>
      </c>
      <c r="DPI105" s="33" t="s">
        <v>334</v>
      </c>
      <c r="DPJ105" s="33" t="s">
        <v>334</v>
      </c>
      <c r="DPK105" s="33" t="s">
        <v>334</v>
      </c>
      <c r="DPL105" s="33" t="s">
        <v>334</v>
      </c>
      <c r="DPM105" s="33" t="s">
        <v>334</v>
      </c>
      <c r="DPN105" s="33" t="s">
        <v>334</v>
      </c>
      <c r="DPO105" s="33" t="s">
        <v>334</v>
      </c>
      <c r="DPP105" s="33" t="s">
        <v>334</v>
      </c>
      <c r="DPQ105" s="33" t="s">
        <v>334</v>
      </c>
      <c r="DPR105" s="33" t="s">
        <v>334</v>
      </c>
      <c r="DPS105" s="33" t="s">
        <v>334</v>
      </c>
      <c r="DPT105" s="33" t="s">
        <v>334</v>
      </c>
      <c r="DPU105" s="33" t="s">
        <v>334</v>
      </c>
      <c r="DPV105" s="33" t="s">
        <v>334</v>
      </c>
      <c r="DPW105" s="33" t="s">
        <v>334</v>
      </c>
      <c r="DPX105" s="33" t="s">
        <v>334</v>
      </c>
      <c r="DPY105" s="33" t="s">
        <v>334</v>
      </c>
      <c r="DPZ105" s="33" t="s">
        <v>334</v>
      </c>
      <c r="DQA105" s="33" t="s">
        <v>334</v>
      </c>
      <c r="DQB105" s="33" t="s">
        <v>334</v>
      </c>
      <c r="DQC105" s="33" t="s">
        <v>334</v>
      </c>
      <c r="DQD105" s="33" t="s">
        <v>334</v>
      </c>
      <c r="DQE105" s="33" t="s">
        <v>334</v>
      </c>
      <c r="DQF105" s="33" t="s">
        <v>334</v>
      </c>
      <c r="DQG105" s="33" t="s">
        <v>334</v>
      </c>
      <c r="DQH105" s="33" t="s">
        <v>334</v>
      </c>
      <c r="DQI105" s="33" t="s">
        <v>334</v>
      </c>
      <c r="DQJ105" s="33" t="s">
        <v>334</v>
      </c>
      <c r="DQK105" s="33" t="s">
        <v>334</v>
      </c>
      <c r="DQL105" s="33" t="s">
        <v>334</v>
      </c>
      <c r="DQM105" s="33" t="s">
        <v>334</v>
      </c>
      <c r="DQN105" s="33" t="s">
        <v>334</v>
      </c>
      <c r="DQO105" s="33" t="s">
        <v>334</v>
      </c>
      <c r="DQP105" s="33" t="s">
        <v>334</v>
      </c>
      <c r="DQQ105" s="33" t="s">
        <v>334</v>
      </c>
      <c r="DQR105" s="33" t="s">
        <v>334</v>
      </c>
      <c r="DQS105" s="33" t="s">
        <v>334</v>
      </c>
      <c r="DQT105" s="33" t="s">
        <v>334</v>
      </c>
      <c r="DQU105" s="33" t="s">
        <v>334</v>
      </c>
      <c r="DQV105" s="33" t="s">
        <v>334</v>
      </c>
      <c r="DQW105" s="33" t="s">
        <v>334</v>
      </c>
      <c r="DQX105" s="33" t="s">
        <v>334</v>
      </c>
      <c r="DQY105" s="33" t="s">
        <v>334</v>
      </c>
      <c r="DQZ105" s="33" t="s">
        <v>334</v>
      </c>
      <c r="DRA105" s="33" t="s">
        <v>334</v>
      </c>
      <c r="DRB105" s="33" t="s">
        <v>334</v>
      </c>
      <c r="DRC105" s="33" t="s">
        <v>334</v>
      </c>
      <c r="DRD105" s="33" t="s">
        <v>334</v>
      </c>
      <c r="DRE105" s="33" t="s">
        <v>334</v>
      </c>
      <c r="DRF105" s="33" t="s">
        <v>334</v>
      </c>
      <c r="DRG105" s="33" t="s">
        <v>334</v>
      </c>
      <c r="DRH105" s="33" t="s">
        <v>334</v>
      </c>
      <c r="DRI105" s="33" t="s">
        <v>334</v>
      </c>
      <c r="DRJ105" s="33" t="s">
        <v>334</v>
      </c>
      <c r="DRK105" s="33" t="s">
        <v>334</v>
      </c>
      <c r="DRL105" s="33" t="s">
        <v>334</v>
      </c>
      <c r="DRM105" s="33" t="s">
        <v>334</v>
      </c>
      <c r="DRN105" s="33" t="s">
        <v>334</v>
      </c>
      <c r="DRO105" s="33" t="s">
        <v>334</v>
      </c>
      <c r="DRP105" s="33" t="s">
        <v>334</v>
      </c>
      <c r="DRQ105" s="33" t="s">
        <v>334</v>
      </c>
      <c r="DRR105" s="33" t="s">
        <v>334</v>
      </c>
      <c r="DRS105" s="33" t="s">
        <v>334</v>
      </c>
      <c r="DRT105" s="33" t="s">
        <v>334</v>
      </c>
      <c r="DRU105" s="33" t="s">
        <v>334</v>
      </c>
      <c r="DRV105" s="33" t="s">
        <v>334</v>
      </c>
      <c r="DRW105" s="33" t="s">
        <v>334</v>
      </c>
      <c r="DRX105" s="33" t="s">
        <v>334</v>
      </c>
      <c r="DRY105" s="33" t="s">
        <v>334</v>
      </c>
      <c r="DRZ105" s="33" t="s">
        <v>334</v>
      </c>
      <c r="DSA105" s="33" t="s">
        <v>334</v>
      </c>
      <c r="DSB105" s="33" t="s">
        <v>334</v>
      </c>
      <c r="DSC105" s="33" t="s">
        <v>334</v>
      </c>
      <c r="DSD105" s="33" t="s">
        <v>334</v>
      </c>
      <c r="DSE105" s="33" t="s">
        <v>334</v>
      </c>
      <c r="DSF105" s="33" t="s">
        <v>334</v>
      </c>
      <c r="DSG105" s="33" t="s">
        <v>334</v>
      </c>
      <c r="DSH105" s="33" t="s">
        <v>334</v>
      </c>
      <c r="DSI105" s="33" t="s">
        <v>334</v>
      </c>
      <c r="DSJ105" s="33" t="s">
        <v>334</v>
      </c>
      <c r="DSK105" s="33" t="s">
        <v>334</v>
      </c>
      <c r="DSL105" s="33" t="s">
        <v>334</v>
      </c>
      <c r="DSM105" s="33" t="s">
        <v>334</v>
      </c>
      <c r="DSN105" s="33" t="s">
        <v>334</v>
      </c>
      <c r="DSO105" s="33" t="s">
        <v>334</v>
      </c>
      <c r="DSP105" s="33" t="s">
        <v>334</v>
      </c>
      <c r="DSQ105" s="33" t="s">
        <v>334</v>
      </c>
      <c r="DSR105" s="33" t="s">
        <v>334</v>
      </c>
      <c r="DSS105" s="33" t="s">
        <v>334</v>
      </c>
      <c r="DST105" s="33" t="s">
        <v>334</v>
      </c>
      <c r="DSU105" s="33" t="s">
        <v>334</v>
      </c>
      <c r="DSV105" s="33" t="s">
        <v>334</v>
      </c>
      <c r="DSW105" s="33" t="s">
        <v>334</v>
      </c>
      <c r="DSX105" s="33" t="s">
        <v>334</v>
      </c>
      <c r="DSY105" s="33" t="s">
        <v>334</v>
      </c>
      <c r="DSZ105" s="33" t="s">
        <v>334</v>
      </c>
      <c r="DTA105" s="33" t="s">
        <v>334</v>
      </c>
      <c r="DTB105" s="33" t="s">
        <v>334</v>
      </c>
      <c r="DTC105" s="33" t="s">
        <v>334</v>
      </c>
      <c r="DTD105" s="33" t="s">
        <v>334</v>
      </c>
      <c r="DTE105" s="33" t="s">
        <v>334</v>
      </c>
      <c r="DTF105" s="33" t="s">
        <v>334</v>
      </c>
      <c r="DTG105" s="33" t="s">
        <v>334</v>
      </c>
      <c r="DTH105" s="33" t="s">
        <v>334</v>
      </c>
      <c r="DTI105" s="33" t="s">
        <v>334</v>
      </c>
      <c r="DTJ105" s="33" t="s">
        <v>334</v>
      </c>
      <c r="DTK105" s="33" t="s">
        <v>334</v>
      </c>
      <c r="DTL105" s="33" t="s">
        <v>334</v>
      </c>
      <c r="DTM105" s="33" t="s">
        <v>334</v>
      </c>
      <c r="DTN105" s="33" t="s">
        <v>334</v>
      </c>
      <c r="DTO105" s="33" t="s">
        <v>334</v>
      </c>
      <c r="DTP105" s="33" t="s">
        <v>334</v>
      </c>
      <c r="DTQ105" s="33" t="s">
        <v>334</v>
      </c>
      <c r="DTR105" s="33" t="s">
        <v>334</v>
      </c>
      <c r="DTS105" s="33" t="s">
        <v>334</v>
      </c>
      <c r="DTT105" s="33" t="s">
        <v>334</v>
      </c>
      <c r="DTU105" s="33" t="s">
        <v>334</v>
      </c>
      <c r="DTV105" s="33" t="s">
        <v>334</v>
      </c>
      <c r="DTW105" s="33" t="s">
        <v>334</v>
      </c>
      <c r="DTX105" s="33" t="s">
        <v>334</v>
      </c>
      <c r="DTY105" s="33" t="s">
        <v>334</v>
      </c>
      <c r="DTZ105" s="33" t="s">
        <v>334</v>
      </c>
      <c r="DUA105" s="33" t="s">
        <v>334</v>
      </c>
      <c r="DUB105" s="33" t="s">
        <v>334</v>
      </c>
      <c r="DUC105" s="33" t="s">
        <v>334</v>
      </c>
      <c r="DUD105" s="33" t="s">
        <v>334</v>
      </c>
      <c r="DUE105" s="33" t="s">
        <v>334</v>
      </c>
      <c r="DUF105" s="33" t="s">
        <v>334</v>
      </c>
      <c r="DUG105" s="33" t="s">
        <v>334</v>
      </c>
      <c r="DUH105" s="33" t="s">
        <v>334</v>
      </c>
      <c r="DUI105" s="33" t="s">
        <v>334</v>
      </c>
      <c r="DUJ105" s="33" t="s">
        <v>334</v>
      </c>
      <c r="DUK105" s="33" t="s">
        <v>334</v>
      </c>
      <c r="DUL105" s="33" t="s">
        <v>334</v>
      </c>
      <c r="DUM105" s="33" t="s">
        <v>334</v>
      </c>
      <c r="DUN105" s="33" t="s">
        <v>334</v>
      </c>
      <c r="DUO105" s="33" t="s">
        <v>334</v>
      </c>
      <c r="DUP105" s="33" t="s">
        <v>334</v>
      </c>
      <c r="DUQ105" s="33" t="s">
        <v>334</v>
      </c>
      <c r="DUR105" s="33" t="s">
        <v>334</v>
      </c>
      <c r="DUS105" s="33" t="s">
        <v>334</v>
      </c>
      <c r="DUT105" s="33" t="s">
        <v>334</v>
      </c>
      <c r="DUU105" s="33" t="s">
        <v>334</v>
      </c>
      <c r="DUV105" s="33" t="s">
        <v>334</v>
      </c>
      <c r="DUW105" s="33" t="s">
        <v>334</v>
      </c>
      <c r="DUX105" s="33" t="s">
        <v>334</v>
      </c>
      <c r="DUY105" s="33" t="s">
        <v>334</v>
      </c>
      <c r="DUZ105" s="33" t="s">
        <v>334</v>
      </c>
      <c r="DVA105" s="33" t="s">
        <v>334</v>
      </c>
      <c r="DVB105" s="33" t="s">
        <v>334</v>
      </c>
      <c r="DVC105" s="33" t="s">
        <v>334</v>
      </c>
      <c r="DVD105" s="33" t="s">
        <v>334</v>
      </c>
      <c r="DVE105" s="33" t="s">
        <v>334</v>
      </c>
      <c r="DVF105" s="33" t="s">
        <v>334</v>
      </c>
      <c r="DVG105" s="33" t="s">
        <v>334</v>
      </c>
      <c r="DVH105" s="33" t="s">
        <v>334</v>
      </c>
      <c r="DVI105" s="33" t="s">
        <v>334</v>
      </c>
      <c r="DVJ105" s="33" t="s">
        <v>334</v>
      </c>
      <c r="DVK105" s="33" t="s">
        <v>334</v>
      </c>
      <c r="DVL105" s="33" t="s">
        <v>334</v>
      </c>
      <c r="DVM105" s="33" t="s">
        <v>334</v>
      </c>
      <c r="DVN105" s="33" t="s">
        <v>334</v>
      </c>
      <c r="DVO105" s="33" t="s">
        <v>334</v>
      </c>
      <c r="DVP105" s="33" t="s">
        <v>334</v>
      </c>
      <c r="DVQ105" s="33" t="s">
        <v>334</v>
      </c>
      <c r="DVR105" s="33" t="s">
        <v>334</v>
      </c>
      <c r="DVS105" s="33" t="s">
        <v>334</v>
      </c>
      <c r="DVT105" s="33" t="s">
        <v>334</v>
      </c>
      <c r="DVU105" s="33" t="s">
        <v>334</v>
      </c>
      <c r="DVV105" s="33" t="s">
        <v>334</v>
      </c>
      <c r="DVW105" s="33" t="s">
        <v>334</v>
      </c>
      <c r="DVX105" s="33" t="s">
        <v>334</v>
      </c>
      <c r="DVY105" s="33" t="s">
        <v>334</v>
      </c>
      <c r="DVZ105" s="33" t="s">
        <v>334</v>
      </c>
      <c r="DWA105" s="33" t="s">
        <v>334</v>
      </c>
      <c r="DWB105" s="33" t="s">
        <v>334</v>
      </c>
      <c r="DWC105" s="33" t="s">
        <v>334</v>
      </c>
      <c r="DWD105" s="33" t="s">
        <v>334</v>
      </c>
      <c r="DWE105" s="33" t="s">
        <v>334</v>
      </c>
      <c r="DWF105" s="33" t="s">
        <v>334</v>
      </c>
      <c r="DWG105" s="33" t="s">
        <v>334</v>
      </c>
      <c r="DWH105" s="33" t="s">
        <v>334</v>
      </c>
      <c r="DWI105" s="33" t="s">
        <v>334</v>
      </c>
      <c r="DWJ105" s="33" t="s">
        <v>334</v>
      </c>
      <c r="DWK105" s="33" t="s">
        <v>334</v>
      </c>
      <c r="DWL105" s="33" t="s">
        <v>334</v>
      </c>
      <c r="DWM105" s="33" t="s">
        <v>334</v>
      </c>
      <c r="DWN105" s="33" t="s">
        <v>334</v>
      </c>
      <c r="DWO105" s="33" t="s">
        <v>334</v>
      </c>
      <c r="DWP105" s="33" t="s">
        <v>334</v>
      </c>
      <c r="DWQ105" s="33" t="s">
        <v>334</v>
      </c>
      <c r="DWR105" s="33" t="s">
        <v>334</v>
      </c>
      <c r="DWS105" s="33" t="s">
        <v>334</v>
      </c>
      <c r="DWT105" s="33" t="s">
        <v>334</v>
      </c>
      <c r="DWU105" s="33" t="s">
        <v>334</v>
      </c>
      <c r="DWV105" s="33" t="s">
        <v>334</v>
      </c>
      <c r="DWW105" s="33" t="s">
        <v>334</v>
      </c>
      <c r="DWX105" s="33" t="s">
        <v>334</v>
      </c>
      <c r="DWY105" s="33" t="s">
        <v>334</v>
      </c>
      <c r="DWZ105" s="33" t="s">
        <v>334</v>
      </c>
      <c r="DXA105" s="33" t="s">
        <v>334</v>
      </c>
      <c r="DXB105" s="33" t="s">
        <v>334</v>
      </c>
      <c r="DXC105" s="33" t="s">
        <v>334</v>
      </c>
      <c r="DXD105" s="33" t="s">
        <v>334</v>
      </c>
      <c r="DXE105" s="33" t="s">
        <v>334</v>
      </c>
      <c r="DXF105" s="33" t="s">
        <v>334</v>
      </c>
      <c r="DXG105" s="33" t="s">
        <v>334</v>
      </c>
      <c r="DXH105" s="33" t="s">
        <v>334</v>
      </c>
      <c r="DXI105" s="33" t="s">
        <v>334</v>
      </c>
      <c r="DXJ105" s="33" t="s">
        <v>334</v>
      </c>
      <c r="DXK105" s="33" t="s">
        <v>334</v>
      </c>
      <c r="DXL105" s="33" t="s">
        <v>334</v>
      </c>
      <c r="DXM105" s="33" t="s">
        <v>334</v>
      </c>
      <c r="DXN105" s="33" t="s">
        <v>334</v>
      </c>
      <c r="DXO105" s="33" t="s">
        <v>334</v>
      </c>
      <c r="DXP105" s="33" t="s">
        <v>334</v>
      </c>
      <c r="DXQ105" s="33" t="s">
        <v>334</v>
      </c>
      <c r="DXR105" s="33" t="s">
        <v>334</v>
      </c>
      <c r="DXS105" s="33" t="s">
        <v>334</v>
      </c>
      <c r="DXT105" s="33" t="s">
        <v>334</v>
      </c>
      <c r="DXU105" s="33" t="s">
        <v>334</v>
      </c>
      <c r="DXV105" s="33" t="s">
        <v>334</v>
      </c>
      <c r="DXW105" s="33" t="s">
        <v>334</v>
      </c>
      <c r="DXX105" s="33" t="s">
        <v>334</v>
      </c>
      <c r="DXY105" s="33" t="s">
        <v>334</v>
      </c>
      <c r="DXZ105" s="33" t="s">
        <v>334</v>
      </c>
      <c r="DYA105" s="33" t="s">
        <v>334</v>
      </c>
      <c r="DYB105" s="33" t="s">
        <v>334</v>
      </c>
      <c r="DYC105" s="33" t="s">
        <v>334</v>
      </c>
      <c r="DYD105" s="33" t="s">
        <v>334</v>
      </c>
      <c r="DYE105" s="33" t="s">
        <v>334</v>
      </c>
      <c r="DYF105" s="33" t="s">
        <v>334</v>
      </c>
      <c r="DYG105" s="33" t="s">
        <v>334</v>
      </c>
      <c r="DYH105" s="33" t="s">
        <v>334</v>
      </c>
      <c r="DYI105" s="33" t="s">
        <v>334</v>
      </c>
      <c r="DYJ105" s="33" t="s">
        <v>334</v>
      </c>
      <c r="DYK105" s="33" t="s">
        <v>334</v>
      </c>
      <c r="DYL105" s="33" t="s">
        <v>334</v>
      </c>
      <c r="DYM105" s="33" t="s">
        <v>334</v>
      </c>
      <c r="DYN105" s="33" t="s">
        <v>334</v>
      </c>
      <c r="DYO105" s="33" t="s">
        <v>334</v>
      </c>
      <c r="DYP105" s="33" t="s">
        <v>334</v>
      </c>
      <c r="DYQ105" s="33" t="s">
        <v>334</v>
      </c>
      <c r="DYR105" s="33" t="s">
        <v>334</v>
      </c>
      <c r="DYS105" s="33" t="s">
        <v>334</v>
      </c>
      <c r="DYT105" s="33" t="s">
        <v>334</v>
      </c>
      <c r="DYU105" s="33" t="s">
        <v>334</v>
      </c>
      <c r="DYV105" s="33" t="s">
        <v>334</v>
      </c>
      <c r="DYW105" s="33" t="s">
        <v>334</v>
      </c>
      <c r="DYX105" s="33" t="s">
        <v>334</v>
      </c>
      <c r="DYY105" s="33" t="s">
        <v>334</v>
      </c>
      <c r="DYZ105" s="33" t="s">
        <v>334</v>
      </c>
      <c r="DZA105" s="33" t="s">
        <v>334</v>
      </c>
      <c r="DZB105" s="33" t="s">
        <v>334</v>
      </c>
      <c r="DZC105" s="33" t="s">
        <v>334</v>
      </c>
      <c r="DZD105" s="33" t="s">
        <v>334</v>
      </c>
      <c r="DZE105" s="33" t="s">
        <v>334</v>
      </c>
      <c r="DZF105" s="33" t="s">
        <v>334</v>
      </c>
      <c r="DZG105" s="33" t="s">
        <v>334</v>
      </c>
      <c r="DZH105" s="33" t="s">
        <v>334</v>
      </c>
      <c r="DZI105" s="33" t="s">
        <v>334</v>
      </c>
      <c r="DZJ105" s="33" t="s">
        <v>334</v>
      </c>
      <c r="DZK105" s="33" t="s">
        <v>334</v>
      </c>
      <c r="DZL105" s="33" t="s">
        <v>334</v>
      </c>
      <c r="DZM105" s="33" t="s">
        <v>334</v>
      </c>
      <c r="DZN105" s="33" t="s">
        <v>334</v>
      </c>
      <c r="DZO105" s="33" t="s">
        <v>334</v>
      </c>
      <c r="DZP105" s="33" t="s">
        <v>334</v>
      </c>
      <c r="DZQ105" s="33" t="s">
        <v>334</v>
      </c>
      <c r="DZR105" s="33" t="s">
        <v>334</v>
      </c>
      <c r="DZS105" s="33" t="s">
        <v>334</v>
      </c>
      <c r="DZT105" s="33" t="s">
        <v>334</v>
      </c>
      <c r="DZU105" s="33" t="s">
        <v>334</v>
      </c>
      <c r="DZV105" s="33" t="s">
        <v>334</v>
      </c>
      <c r="DZW105" s="33" t="s">
        <v>334</v>
      </c>
      <c r="DZX105" s="33" t="s">
        <v>334</v>
      </c>
      <c r="DZY105" s="33" t="s">
        <v>334</v>
      </c>
      <c r="DZZ105" s="33" t="s">
        <v>334</v>
      </c>
      <c r="EAA105" s="33" t="s">
        <v>334</v>
      </c>
      <c r="EAB105" s="33" t="s">
        <v>334</v>
      </c>
      <c r="EAC105" s="33" t="s">
        <v>334</v>
      </c>
      <c r="EAD105" s="33" t="s">
        <v>334</v>
      </c>
      <c r="EAE105" s="33" t="s">
        <v>334</v>
      </c>
      <c r="EAF105" s="33" t="s">
        <v>334</v>
      </c>
      <c r="EAG105" s="33" t="s">
        <v>334</v>
      </c>
      <c r="EAH105" s="33" t="s">
        <v>334</v>
      </c>
      <c r="EAI105" s="33" t="s">
        <v>334</v>
      </c>
      <c r="EAJ105" s="33" t="s">
        <v>334</v>
      </c>
      <c r="EAK105" s="33" t="s">
        <v>334</v>
      </c>
      <c r="EAL105" s="33" t="s">
        <v>334</v>
      </c>
      <c r="EAM105" s="33" t="s">
        <v>334</v>
      </c>
      <c r="EAN105" s="33" t="s">
        <v>334</v>
      </c>
      <c r="EAO105" s="33" t="s">
        <v>334</v>
      </c>
      <c r="EAP105" s="33" t="s">
        <v>334</v>
      </c>
      <c r="EAQ105" s="33" t="s">
        <v>334</v>
      </c>
      <c r="EAR105" s="33" t="s">
        <v>334</v>
      </c>
      <c r="EAS105" s="33" t="s">
        <v>334</v>
      </c>
      <c r="EAT105" s="33" t="s">
        <v>334</v>
      </c>
      <c r="EAU105" s="33" t="s">
        <v>334</v>
      </c>
      <c r="EAV105" s="33" t="s">
        <v>334</v>
      </c>
      <c r="EAW105" s="33" t="s">
        <v>334</v>
      </c>
      <c r="EAX105" s="33" t="s">
        <v>334</v>
      </c>
      <c r="EAY105" s="33" t="s">
        <v>334</v>
      </c>
      <c r="EAZ105" s="33" t="s">
        <v>334</v>
      </c>
      <c r="EBA105" s="33" t="s">
        <v>334</v>
      </c>
      <c r="EBB105" s="33" t="s">
        <v>334</v>
      </c>
      <c r="EBC105" s="33" t="s">
        <v>334</v>
      </c>
      <c r="EBD105" s="33" t="s">
        <v>334</v>
      </c>
      <c r="EBE105" s="33" t="s">
        <v>334</v>
      </c>
      <c r="EBF105" s="33" t="s">
        <v>334</v>
      </c>
      <c r="EBG105" s="33" t="s">
        <v>334</v>
      </c>
      <c r="EBH105" s="33" t="s">
        <v>334</v>
      </c>
      <c r="EBI105" s="33" t="s">
        <v>334</v>
      </c>
      <c r="EBJ105" s="33" t="s">
        <v>334</v>
      </c>
      <c r="EBK105" s="33" t="s">
        <v>334</v>
      </c>
      <c r="EBL105" s="33" t="s">
        <v>334</v>
      </c>
      <c r="EBM105" s="33" t="s">
        <v>334</v>
      </c>
      <c r="EBN105" s="33" t="s">
        <v>334</v>
      </c>
      <c r="EBO105" s="33" t="s">
        <v>334</v>
      </c>
      <c r="EBP105" s="33" t="s">
        <v>334</v>
      </c>
      <c r="EBQ105" s="33" t="s">
        <v>334</v>
      </c>
      <c r="EBR105" s="33" t="s">
        <v>334</v>
      </c>
      <c r="EBS105" s="33" t="s">
        <v>334</v>
      </c>
      <c r="EBT105" s="33" t="s">
        <v>334</v>
      </c>
      <c r="EBU105" s="33" t="s">
        <v>334</v>
      </c>
      <c r="EBV105" s="33" t="s">
        <v>334</v>
      </c>
      <c r="EBW105" s="33" t="s">
        <v>334</v>
      </c>
      <c r="EBX105" s="33" t="s">
        <v>334</v>
      </c>
      <c r="EBY105" s="33" t="s">
        <v>334</v>
      </c>
      <c r="EBZ105" s="33" t="s">
        <v>334</v>
      </c>
      <c r="ECA105" s="33" t="s">
        <v>334</v>
      </c>
      <c r="ECB105" s="33" t="s">
        <v>334</v>
      </c>
      <c r="ECC105" s="33" t="s">
        <v>334</v>
      </c>
      <c r="ECD105" s="33" t="s">
        <v>334</v>
      </c>
      <c r="ECE105" s="33" t="s">
        <v>334</v>
      </c>
      <c r="ECF105" s="33" t="s">
        <v>334</v>
      </c>
      <c r="ECG105" s="33" t="s">
        <v>334</v>
      </c>
      <c r="ECH105" s="33" t="s">
        <v>334</v>
      </c>
      <c r="ECI105" s="33" t="s">
        <v>334</v>
      </c>
      <c r="ECJ105" s="33" t="s">
        <v>334</v>
      </c>
      <c r="ECK105" s="33" t="s">
        <v>334</v>
      </c>
      <c r="ECL105" s="33" t="s">
        <v>334</v>
      </c>
      <c r="ECM105" s="33" t="s">
        <v>334</v>
      </c>
      <c r="ECN105" s="33" t="s">
        <v>334</v>
      </c>
      <c r="ECO105" s="33" t="s">
        <v>334</v>
      </c>
      <c r="ECP105" s="33" t="s">
        <v>334</v>
      </c>
      <c r="ECQ105" s="33" t="s">
        <v>334</v>
      </c>
      <c r="ECR105" s="33" t="s">
        <v>334</v>
      </c>
      <c r="ECS105" s="33" t="s">
        <v>334</v>
      </c>
      <c r="ECT105" s="33" t="s">
        <v>334</v>
      </c>
      <c r="ECU105" s="33" t="s">
        <v>334</v>
      </c>
      <c r="ECV105" s="33" t="s">
        <v>334</v>
      </c>
      <c r="ECW105" s="33" t="s">
        <v>334</v>
      </c>
      <c r="ECX105" s="33" t="s">
        <v>334</v>
      </c>
      <c r="ECY105" s="33" t="s">
        <v>334</v>
      </c>
      <c r="ECZ105" s="33" t="s">
        <v>334</v>
      </c>
      <c r="EDA105" s="33" t="s">
        <v>334</v>
      </c>
      <c r="EDB105" s="33" t="s">
        <v>334</v>
      </c>
      <c r="EDC105" s="33" t="s">
        <v>334</v>
      </c>
      <c r="EDD105" s="33" t="s">
        <v>334</v>
      </c>
      <c r="EDE105" s="33" t="s">
        <v>334</v>
      </c>
      <c r="EDF105" s="33" t="s">
        <v>334</v>
      </c>
      <c r="EDG105" s="33" t="s">
        <v>334</v>
      </c>
      <c r="EDH105" s="33" t="s">
        <v>334</v>
      </c>
      <c r="EDI105" s="33" t="s">
        <v>334</v>
      </c>
      <c r="EDJ105" s="33" t="s">
        <v>334</v>
      </c>
      <c r="EDK105" s="33" t="s">
        <v>334</v>
      </c>
      <c r="EDL105" s="33" t="s">
        <v>334</v>
      </c>
      <c r="EDM105" s="33" t="s">
        <v>334</v>
      </c>
      <c r="EDN105" s="33" t="s">
        <v>334</v>
      </c>
      <c r="EDO105" s="33" t="s">
        <v>334</v>
      </c>
      <c r="EDP105" s="33" t="s">
        <v>334</v>
      </c>
      <c r="EDQ105" s="33" t="s">
        <v>334</v>
      </c>
      <c r="EDR105" s="33" t="s">
        <v>334</v>
      </c>
      <c r="EDS105" s="33" t="s">
        <v>334</v>
      </c>
      <c r="EDT105" s="33" t="s">
        <v>334</v>
      </c>
      <c r="EDU105" s="33" t="s">
        <v>334</v>
      </c>
      <c r="EDV105" s="33" t="s">
        <v>334</v>
      </c>
      <c r="EDW105" s="33" t="s">
        <v>334</v>
      </c>
      <c r="EDX105" s="33" t="s">
        <v>334</v>
      </c>
      <c r="EDY105" s="33" t="s">
        <v>334</v>
      </c>
      <c r="EDZ105" s="33" t="s">
        <v>334</v>
      </c>
      <c r="EEA105" s="33" t="s">
        <v>334</v>
      </c>
      <c r="EEB105" s="33" t="s">
        <v>334</v>
      </c>
      <c r="EEC105" s="33" t="s">
        <v>334</v>
      </c>
      <c r="EED105" s="33" t="s">
        <v>334</v>
      </c>
      <c r="EEE105" s="33" t="s">
        <v>334</v>
      </c>
      <c r="EEF105" s="33" t="s">
        <v>334</v>
      </c>
      <c r="EEG105" s="33" t="s">
        <v>334</v>
      </c>
      <c r="EEH105" s="33" t="s">
        <v>334</v>
      </c>
      <c r="EEI105" s="33" t="s">
        <v>334</v>
      </c>
      <c r="EEJ105" s="33" t="s">
        <v>334</v>
      </c>
      <c r="EEK105" s="33" t="s">
        <v>334</v>
      </c>
      <c r="EEL105" s="33" t="s">
        <v>334</v>
      </c>
      <c r="EEM105" s="33" t="s">
        <v>334</v>
      </c>
      <c r="EEN105" s="33" t="s">
        <v>334</v>
      </c>
      <c r="EEO105" s="33" t="s">
        <v>334</v>
      </c>
      <c r="EEP105" s="33" t="s">
        <v>334</v>
      </c>
      <c r="EEQ105" s="33" t="s">
        <v>334</v>
      </c>
      <c r="EER105" s="33" t="s">
        <v>334</v>
      </c>
      <c r="EES105" s="33" t="s">
        <v>334</v>
      </c>
      <c r="EET105" s="33" t="s">
        <v>334</v>
      </c>
      <c r="EEU105" s="33" t="s">
        <v>334</v>
      </c>
      <c r="EEV105" s="33" t="s">
        <v>334</v>
      </c>
      <c r="EEW105" s="33" t="s">
        <v>334</v>
      </c>
      <c r="EEX105" s="33" t="s">
        <v>334</v>
      </c>
      <c r="EEY105" s="33" t="s">
        <v>334</v>
      </c>
      <c r="EEZ105" s="33" t="s">
        <v>334</v>
      </c>
      <c r="EFA105" s="33" t="s">
        <v>334</v>
      </c>
      <c r="EFB105" s="33" t="s">
        <v>334</v>
      </c>
      <c r="EFC105" s="33" t="s">
        <v>334</v>
      </c>
      <c r="EFD105" s="33" t="s">
        <v>334</v>
      </c>
      <c r="EFE105" s="33" t="s">
        <v>334</v>
      </c>
      <c r="EFF105" s="33" t="s">
        <v>334</v>
      </c>
      <c r="EFG105" s="33" t="s">
        <v>334</v>
      </c>
      <c r="EFH105" s="33" t="s">
        <v>334</v>
      </c>
      <c r="EFI105" s="33" t="s">
        <v>334</v>
      </c>
      <c r="EFJ105" s="33" t="s">
        <v>334</v>
      </c>
      <c r="EFK105" s="33" t="s">
        <v>334</v>
      </c>
      <c r="EFL105" s="33" t="s">
        <v>334</v>
      </c>
      <c r="EFM105" s="33" t="s">
        <v>334</v>
      </c>
      <c r="EFN105" s="33" t="s">
        <v>334</v>
      </c>
      <c r="EFO105" s="33" t="s">
        <v>334</v>
      </c>
      <c r="EFP105" s="33" t="s">
        <v>334</v>
      </c>
      <c r="EFQ105" s="33" t="s">
        <v>334</v>
      </c>
      <c r="EFR105" s="33" t="s">
        <v>334</v>
      </c>
      <c r="EFS105" s="33" t="s">
        <v>334</v>
      </c>
      <c r="EFT105" s="33" t="s">
        <v>334</v>
      </c>
      <c r="EFU105" s="33" t="s">
        <v>334</v>
      </c>
      <c r="EFV105" s="33" t="s">
        <v>334</v>
      </c>
      <c r="EFW105" s="33" t="s">
        <v>334</v>
      </c>
      <c r="EFX105" s="33" t="s">
        <v>334</v>
      </c>
      <c r="EFY105" s="33" t="s">
        <v>334</v>
      </c>
      <c r="EFZ105" s="33" t="s">
        <v>334</v>
      </c>
      <c r="EGA105" s="33" t="s">
        <v>334</v>
      </c>
      <c r="EGB105" s="33" t="s">
        <v>334</v>
      </c>
      <c r="EGC105" s="33" t="s">
        <v>334</v>
      </c>
      <c r="EGD105" s="33" t="s">
        <v>334</v>
      </c>
      <c r="EGE105" s="33" t="s">
        <v>334</v>
      </c>
      <c r="EGF105" s="33" t="s">
        <v>334</v>
      </c>
      <c r="EGG105" s="33" t="s">
        <v>334</v>
      </c>
      <c r="EGH105" s="33" t="s">
        <v>334</v>
      </c>
      <c r="EGI105" s="33" t="s">
        <v>334</v>
      </c>
      <c r="EGJ105" s="33" t="s">
        <v>334</v>
      </c>
      <c r="EGK105" s="33" t="s">
        <v>334</v>
      </c>
      <c r="EGL105" s="33" t="s">
        <v>334</v>
      </c>
      <c r="EGM105" s="33" t="s">
        <v>334</v>
      </c>
      <c r="EGN105" s="33" t="s">
        <v>334</v>
      </c>
      <c r="EGO105" s="33" t="s">
        <v>334</v>
      </c>
      <c r="EGP105" s="33" t="s">
        <v>334</v>
      </c>
      <c r="EGQ105" s="33" t="s">
        <v>334</v>
      </c>
      <c r="EGR105" s="33" t="s">
        <v>334</v>
      </c>
      <c r="EGS105" s="33" t="s">
        <v>334</v>
      </c>
      <c r="EGT105" s="33" t="s">
        <v>334</v>
      </c>
      <c r="EGU105" s="33" t="s">
        <v>334</v>
      </c>
      <c r="EGV105" s="33" t="s">
        <v>334</v>
      </c>
      <c r="EGW105" s="33" t="s">
        <v>334</v>
      </c>
      <c r="EGX105" s="33" t="s">
        <v>334</v>
      </c>
      <c r="EGY105" s="33" t="s">
        <v>334</v>
      </c>
      <c r="EGZ105" s="33" t="s">
        <v>334</v>
      </c>
      <c r="EHA105" s="33" t="s">
        <v>334</v>
      </c>
      <c r="EHB105" s="33" t="s">
        <v>334</v>
      </c>
      <c r="EHC105" s="33" t="s">
        <v>334</v>
      </c>
      <c r="EHD105" s="33" t="s">
        <v>334</v>
      </c>
      <c r="EHE105" s="33" t="s">
        <v>334</v>
      </c>
      <c r="EHF105" s="33" t="s">
        <v>334</v>
      </c>
      <c r="EHG105" s="33" t="s">
        <v>334</v>
      </c>
      <c r="EHH105" s="33" t="s">
        <v>334</v>
      </c>
      <c r="EHI105" s="33" t="s">
        <v>334</v>
      </c>
      <c r="EHJ105" s="33" t="s">
        <v>334</v>
      </c>
      <c r="EHK105" s="33" t="s">
        <v>334</v>
      </c>
      <c r="EHL105" s="33" t="s">
        <v>334</v>
      </c>
      <c r="EHM105" s="33" t="s">
        <v>334</v>
      </c>
      <c r="EHN105" s="33" t="s">
        <v>334</v>
      </c>
      <c r="EHO105" s="33" t="s">
        <v>334</v>
      </c>
      <c r="EHP105" s="33" t="s">
        <v>334</v>
      </c>
      <c r="EHQ105" s="33" t="s">
        <v>334</v>
      </c>
      <c r="EHR105" s="33" t="s">
        <v>334</v>
      </c>
      <c r="EHS105" s="33" t="s">
        <v>334</v>
      </c>
      <c r="EHT105" s="33" t="s">
        <v>334</v>
      </c>
      <c r="EHU105" s="33" t="s">
        <v>334</v>
      </c>
      <c r="EHV105" s="33" t="s">
        <v>334</v>
      </c>
      <c r="EHW105" s="33" t="s">
        <v>334</v>
      </c>
      <c r="EHX105" s="33" t="s">
        <v>334</v>
      </c>
      <c r="EHY105" s="33" t="s">
        <v>334</v>
      </c>
      <c r="EHZ105" s="33" t="s">
        <v>334</v>
      </c>
      <c r="EIA105" s="33" t="s">
        <v>334</v>
      </c>
      <c r="EIB105" s="33" t="s">
        <v>334</v>
      </c>
      <c r="EIC105" s="33" t="s">
        <v>334</v>
      </c>
      <c r="EID105" s="33" t="s">
        <v>334</v>
      </c>
      <c r="EIE105" s="33" t="s">
        <v>334</v>
      </c>
      <c r="EIF105" s="33" t="s">
        <v>334</v>
      </c>
      <c r="EIG105" s="33" t="s">
        <v>334</v>
      </c>
      <c r="EIH105" s="33" t="s">
        <v>334</v>
      </c>
      <c r="EII105" s="33" t="s">
        <v>334</v>
      </c>
      <c r="EIJ105" s="33" t="s">
        <v>334</v>
      </c>
      <c r="EIK105" s="33" t="s">
        <v>334</v>
      </c>
      <c r="EIL105" s="33" t="s">
        <v>334</v>
      </c>
      <c r="EIM105" s="33" t="s">
        <v>334</v>
      </c>
      <c r="EIN105" s="33" t="s">
        <v>334</v>
      </c>
      <c r="EIO105" s="33" t="s">
        <v>334</v>
      </c>
      <c r="EIP105" s="33" t="s">
        <v>334</v>
      </c>
      <c r="EIQ105" s="33" t="s">
        <v>334</v>
      </c>
      <c r="EIR105" s="33" t="s">
        <v>334</v>
      </c>
      <c r="EIS105" s="33" t="s">
        <v>334</v>
      </c>
      <c r="EIT105" s="33" t="s">
        <v>334</v>
      </c>
      <c r="EIU105" s="33" t="s">
        <v>334</v>
      </c>
      <c r="EIV105" s="33" t="s">
        <v>334</v>
      </c>
      <c r="EIW105" s="33" t="s">
        <v>334</v>
      </c>
      <c r="EIX105" s="33" t="s">
        <v>334</v>
      </c>
      <c r="EIY105" s="33" t="s">
        <v>334</v>
      </c>
      <c r="EIZ105" s="33" t="s">
        <v>334</v>
      </c>
      <c r="EJA105" s="33" t="s">
        <v>334</v>
      </c>
      <c r="EJB105" s="33" t="s">
        <v>334</v>
      </c>
      <c r="EJC105" s="33" t="s">
        <v>334</v>
      </c>
      <c r="EJD105" s="33" t="s">
        <v>334</v>
      </c>
      <c r="EJE105" s="33" t="s">
        <v>334</v>
      </c>
      <c r="EJF105" s="33" t="s">
        <v>334</v>
      </c>
      <c r="EJG105" s="33" t="s">
        <v>334</v>
      </c>
      <c r="EJH105" s="33" t="s">
        <v>334</v>
      </c>
      <c r="EJI105" s="33" t="s">
        <v>334</v>
      </c>
      <c r="EJJ105" s="33" t="s">
        <v>334</v>
      </c>
      <c r="EJK105" s="33" t="s">
        <v>334</v>
      </c>
      <c r="EJL105" s="33" t="s">
        <v>334</v>
      </c>
      <c r="EJM105" s="33" t="s">
        <v>334</v>
      </c>
      <c r="EJN105" s="33" t="s">
        <v>334</v>
      </c>
      <c r="EJO105" s="33" t="s">
        <v>334</v>
      </c>
      <c r="EJP105" s="33" t="s">
        <v>334</v>
      </c>
      <c r="EJQ105" s="33" t="s">
        <v>334</v>
      </c>
      <c r="EJR105" s="33" t="s">
        <v>334</v>
      </c>
      <c r="EJS105" s="33" t="s">
        <v>334</v>
      </c>
      <c r="EJT105" s="33" t="s">
        <v>334</v>
      </c>
      <c r="EJU105" s="33" t="s">
        <v>334</v>
      </c>
      <c r="EJV105" s="33" t="s">
        <v>334</v>
      </c>
      <c r="EJW105" s="33" t="s">
        <v>334</v>
      </c>
      <c r="EJX105" s="33" t="s">
        <v>334</v>
      </c>
      <c r="EJY105" s="33" t="s">
        <v>334</v>
      </c>
      <c r="EJZ105" s="33" t="s">
        <v>334</v>
      </c>
      <c r="EKA105" s="33" t="s">
        <v>334</v>
      </c>
      <c r="EKB105" s="33" t="s">
        <v>334</v>
      </c>
      <c r="EKC105" s="33" t="s">
        <v>334</v>
      </c>
      <c r="EKD105" s="33" t="s">
        <v>334</v>
      </c>
      <c r="EKE105" s="33" t="s">
        <v>334</v>
      </c>
      <c r="EKF105" s="33" t="s">
        <v>334</v>
      </c>
      <c r="EKG105" s="33" t="s">
        <v>334</v>
      </c>
      <c r="EKH105" s="33" t="s">
        <v>334</v>
      </c>
      <c r="EKI105" s="33" t="s">
        <v>334</v>
      </c>
      <c r="EKJ105" s="33" t="s">
        <v>334</v>
      </c>
      <c r="EKK105" s="33" t="s">
        <v>334</v>
      </c>
      <c r="EKL105" s="33" t="s">
        <v>334</v>
      </c>
      <c r="EKM105" s="33" t="s">
        <v>334</v>
      </c>
      <c r="EKN105" s="33" t="s">
        <v>334</v>
      </c>
      <c r="EKO105" s="33" t="s">
        <v>334</v>
      </c>
      <c r="EKP105" s="33" t="s">
        <v>334</v>
      </c>
      <c r="EKQ105" s="33" t="s">
        <v>334</v>
      </c>
      <c r="EKR105" s="33" t="s">
        <v>334</v>
      </c>
      <c r="EKS105" s="33" t="s">
        <v>334</v>
      </c>
      <c r="EKT105" s="33" t="s">
        <v>334</v>
      </c>
      <c r="EKU105" s="33" t="s">
        <v>334</v>
      </c>
      <c r="EKV105" s="33" t="s">
        <v>334</v>
      </c>
      <c r="EKW105" s="33" t="s">
        <v>334</v>
      </c>
      <c r="EKX105" s="33" t="s">
        <v>334</v>
      </c>
      <c r="EKY105" s="33" t="s">
        <v>334</v>
      </c>
      <c r="EKZ105" s="33" t="s">
        <v>334</v>
      </c>
      <c r="ELA105" s="33" t="s">
        <v>334</v>
      </c>
      <c r="ELB105" s="33" t="s">
        <v>334</v>
      </c>
      <c r="ELC105" s="33" t="s">
        <v>334</v>
      </c>
      <c r="ELD105" s="33" t="s">
        <v>334</v>
      </c>
      <c r="ELE105" s="33" t="s">
        <v>334</v>
      </c>
      <c r="ELF105" s="33" t="s">
        <v>334</v>
      </c>
      <c r="ELG105" s="33" t="s">
        <v>334</v>
      </c>
      <c r="ELH105" s="33" t="s">
        <v>334</v>
      </c>
      <c r="ELI105" s="33" t="s">
        <v>334</v>
      </c>
      <c r="ELJ105" s="33" t="s">
        <v>334</v>
      </c>
      <c r="ELK105" s="33" t="s">
        <v>334</v>
      </c>
      <c r="ELL105" s="33" t="s">
        <v>334</v>
      </c>
      <c r="ELM105" s="33" t="s">
        <v>334</v>
      </c>
      <c r="ELN105" s="33" t="s">
        <v>334</v>
      </c>
      <c r="ELO105" s="33" t="s">
        <v>334</v>
      </c>
      <c r="ELP105" s="33" t="s">
        <v>334</v>
      </c>
      <c r="ELQ105" s="33" t="s">
        <v>334</v>
      </c>
      <c r="ELR105" s="33" t="s">
        <v>334</v>
      </c>
      <c r="ELS105" s="33" t="s">
        <v>334</v>
      </c>
      <c r="ELT105" s="33" t="s">
        <v>334</v>
      </c>
      <c r="ELU105" s="33" t="s">
        <v>334</v>
      </c>
      <c r="ELV105" s="33" t="s">
        <v>334</v>
      </c>
      <c r="ELW105" s="33" t="s">
        <v>334</v>
      </c>
      <c r="ELX105" s="33" t="s">
        <v>334</v>
      </c>
      <c r="ELY105" s="33" t="s">
        <v>334</v>
      </c>
      <c r="ELZ105" s="33" t="s">
        <v>334</v>
      </c>
      <c r="EMA105" s="33" t="s">
        <v>334</v>
      </c>
      <c r="EMB105" s="33" t="s">
        <v>334</v>
      </c>
      <c r="EMC105" s="33" t="s">
        <v>334</v>
      </c>
      <c r="EMD105" s="33" t="s">
        <v>334</v>
      </c>
      <c r="EME105" s="33" t="s">
        <v>334</v>
      </c>
      <c r="EMF105" s="33" t="s">
        <v>334</v>
      </c>
      <c r="EMG105" s="33" t="s">
        <v>334</v>
      </c>
      <c r="EMH105" s="33" t="s">
        <v>334</v>
      </c>
      <c r="EMI105" s="33" t="s">
        <v>334</v>
      </c>
      <c r="EMJ105" s="33" t="s">
        <v>334</v>
      </c>
      <c r="EMK105" s="33" t="s">
        <v>334</v>
      </c>
      <c r="EML105" s="33" t="s">
        <v>334</v>
      </c>
      <c r="EMM105" s="33" t="s">
        <v>334</v>
      </c>
      <c r="EMN105" s="33" t="s">
        <v>334</v>
      </c>
      <c r="EMO105" s="33" t="s">
        <v>334</v>
      </c>
      <c r="EMP105" s="33" t="s">
        <v>334</v>
      </c>
      <c r="EMQ105" s="33" t="s">
        <v>334</v>
      </c>
      <c r="EMR105" s="33" t="s">
        <v>334</v>
      </c>
      <c r="EMS105" s="33" t="s">
        <v>334</v>
      </c>
      <c r="EMT105" s="33" t="s">
        <v>334</v>
      </c>
      <c r="EMU105" s="33" t="s">
        <v>334</v>
      </c>
      <c r="EMV105" s="33" t="s">
        <v>334</v>
      </c>
      <c r="EMW105" s="33" t="s">
        <v>334</v>
      </c>
      <c r="EMX105" s="33" t="s">
        <v>334</v>
      </c>
      <c r="EMY105" s="33" t="s">
        <v>334</v>
      </c>
      <c r="EMZ105" s="33" t="s">
        <v>334</v>
      </c>
      <c r="ENA105" s="33" t="s">
        <v>334</v>
      </c>
      <c r="ENB105" s="33" t="s">
        <v>334</v>
      </c>
      <c r="ENC105" s="33" t="s">
        <v>334</v>
      </c>
      <c r="END105" s="33" t="s">
        <v>334</v>
      </c>
      <c r="ENE105" s="33" t="s">
        <v>334</v>
      </c>
      <c r="ENF105" s="33" t="s">
        <v>334</v>
      </c>
      <c r="ENG105" s="33" t="s">
        <v>334</v>
      </c>
      <c r="ENH105" s="33" t="s">
        <v>334</v>
      </c>
      <c r="ENI105" s="33" t="s">
        <v>334</v>
      </c>
      <c r="ENJ105" s="33" t="s">
        <v>334</v>
      </c>
      <c r="ENK105" s="33" t="s">
        <v>334</v>
      </c>
      <c r="ENL105" s="33" t="s">
        <v>334</v>
      </c>
      <c r="ENM105" s="33" t="s">
        <v>334</v>
      </c>
      <c r="ENN105" s="33" t="s">
        <v>334</v>
      </c>
      <c r="ENO105" s="33" t="s">
        <v>334</v>
      </c>
      <c r="ENP105" s="33" t="s">
        <v>334</v>
      </c>
      <c r="ENQ105" s="33" t="s">
        <v>334</v>
      </c>
      <c r="ENR105" s="33" t="s">
        <v>334</v>
      </c>
      <c r="ENS105" s="33" t="s">
        <v>334</v>
      </c>
      <c r="ENT105" s="33" t="s">
        <v>334</v>
      </c>
      <c r="ENU105" s="33" t="s">
        <v>334</v>
      </c>
      <c r="ENV105" s="33" t="s">
        <v>334</v>
      </c>
      <c r="ENW105" s="33" t="s">
        <v>334</v>
      </c>
      <c r="ENX105" s="33" t="s">
        <v>334</v>
      </c>
      <c r="ENY105" s="33" t="s">
        <v>334</v>
      </c>
      <c r="ENZ105" s="33" t="s">
        <v>334</v>
      </c>
      <c r="EOA105" s="33" t="s">
        <v>334</v>
      </c>
      <c r="EOB105" s="33" t="s">
        <v>334</v>
      </c>
      <c r="EOC105" s="33" t="s">
        <v>334</v>
      </c>
      <c r="EOD105" s="33" t="s">
        <v>334</v>
      </c>
      <c r="EOE105" s="33" t="s">
        <v>334</v>
      </c>
      <c r="EOF105" s="33" t="s">
        <v>334</v>
      </c>
      <c r="EOG105" s="33" t="s">
        <v>334</v>
      </c>
      <c r="EOH105" s="33" t="s">
        <v>334</v>
      </c>
      <c r="EOI105" s="33" t="s">
        <v>334</v>
      </c>
      <c r="EOJ105" s="33" t="s">
        <v>334</v>
      </c>
      <c r="EOK105" s="33" t="s">
        <v>334</v>
      </c>
      <c r="EOL105" s="33" t="s">
        <v>334</v>
      </c>
      <c r="EOM105" s="33" t="s">
        <v>334</v>
      </c>
      <c r="EON105" s="33" t="s">
        <v>334</v>
      </c>
      <c r="EOO105" s="33" t="s">
        <v>334</v>
      </c>
      <c r="EOP105" s="33" t="s">
        <v>334</v>
      </c>
      <c r="EOQ105" s="33" t="s">
        <v>334</v>
      </c>
      <c r="EOR105" s="33" t="s">
        <v>334</v>
      </c>
      <c r="EOS105" s="33" t="s">
        <v>334</v>
      </c>
      <c r="EOT105" s="33" t="s">
        <v>334</v>
      </c>
      <c r="EOU105" s="33" t="s">
        <v>334</v>
      </c>
      <c r="EOV105" s="33" t="s">
        <v>334</v>
      </c>
      <c r="EOW105" s="33" t="s">
        <v>334</v>
      </c>
      <c r="EOX105" s="33" t="s">
        <v>334</v>
      </c>
      <c r="EOY105" s="33" t="s">
        <v>334</v>
      </c>
      <c r="EOZ105" s="33" t="s">
        <v>334</v>
      </c>
      <c r="EPA105" s="33" t="s">
        <v>334</v>
      </c>
      <c r="EPB105" s="33" t="s">
        <v>334</v>
      </c>
      <c r="EPC105" s="33" t="s">
        <v>334</v>
      </c>
      <c r="EPD105" s="33" t="s">
        <v>334</v>
      </c>
      <c r="EPE105" s="33" t="s">
        <v>334</v>
      </c>
      <c r="EPF105" s="33" t="s">
        <v>334</v>
      </c>
      <c r="EPG105" s="33" t="s">
        <v>334</v>
      </c>
      <c r="EPH105" s="33" t="s">
        <v>334</v>
      </c>
      <c r="EPI105" s="33" t="s">
        <v>334</v>
      </c>
      <c r="EPJ105" s="33" t="s">
        <v>334</v>
      </c>
      <c r="EPK105" s="33" t="s">
        <v>334</v>
      </c>
      <c r="EPL105" s="33" t="s">
        <v>334</v>
      </c>
      <c r="EPM105" s="33" t="s">
        <v>334</v>
      </c>
      <c r="EPN105" s="33" t="s">
        <v>334</v>
      </c>
      <c r="EPO105" s="33" t="s">
        <v>334</v>
      </c>
      <c r="EPP105" s="33" t="s">
        <v>334</v>
      </c>
      <c r="EPQ105" s="33" t="s">
        <v>334</v>
      </c>
      <c r="EPR105" s="33" t="s">
        <v>334</v>
      </c>
      <c r="EPS105" s="33" t="s">
        <v>334</v>
      </c>
      <c r="EPT105" s="33" t="s">
        <v>334</v>
      </c>
      <c r="EPU105" s="33" t="s">
        <v>334</v>
      </c>
      <c r="EPV105" s="33" t="s">
        <v>334</v>
      </c>
      <c r="EPW105" s="33" t="s">
        <v>334</v>
      </c>
      <c r="EPX105" s="33" t="s">
        <v>334</v>
      </c>
      <c r="EPY105" s="33" t="s">
        <v>334</v>
      </c>
      <c r="EPZ105" s="33" t="s">
        <v>334</v>
      </c>
      <c r="EQA105" s="33" t="s">
        <v>334</v>
      </c>
      <c r="EQB105" s="33" t="s">
        <v>334</v>
      </c>
      <c r="EQC105" s="33" t="s">
        <v>334</v>
      </c>
      <c r="EQD105" s="33" t="s">
        <v>334</v>
      </c>
      <c r="EQE105" s="33" t="s">
        <v>334</v>
      </c>
      <c r="EQF105" s="33" t="s">
        <v>334</v>
      </c>
      <c r="EQG105" s="33" t="s">
        <v>334</v>
      </c>
      <c r="EQH105" s="33" t="s">
        <v>334</v>
      </c>
      <c r="EQI105" s="33" t="s">
        <v>334</v>
      </c>
      <c r="EQJ105" s="33" t="s">
        <v>334</v>
      </c>
      <c r="EQK105" s="33" t="s">
        <v>334</v>
      </c>
      <c r="EQL105" s="33" t="s">
        <v>334</v>
      </c>
      <c r="EQM105" s="33" t="s">
        <v>334</v>
      </c>
      <c r="EQN105" s="33" t="s">
        <v>334</v>
      </c>
      <c r="EQO105" s="33" t="s">
        <v>334</v>
      </c>
      <c r="EQP105" s="33" t="s">
        <v>334</v>
      </c>
      <c r="EQQ105" s="33" t="s">
        <v>334</v>
      </c>
      <c r="EQR105" s="33" t="s">
        <v>334</v>
      </c>
      <c r="EQS105" s="33" t="s">
        <v>334</v>
      </c>
      <c r="EQT105" s="33" t="s">
        <v>334</v>
      </c>
      <c r="EQU105" s="33" t="s">
        <v>334</v>
      </c>
      <c r="EQV105" s="33" t="s">
        <v>334</v>
      </c>
      <c r="EQW105" s="33" t="s">
        <v>334</v>
      </c>
      <c r="EQX105" s="33" t="s">
        <v>334</v>
      </c>
      <c r="EQY105" s="33" t="s">
        <v>334</v>
      </c>
      <c r="EQZ105" s="33" t="s">
        <v>334</v>
      </c>
      <c r="ERA105" s="33" t="s">
        <v>334</v>
      </c>
      <c r="ERB105" s="33" t="s">
        <v>334</v>
      </c>
      <c r="ERC105" s="33" t="s">
        <v>334</v>
      </c>
      <c r="ERD105" s="33" t="s">
        <v>334</v>
      </c>
      <c r="ERE105" s="33" t="s">
        <v>334</v>
      </c>
      <c r="ERF105" s="33" t="s">
        <v>334</v>
      </c>
      <c r="ERG105" s="33" t="s">
        <v>334</v>
      </c>
      <c r="ERH105" s="33" t="s">
        <v>334</v>
      </c>
      <c r="ERI105" s="33" t="s">
        <v>334</v>
      </c>
      <c r="ERJ105" s="33" t="s">
        <v>334</v>
      </c>
      <c r="ERK105" s="33" t="s">
        <v>334</v>
      </c>
      <c r="ERL105" s="33" t="s">
        <v>334</v>
      </c>
      <c r="ERM105" s="33" t="s">
        <v>334</v>
      </c>
      <c r="ERN105" s="33" t="s">
        <v>334</v>
      </c>
      <c r="ERO105" s="33" t="s">
        <v>334</v>
      </c>
      <c r="ERP105" s="33" t="s">
        <v>334</v>
      </c>
      <c r="ERQ105" s="33" t="s">
        <v>334</v>
      </c>
      <c r="ERR105" s="33" t="s">
        <v>334</v>
      </c>
      <c r="ERS105" s="33" t="s">
        <v>334</v>
      </c>
      <c r="ERT105" s="33" t="s">
        <v>334</v>
      </c>
      <c r="ERU105" s="33" t="s">
        <v>334</v>
      </c>
      <c r="ERV105" s="33" t="s">
        <v>334</v>
      </c>
      <c r="ERW105" s="33" t="s">
        <v>334</v>
      </c>
      <c r="ERX105" s="33" t="s">
        <v>334</v>
      </c>
      <c r="ERY105" s="33" t="s">
        <v>334</v>
      </c>
      <c r="ERZ105" s="33" t="s">
        <v>334</v>
      </c>
      <c r="ESA105" s="33" t="s">
        <v>334</v>
      </c>
      <c r="ESB105" s="33" t="s">
        <v>334</v>
      </c>
      <c r="ESC105" s="33" t="s">
        <v>334</v>
      </c>
      <c r="ESD105" s="33" t="s">
        <v>334</v>
      </c>
      <c r="ESE105" s="33" t="s">
        <v>334</v>
      </c>
      <c r="ESF105" s="33" t="s">
        <v>334</v>
      </c>
      <c r="ESG105" s="33" t="s">
        <v>334</v>
      </c>
      <c r="ESH105" s="33" t="s">
        <v>334</v>
      </c>
      <c r="ESI105" s="33" t="s">
        <v>334</v>
      </c>
      <c r="ESJ105" s="33" t="s">
        <v>334</v>
      </c>
      <c r="ESK105" s="33" t="s">
        <v>334</v>
      </c>
      <c r="ESL105" s="33" t="s">
        <v>334</v>
      </c>
      <c r="ESM105" s="33" t="s">
        <v>334</v>
      </c>
      <c r="ESN105" s="33" t="s">
        <v>334</v>
      </c>
      <c r="ESO105" s="33" t="s">
        <v>334</v>
      </c>
      <c r="ESP105" s="33" t="s">
        <v>334</v>
      </c>
      <c r="ESQ105" s="33" t="s">
        <v>334</v>
      </c>
      <c r="ESR105" s="33" t="s">
        <v>334</v>
      </c>
      <c r="ESS105" s="33" t="s">
        <v>334</v>
      </c>
      <c r="EST105" s="33" t="s">
        <v>334</v>
      </c>
      <c r="ESU105" s="33" t="s">
        <v>334</v>
      </c>
      <c r="ESV105" s="33" t="s">
        <v>334</v>
      </c>
      <c r="ESW105" s="33" t="s">
        <v>334</v>
      </c>
      <c r="ESX105" s="33" t="s">
        <v>334</v>
      </c>
      <c r="ESY105" s="33" t="s">
        <v>334</v>
      </c>
      <c r="ESZ105" s="33" t="s">
        <v>334</v>
      </c>
      <c r="ETA105" s="33" t="s">
        <v>334</v>
      </c>
      <c r="ETB105" s="33" t="s">
        <v>334</v>
      </c>
      <c r="ETC105" s="33" t="s">
        <v>334</v>
      </c>
      <c r="ETD105" s="33" t="s">
        <v>334</v>
      </c>
      <c r="ETE105" s="33" t="s">
        <v>334</v>
      </c>
      <c r="ETF105" s="33" t="s">
        <v>334</v>
      </c>
      <c r="ETG105" s="33" t="s">
        <v>334</v>
      </c>
      <c r="ETH105" s="33" t="s">
        <v>334</v>
      </c>
      <c r="ETI105" s="33" t="s">
        <v>334</v>
      </c>
      <c r="ETJ105" s="33" t="s">
        <v>334</v>
      </c>
      <c r="ETK105" s="33" t="s">
        <v>334</v>
      </c>
      <c r="ETL105" s="33" t="s">
        <v>334</v>
      </c>
      <c r="ETM105" s="33" t="s">
        <v>334</v>
      </c>
      <c r="ETN105" s="33" t="s">
        <v>334</v>
      </c>
      <c r="ETO105" s="33" t="s">
        <v>334</v>
      </c>
      <c r="ETP105" s="33" t="s">
        <v>334</v>
      </c>
      <c r="ETQ105" s="33" t="s">
        <v>334</v>
      </c>
      <c r="ETR105" s="33" t="s">
        <v>334</v>
      </c>
      <c r="ETS105" s="33" t="s">
        <v>334</v>
      </c>
      <c r="ETT105" s="33" t="s">
        <v>334</v>
      </c>
      <c r="ETU105" s="33" t="s">
        <v>334</v>
      </c>
      <c r="ETV105" s="33" t="s">
        <v>334</v>
      </c>
      <c r="ETW105" s="33" t="s">
        <v>334</v>
      </c>
      <c r="ETX105" s="33" t="s">
        <v>334</v>
      </c>
      <c r="ETY105" s="33" t="s">
        <v>334</v>
      </c>
      <c r="ETZ105" s="33" t="s">
        <v>334</v>
      </c>
      <c r="EUA105" s="33" t="s">
        <v>334</v>
      </c>
      <c r="EUB105" s="33" t="s">
        <v>334</v>
      </c>
      <c r="EUC105" s="33" t="s">
        <v>334</v>
      </c>
      <c r="EUD105" s="33" t="s">
        <v>334</v>
      </c>
      <c r="EUE105" s="33" t="s">
        <v>334</v>
      </c>
      <c r="EUF105" s="33" t="s">
        <v>334</v>
      </c>
      <c r="EUG105" s="33" t="s">
        <v>334</v>
      </c>
      <c r="EUH105" s="33" t="s">
        <v>334</v>
      </c>
      <c r="EUI105" s="33" t="s">
        <v>334</v>
      </c>
      <c r="EUJ105" s="33" t="s">
        <v>334</v>
      </c>
      <c r="EUK105" s="33" t="s">
        <v>334</v>
      </c>
      <c r="EUL105" s="33" t="s">
        <v>334</v>
      </c>
      <c r="EUM105" s="33" t="s">
        <v>334</v>
      </c>
      <c r="EUN105" s="33" t="s">
        <v>334</v>
      </c>
      <c r="EUO105" s="33" t="s">
        <v>334</v>
      </c>
      <c r="EUP105" s="33" t="s">
        <v>334</v>
      </c>
      <c r="EUQ105" s="33" t="s">
        <v>334</v>
      </c>
      <c r="EUR105" s="33" t="s">
        <v>334</v>
      </c>
      <c r="EUS105" s="33" t="s">
        <v>334</v>
      </c>
      <c r="EUT105" s="33" t="s">
        <v>334</v>
      </c>
      <c r="EUU105" s="33" t="s">
        <v>334</v>
      </c>
      <c r="EUV105" s="33" t="s">
        <v>334</v>
      </c>
      <c r="EUW105" s="33" t="s">
        <v>334</v>
      </c>
      <c r="EUX105" s="33" t="s">
        <v>334</v>
      </c>
      <c r="EUY105" s="33" t="s">
        <v>334</v>
      </c>
      <c r="EUZ105" s="33" t="s">
        <v>334</v>
      </c>
      <c r="EVA105" s="33" t="s">
        <v>334</v>
      </c>
      <c r="EVB105" s="33" t="s">
        <v>334</v>
      </c>
      <c r="EVC105" s="33" t="s">
        <v>334</v>
      </c>
      <c r="EVD105" s="33" t="s">
        <v>334</v>
      </c>
      <c r="EVE105" s="33" t="s">
        <v>334</v>
      </c>
      <c r="EVF105" s="33" t="s">
        <v>334</v>
      </c>
      <c r="EVG105" s="33" t="s">
        <v>334</v>
      </c>
      <c r="EVH105" s="33" t="s">
        <v>334</v>
      </c>
      <c r="EVI105" s="33" t="s">
        <v>334</v>
      </c>
      <c r="EVJ105" s="33" t="s">
        <v>334</v>
      </c>
      <c r="EVK105" s="33" t="s">
        <v>334</v>
      </c>
      <c r="EVL105" s="33" t="s">
        <v>334</v>
      </c>
      <c r="EVM105" s="33" t="s">
        <v>334</v>
      </c>
      <c r="EVN105" s="33" t="s">
        <v>334</v>
      </c>
      <c r="EVO105" s="33" t="s">
        <v>334</v>
      </c>
      <c r="EVP105" s="33" t="s">
        <v>334</v>
      </c>
      <c r="EVQ105" s="33" t="s">
        <v>334</v>
      </c>
      <c r="EVR105" s="33" t="s">
        <v>334</v>
      </c>
      <c r="EVS105" s="33" t="s">
        <v>334</v>
      </c>
      <c r="EVT105" s="33" t="s">
        <v>334</v>
      </c>
      <c r="EVU105" s="33" t="s">
        <v>334</v>
      </c>
      <c r="EVV105" s="33" t="s">
        <v>334</v>
      </c>
      <c r="EVW105" s="33" t="s">
        <v>334</v>
      </c>
      <c r="EVX105" s="33" t="s">
        <v>334</v>
      </c>
      <c r="EVY105" s="33" t="s">
        <v>334</v>
      </c>
      <c r="EVZ105" s="33" t="s">
        <v>334</v>
      </c>
      <c r="EWA105" s="33" t="s">
        <v>334</v>
      </c>
      <c r="EWB105" s="33" t="s">
        <v>334</v>
      </c>
      <c r="EWC105" s="33" t="s">
        <v>334</v>
      </c>
      <c r="EWD105" s="33" t="s">
        <v>334</v>
      </c>
      <c r="EWE105" s="33" t="s">
        <v>334</v>
      </c>
      <c r="EWF105" s="33" t="s">
        <v>334</v>
      </c>
      <c r="EWG105" s="33" t="s">
        <v>334</v>
      </c>
      <c r="EWH105" s="33" t="s">
        <v>334</v>
      </c>
      <c r="EWI105" s="33" t="s">
        <v>334</v>
      </c>
      <c r="EWJ105" s="33" t="s">
        <v>334</v>
      </c>
      <c r="EWK105" s="33" t="s">
        <v>334</v>
      </c>
      <c r="EWL105" s="33" t="s">
        <v>334</v>
      </c>
      <c r="EWM105" s="33" t="s">
        <v>334</v>
      </c>
      <c r="EWN105" s="33" t="s">
        <v>334</v>
      </c>
      <c r="EWO105" s="33" t="s">
        <v>334</v>
      </c>
      <c r="EWP105" s="33" t="s">
        <v>334</v>
      </c>
      <c r="EWQ105" s="33" t="s">
        <v>334</v>
      </c>
      <c r="EWR105" s="33" t="s">
        <v>334</v>
      </c>
      <c r="EWS105" s="33" t="s">
        <v>334</v>
      </c>
      <c r="EWT105" s="33" t="s">
        <v>334</v>
      </c>
      <c r="EWU105" s="33" t="s">
        <v>334</v>
      </c>
      <c r="EWV105" s="33" t="s">
        <v>334</v>
      </c>
      <c r="EWW105" s="33" t="s">
        <v>334</v>
      </c>
      <c r="EWX105" s="33" t="s">
        <v>334</v>
      </c>
      <c r="EWY105" s="33" t="s">
        <v>334</v>
      </c>
      <c r="EWZ105" s="33" t="s">
        <v>334</v>
      </c>
      <c r="EXA105" s="33" t="s">
        <v>334</v>
      </c>
      <c r="EXB105" s="33" t="s">
        <v>334</v>
      </c>
      <c r="EXC105" s="33" t="s">
        <v>334</v>
      </c>
      <c r="EXD105" s="33" t="s">
        <v>334</v>
      </c>
      <c r="EXE105" s="33" t="s">
        <v>334</v>
      </c>
      <c r="EXF105" s="33" t="s">
        <v>334</v>
      </c>
      <c r="EXG105" s="33" t="s">
        <v>334</v>
      </c>
      <c r="EXH105" s="33" t="s">
        <v>334</v>
      </c>
      <c r="EXI105" s="33" t="s">
        <v>334</v>
      </c>
      <c r="EXJ105" s="33" t="s">
        <v>334</v>
      </c>
      <c r="EXK105" s="33" t="s">
        <v>334</v>
      </c>
      <c r="EXL105" s="33" t="s">
        <v>334</v>
      </c>
      <c r="EXM105" s="33" t="s">
        <v>334</v>
      </c>
      <c r="EXN105" s="33" t="s">
        <v>334</v>
      </c>
      <c r="EXO105" s="33" t="s">
        <v>334</v>
      </c>
      <c r="EXP105" s="33" t="s">
        <v>334</v>
      </c>
      <c r="EXQ105" s="33" t="s">
        <v>334</v>
      </c>
      <c r="EXR105" s="33" t="s">
        <v>334</v>
      </c>
      <c r="EXS105" s="33" t="s">
        <v>334</v>
      </c>
      <c r="EXT105" s="33" t="s">
        <v>334</v>
      </c>
      <c r="EXU105" s="33" t="s">
        <v>334</v>
      </c>
      <c r="EXV105" s="33" t="s">
        <v>334</v>
      </c>
      <c r="EXW105" s="33" t="s">
        <v>334</v>
      </c>
      <c r="EXX105" s="33" t="s">
        <v>334</v>
      </c>
      <c r="EXY105" s="33" t="s">
        <v>334</v>
      </c>
      <c r="EXZ105" s="33" t="s">
        <v>334</v>
      </c>
      <c r="EYA105" s="33" t="s">
        <v>334</v>
      </c>
      <c r="EYB105" s="33" t="s">
        <v>334</v>
      </c>
      <c r="EYC105" s="33" t="s">
        <v>334</v>
      </c>
      <c r="EYD105" s="33" t="s">
        <v>334</v>
      </c>
      <c r="EYE105" s="33" t="s">
        <v>334</v>
      </c>
      <c r="EYF105" s="33" t="s">
        <v>334</v>
      </c>
      <c r="EYG105" s="33" t="s">
        <v>334</v>
      </c>
      <c r="EYH105" s="33" t="s">
        <v>334</v>
      </c>
      <c r="EYI105" s="33" t="s">
        <v>334</v>
      </c>
      <c r="EYJ105" s="33" t="s">
        <v>334</v>
      </c>
      <c r="EYK105" s="33" t="s">
        <v>334</v>
      </c>
      <c r="EYL105" s="33" t="s">
        <v>334</v>
      </c>
      <c r="EYM105" s="33" t="s">
        <v>334</v>
      </c>
      <c r="EYN105" s="33" t="s">
        <v>334</v>
      </c>
      <c r="EYO105" s="33" t="s">
        <v>334</v>
      </c>
      <c r="EYP105" s="33" t="s">
        <v>334</v>
      </c>
      <c r="EYQ105" s="33" t="s">
        <v>334</v>
      </c>
      <c r="EYR105" s="33" t="s">
        <v>334</v>
      </c>
      <c r="EYS105" s="33" t="s">
        <v>334</v>
      </c>
      <c r="EYT105" s="33" t="s">
        <v>334</v>
      </c>
      <c r="EYU105" s="33" t="s">
        <v>334</v>
      </c>
      <c r="EYV105" s="33" t="s">
        <v>334</v>
      </c>
      <c r="EYW105" s="33" t="s">
        <v>334</v>
      </c>
      <c r="EYX105" s="33" t="s">
        <v>334</v>
      </c>
      <c r="EYY105" s="33" t="s">
        <v>334</v>
      </c>
      <c r="EYZ105" s="33" t="s">
        <v>334</v>
      </c>
      <c r="EZA105" s="33" t="s">
        <v>334</v>
      </c>
      <c r="EZB105" s="33" t="s">
        <v>334</v>
      </c>
      <c r="EZC105" s="33" t="s">
        <v>334</v>
      </c>
      <c r="EZD105" s="33" t="s">
        <v>334</v>
      </c>
      <c r="EZE105" s="33" t="s">
        <v>334</v>
      </c>
      <c r="EZF105" s="33" t="s">
        <v>334</v>
      </c>
      <c r="EZG105" s="33" t="s">
        <v>334</v>
      </c>
      <c r="EZH105" s="33" t="s">
        <v>334</v>
      </c>
      <c r="EZI105" s="33" t="s">
        <v>334</v>
      </c>
      <c r="EZJ105" s="33" t="s">
        <v>334</v>
      </c>
      <c r="EZK105" s="33" t="s">
        <v>334</v>
      </c>
      <c r="EZL105" s="33" t="s">
        <v>334</v>
      </c>
      <c r="EZM105" s="33" t="s">
        <v>334</v>
      </c>
      <c r="EZN105" s="33" t="s">
        <v>334</v>
      </c>
      <c r="EZO105" s="33" t="s">
        <v>334</v>
      </c>
      <c r="EZP105" s="33" t="s">
        <v>334</v>
      </c>
      <c r="EZQ105" s="33" t="s">
        <v>334</v>
      </c>
      <c r="EZR105" s="33" t="s">
        <v>334</v>
      </c>
      <c r="EZS105" s="33" t="s">
        <v>334</v>
      </c>
      <c r="EZT105" s="33" t="s">
        <v>334</v>
      </c>
      <c r="EZU105" s="33" t="s">
        <v>334</v>
      </c>
      <c r="EZV105" s="33" t="s">
        <v>334</v>
      </c>
      <c r="EZW105" s="33" t="s">
        <v>334</v>
      </c>
      <c r="EZX105" s="33" t="s">
        <v>334</v>
      </c>
      <c r="EZY105" s="33" t="s">
        <v>334</v>
      </c>
      <c r="EZZ105" s="33" t="s">
        <v>334</v>
      </c>
      <c r="FAA105" s="33" t="s">
        <v>334</v>
      </c>
      <c r="FAB105" s="33" t="s">
        <v>334</v>
      </c>
      <c r="FAC105" s="33" t="s">
        <v>334</v>
      </c>
      <c r="FAD105" s="33" t="s">
        <v>334</v>
      </c>
      <c r="FAE105" s="33" t="s">
        <v>334</v>
      </c>
      <c r="FAF105" s="33" t="s">
        <v>334</v>
      </c>
      <c r="FAG105" s="33" t="s">
        <v>334</v>
      </c>
      <c r="FAH105" s="33" t="s">
        <v>334</v>
      </c>
      <c r="FAI105" s="33" t="s">
        <v>334</v>
      </c>
      <c r="FAJ105" s="33" t="s">
        <v>334</v>
      </c>
      <c r="FAK105" s="33" t="s">
        <v>334</v>
      </c>
      <c r="FAL105" s="33" t="s">
        <v>334</v>
      </c>
      <c r="FAM105" s="33" t="s">
        <v>334</v>
      </c>
      <c r="FAN105" s="33" t="s">
        <v>334</v>
      </c>
      <c r="FAO105" s="33" t="s">
        <v>334</v>
      </c>
      <c r="FAP105" s="33" t="s">
        <v>334</v>
      </c>
      <c r="FAQ105" s="33" t="s">
        <v>334</v>
      </c>
      <c r="FAR105" s="33" t="s">
        <v>334</v>
      </c>
      <c r="FAS105" s="33" t="s">
        <v>334</v>
      </c>
      <c r="FAT105" s="33" t="s">
        <v>334</v>
      </c>
      <c r="FAU105" s="33" t="s">
        <v>334</v>
      </c>
      <c r="FAV105" s="33" t="s">
        <v>334</v>
      </c>
      <c r="FAW105" s="33" t="s">
        <v>334</v>
      </c>
      <c r="FAX105" s="33" t="s">
        <v>334</v>
      </c>
      <c r="FAY105" s="33" t="s">
        <v>334</v>
      </c>
      <c r="FAZ105" s="33" t="s">
        <v>334</v>
      </c>
      <c r="FBA105" s="33" t="s">
        <v>334</v>
      </c>
      <c r="FBB105" s="33" t="s">
        <v>334</v>
      </c>
      <c r="FBC105" s="33" t="s">
        <v>334</v>
      </c>
      <c r="FBD105" s="33" t="s">
        <v>334</v>
      </c>
      <c r="FBE105" s="33" t="s">
        <v>334</v>
      </c>
      <c r="FBF105" s="33" t="s">
        <v>334</v>
      </c>
      <c r="FBG105" s="33" t="s">
        <v>334</v>
      </c>
      <c r="FBH105" s="33" t="s">
        <v>334</v>
      </c>
      <c r="FBI105" s="33" t="s">
        <v>334</v>
      </c>
      <c r="FBJ105" s="33" t="s">
        <v>334</v>
      </c>
      <c r="FBK105" s="33" t="s">
        <v>334</v>
      </c>
      <c r="FBL105" s="33" t="s">
        <v>334</v>
      </c>
      <c r="FBM105" s="33" t="s">
        <v>334</v>
      </c>
      <c r="FBN105" s="33" t="s">
        <v>334</v>
      </c>
      <c r="FBO105" s="33" t="s">
        <v>334</v>
      </c>
      <c r="FBP105" s="33" t="s">
        <v>334</v>
      </c>
      <c r="FBQ105" s="33" t="s">
        <v>334</v>
      </c>
      <c r="FBR105" s="33" t="s">
        <v>334</v>
      </c>
      <c r="FBS105" s="33" t="s">
        <v>334</v>
      </c>
      <c r="FBT105" s="33" t="s">
        <v>334</v>
      </c>
      <c r="FBU105" s="33" t="s">
        <v>334</v>
      </c>
      <c r="FBV105" s="33" t="s">
        <v>334</v>
      </c>
      <c r="FBW105" s="33" t="s">
        <v>334</v>
      </c>
      <c r="FBX105" s="33" t="s">
        <v>334</v>
      </c>
      <c r="FBY105" s="33" t="s">
        <v>334</v>
      </c>
      <c r="FBZ105" s="33" t="s">
        <v>334</v>
      </c>
      <c r="FCA105" s="33" t="s">
        <v>334</v>
      </c>
      <c r="FCB105" s="33" t="s">
        <v>334</v>
      </c>
      <c r="FCC105" s="33" t="s">
        <v>334</v>
      </c>
      <c r="FCD105" s="33" t="s">
        <v>334</v>
      </c>
      <c r="FCE105" s="33" t="s">
        <v>334</v>
      </c>
      <c r="FCF105" s="33" t="s">
        <v>334</v>
      </c>
      <c r="FCG105" s="33" t="s">
        <v>334</v>
      </c>
      <c r="FCH105" s="33" t="s">
        <v>334</v>
      </c>
      <c r="FCI105" s="33" t="s">
        <v>334</v>
      </c>
      <c r="FCJ105" s="33" t="s">
        <v>334</v>
      </c>
      <c r="FCK105" s="33" t="s">
        <v>334</v>
      </c>
      <c r="FCL105" s="33" t="s">
        <v>334</v>
      </c>
      <c r="FCM105" s="33" t="s">
        <v>334</v>
      </c>
      <c r="FCN105" s="33" t="s">
        <v>334</v>
      </c>
      <c r="FCO105" s="33" t="s">
        <v>334</v>
      </c>
      <c r="FCP105" s="33" t="s">
        <v>334</v>
      </c>
      <c r="FCQ105" s="33" t="s">
        <v>334</v>
      </c>
      <c r="FCR105" s="33" t="s">
        <v>334</v>
      </c>
      <c r="FCS105" s="33" t="s">
        <v>334</v>
      </c>
      <c r="FCT105" s="33" t="s">
        <v>334</v>
      </c>
      <c r="FCU105" s="33" t="s">
        <v>334</v>
      </c>
      <c r="FCV105" s="33" t="s">
        <v>334</v>
      </c>
      <c r="FCW105" s="33" t="s">
        <v>334</v>
      </c>
      <c r="FCX105" s="33" t="s">
        <v>334</v>
      </c>
      <c r="FCY105" s="33" t="s">
        <v>334</v>
      </c>
      <c r="FCZ105" s="33" t="s">
        <v>334</v>
      </c>
      <c r="FDA105" s="33" t="s">
        <v>334</v>
      </c>
      <c r="FDB105" s="33" t="s">
        <v>334</v>
      </c>
      <c r="FDC105" s="33" t="s">
        <v>334</v>
      </c>
      <c r="FDD105" s="33" t="s">
        <v>334</v>
      </c>
      <c r="FDE105" s="33" t="s">
        <v>334</v>
      </c>
      <c r="FDF105" s="33" t="s">
        <v>334</v>
      </c>
      <c r="FDG105" s="33" t="s">
        <v>334</v>
      </c>
      <c r="FDH105" s="33" t="s">
        <v>334</v>
      </c>
      <c r="FDI105" s="33" t="s">
        <v>334</v>
      </c>
      <c r="FDJ105" s="33" t="s">
        <v>334</v>
      </c>
      <c r="FDK105" s="33" t="s">
        <v>334</v>
      </c>
      <c r="FDL105" s="33" t="s">
        <v>334</v>
      </c>
      <c r="FDM105" s="33" t="s">
        <v>334</v>
      </c>
      <c r="FDN105" s="33" t="s">
        <v>334</v>
      </c>
      <c r="FDO105" s="33" t="s">
        <v>334</v>
      </c>
      <c r="FDP105" s="33" t="s">
        <v>334</v>
      </c>
      <c r="FDQ105" s="33" t="s">
        <v>334</v>
      </c>
      <c r="FDR105" s="33" t="s">
        <v>334</v>
      </c>
      <c r="FDS105" s="33" t="s">
        <v>334</v>
      </c>
      <c r="FDT105" s="33" t="s">
        <v>334</v>
      </c>
      <c r="FDU105" s="33" t="s">
        <v>334</v>
      </c>
      <c r="FDV105" s="33" t="s">
        <v>334</v>
      </c>
      <c r="FDW105" s="33" t="s">
        <v>334</v>
      </c>
      <c r="FDX105" s="33" t="s">
        <v>334</v>
      </c>
      <c r="FDY105" s="33" t="s">
        <v>334</v>
      </c>
      <c r="FDZ105" s="33" t="s">
        <v>334</v>
      </c>
      <c r="FEA105" s="33" t="s">
        <v>334</v>
      </c>
      <c r="FEB105" s="33" t="s">
        <v>334</v>
      </c>
      <c r="FEC105" s="33" t="s">
        <v>334</v>
      </c>
      <c r="FED105" s="33" t="s">
        <v>334</v>
      </c>
      <c r="FEE105" s="33" t="s">
        <v>334</v>
      </c>
      <c r="FEF105" s="33" t="s">
        <v>334</v>
      </c>
      <c r="FEG105" s="33" t="s">
        <v>334</v>
      </c>
      <c r="FEH105" s="33" t="s">
        <v>334</v>
      </c>
      <c r="FEI105" s="33" t="s">
        <v>334</v>
      </c>
      <c r="FEJ105" s="33" t="s">
        <v>334</v>
      </c>
      <c r="FEK105" s="33" t="s">
        <v>334</v>
      </c>
      <c r="FEL105" s="33" t="s">
        <v>334</v>
      </c>
      <c r="FEM105" s="33" t="s">
        <v>334</v>
      </c>
      <c r="FEN105" s="33" t="s">
        <v>334</v>
      </c>
      <c r="FEO105" s="33" t="s">
        <v>334</v>
      </c>
      <c r="FEP105" s="33" t="s">
        <v>334</v>
      </c>
      <c r="FEQ105" s="33" t="s">
        <v>334</v>
      </c>
      <c r="FER105" s="33" t="s">
        <v>334</v>
      </c>
      <c r="FES105" s="33" t="s">
        <v>334</v>
      </c>
      <c r="FET105" s="33" t="s">
        <v>334</v>
      </c>
      <c r="FEU105" s="33" t="s">
        <v>334</v>
      </c>
      <c r="FEV105" s="33" t="s">
        <v>334</v>
      </c>
      <c r="FEW105" s="33" t="s">
        <v>334</v>
      </c>
      <c r="FEX105" s="33" t="s">
        <v>334</v>
      </c>
      <c r="FEY105" s="33" t="s">
        <v>334</v>
      </c>
      <c r="FEZ105" s="33" t="s">
        <v>334</v>
      </c>
      <c r="FFA105" s="33" t="s">
        <v>334</v>
      </c>
      <c r="FFB105" s="33" t="s">
        <v>334</v>
      </c>
      <c r="FFC105" s="33" t="s">
        <v>334</v>
      </c>
      <c r="FFD105" s="33" t="s">
        <v>334</v>
      </c>
      <c r="FFE105" s="33" t="s">
        <v>334</v>
      </c>
      <c r="FFF105" s="33" t="s">
        <v>334</v>
      </c>
      <c r="FFG105" s="33" t="s">
        <v>334</v>
      </c>
      <c r="FFH105" s="33" t="s">
        <v>334</v>
      </c>
      <c r="FFI105" s="33" t="s">
        <v>334</v>
      </c>
      <c r="FFJ105" s="33" t="s">
        <v>334</v>
      </c>
      <c r="FFK105" s="33" t="s">
        <v>334</v>
      </c>
      <c r="FFL105" s="33" t="s">
        <v>334</v>
      </c>
      <c r="FFM105" s="33" t="s">
        <v>334</v>
      </c>
      <c r="FFN105" s="33" t="s">
        <v>334</v>
      </c>
      <c r="FFO105" s="33" t="s">
        <v>334</v>
      </c>
      <c r="FFP105" s="33" t="s">
        <v>334</v>
      </c>
      <c r="FFQ105" s="33" t="s">
        <v>334</v>
      </c>
      <c r="FFR105" s="33" t="s">
        <v>334</v>
      </c>
      <c r="FFS105" s="33" t="s">
        <v>334</v>
      </c>
      <c r="FFT105" s="33" t="s">
        <v>334</v>
      </c>
      <c r="FFU105" s="33" t="s">
        <v>334</v>
      </c>
      <c r="FFV105" s="33" t="s">
        <v>334</v>
      </c>
      <c r="FFW105" s="33" t="s">
        <v>334</v>
      </c>
      <c r="FFX105" s="33" t="s">
        <v>334</v>
      </c>
      <c r="FFY105" s="33" t="s">
        <v>334</v>
      </c>
      <c r="FFZ105" s="33" t="s">
        <v>334</v>
      </c>
      <c r="FGA105" s="33" t="s">
        <v>334</v>
      </c>
      <c r="FGB105" s="33" t="s">
        <v>334</v>
      </c>
      <c r="FGC105" s="33" t="s">
        <v>334</v>
      </c>
      <c r="FGD105" s="33" t="s">
        <v>334</v>
      </c>
      <c r="FGE105" s="33" t="s">
        <v>334</v>
      </c>
      <c r="FGF105" s="33" t="s">
        <v>334</v>
      </c>
      <c r="FGG105" s="33" t="s">
        <v>334</v>
      </c>
      <c r="FGH105" s="33" t="s">
        <v>334</v>
      </c>
      <c r="FGI105" s="33" t="s">
        <v>334</v>
      </c>
      <c r="FGJ105" s="33" t="s">
        <v>334</v>
      </c>
      <c r="FGK105" s="33" t="s">
        <v>334</v>
      </c>
      <c r="FGL105" s="33" t="s">
        <v>334</v>
      </c>
      <c r="FGM105" s="33" t="s">
        <v>334</v>
      </c>
      <c r="FGN105" s="33" t="s">
        <v>334</v>
      </c>
      <c r="FGO105" s="33" t="s">
        <v>334</v>
      </c>
      <c r="FGP105" s="33" t="s">
        <v>334</v>
      </c>
      <c r="FGQ105" s="33" t="s">
        <v>334</v>
      </c>
      <c r="FGR105" s="33" t="s">
        <v>334</v>
      </c>
      <c r="FGS105" s="33" t="s">
        <v>334</v>
      </c>
      <c r="FGT105" s="33" t="s">
        <v>334</v>
      </c>
      <c r="FGU105" s="33" t="s">
        <v>334</v>
      </c>
      <c r="FGV105" s="33" t="s">
        <v>334</v>
      </c>
      <c r="FGW105" s="33" t="s">
        <v>334</v>
      </c>
      <c r="FGX105" s="33" t="s">
        <v>334</v>
      </c>
      <c r="FGY105" s="33" t="s">
        <v>334</v>
      </c>
      <c r="FGZ105" s="33" t="s">
        <v>334</v>
      </c>
      <c r="FHA105" s="33" t="s">
        <v>334</v>
      </c>
      <c r="FHB105" s="33" t="s">
        <v>334</v>
      </c>
      <c r="FHC105" s="33" t="s">
        <v>334</v>
      </c>
      <c r="FHD105" s="33" t="s">
        <v>334</v>
      </c>
      <c r="FHE105" s="33" t="s">
        <v>334</v>
      </c>
      <c r="FHF105" s="33" t="s">
        <v>334</v>
      </c>
      <c r="FHG105" s="33" t="s">
        <v>334</v>
      </c>
      <c r="FHH105" s="33" t="s">
        <v>334</v>
      </c>
      <c r="FHI105" s="33" t="s">
        <v>334</v>
      </c>
      <c r="FHJ105" s="33" t="s">
        <v>334</v>
      </c>
      <c r="FHK105" s="33" t="s">
        <v>334</v>
      </c>
      <c r="FHL105" s="33" t="s">
        <v>334</v>
      </c>
      <c r="FHM105" s="33" t="s">
        <v>334</v>
      </c>
      <c r="FHN105" s="33" t="s">
        <v>334</v>
      </c>
      <c r="FHO105" s="33" t="s">
        <v>334</v>
      </c>
      <c r="FHP105" s="33" t="s">
        <v>334</v>
      </c>
      <c r="FHQ105" s="33" t="s">
        <v>334</v>
      </c>
      <c r="FHR105" s="33" t="s">
        <v>334</v>
      </c>
      <c r="FHS105" s="33" t="s">
        <v>334</v>
      </c>
      <c r="FHT105" s="33" t="s">
        <v>334</v>
      </c>
      <c r="FHU105" s="33" t="s">
        <v>334</v>
      </c>
      <c r="FHV105" s="33" t="s">
        <v>334</v>
      </c>
      <c r="FHW105" s="33" t="s">
        <v>334</v>
      </c>
      <c r="FHX105" s="33" t="s">
        <v>334</v>
      </c>
      <c r="FHY105" s="33" t="s">
        <v>334</v>
      </c>
      <c r="FHZ105" s="33" t="s">
        <v>334</v>
      </c>
      <c r="FIA105" s="33" t="s">
        <v>334</v>
      </c>
      <c r="FIB105" s="33" t="s">
        <v>334</v>
      </c>
      <c r="FIC105" s="33" t="s">
        <v>334</v>
      </c>
      <c r="FID105" s="33" t="s">
        <v>334</v>
      </c>
      <c r="FIE105" s="33" t="s">
        <v>334</v>
      </c>
      <c r="FIF105" s="33" t="s">
        <v>334</v>
      </c>
      <c r="FIG105" s="33" t="s">
        <v>334</v>
      </c>
      <c r="FIH105" s="33" t="s">
        <v>334</v>
      </c>
      <c r="FII105" s="33" t="s">
        <v>334</v>
      </c>
      <c r="FIJ105" s="33" t="s">
        <v>334</v>
      </c>
      <c r="FIK105" s="33" t="s">
        <v>334</v>
      </c>
      <c r="FIL105" s="33" t="s">
        <v>334</v>
      </c>
      <c r="FIM105" s="33" t="s">
        <v>334</v>
      </c>
      <c r="FIN105" s="33" t="s">
        <v>334</v>
      </c>
      <c r="FIO105" s="33" t="s">
        <v>334</v>
      </c>
      <c r="FIP105" s="33" t="s">
        <v>334</v>
      </c>
      <c r="FIQ105" s="33" t="s">
        <v>334</v>
      </c>
      <c r="FIR105" s="33" t="s">
        <v>334</v>
      </c>
      <c r="FIS105" s="33" t="s">
        <v>334</v>
      </c>
      <c r="FIT105" s="33" t="s">
        <v>334</v>
      </c>
      <c r="FIU105" s="33" t="s">
        <v>334</v>
      </c>
      <c r="FIV105" s="33" t="s">
        <v>334</v>
      </c>
      <c r="FIW105" s="33" t="s">
        <v>334</v>
      </c>
      <c r="FIX105" s="33" t="s">
        <v>334</v>
      </c>
      <c r="FIY105" s="33" t="s">
        <v>334</v>
      </c>
      <c r="FIZ105" s="33" t="s">
        <v>334</v>
      </c>
      <c r="FJA105" s="33" t="s">
        <v>334</v>
      </c>
      <c r="FJB105" s="33" t="s">
        <v>334</v>
      </c>
      <c r="FJC105" s="33" t="s">
        <v>334</v>
      </c>
      <c r="FJD105" s="33" t="s">
        <v>334</v>
      </c>
      <c r="FJE105" s="33" t="s">
        <v>334</v>
      </c>
      <c r="FJF105" s="33" t="s">
        <v>334</v>
      </c>
      <c r="FJG105" s="33" t="s">
        <v>334</v>
      </c>
      <c r="FJH105" s="33" t="s">
        <v>334</v>
      </c>
      <c r="FJI105" s="33" t="s">
        <v>334</v>
      </c>
      <c r="FJJ105" s="33" t="s">
        <v>334</v>
      </c>
      <c r="FJK105" s="33" t="s">
        <v>334</v>
      </c>
      <c r="FJL105" s="33" t="s">
        <v>334</v>
      </c>
      <c r="FJM105" s="33" t="s">
        <v>334</v>
      </c>
      <c r="FJN105" s="33" t="s">
        <v>334</v>
      </c>
      <c r="FJO105" s="33" t="s">
        <v>334</v>
      </c>
      <c r="FJP105" s="33" t="s">
        <v>334</v>
      </c>
      <c r="FJQ105" s="33" t="s">
        <v>334</v>
      </c>
      <c r="FJR105" s="33" t="s">
        <v>334</v>
      </c>
      <c r="FJS105" s="33" t="s">
        <v>334</v>
      </c>
      <c r="FJT105" s="33" t="s">
        <v>334</v>
      </c>
      <c r="FJU105" s="33" t="s">
        <v>334</v>
      </c>
      <c r="FJV105" s="33" t="s">
        <v>334</v>
      </c>
      <c r="FJW105" s="33" t="s">
        <v>334</v>
      </c>
      <c r="FJX105" s="33" t="s">
        <v>334</v>
      </c>
      <c r="FJY105" s="33" t="s">
        <v>334</v>
      </c>
      <c r="FJZ105" s="33" t="s">
        <v>334</v>
      </c>
      <c r="FKA105" s="33" t="s">
        <v>334</v>
      </c>
      <c r="FKB105" s="33" t="s">
        <v>334</v>
      </c>
      <c r="FKC105" s="33" t="s">
        <v>334</v>
      </c>
      <c r="FKD105" s="33" t="s">
        <v>334</v>
      </c>
      <c r="FKE105" s="33" t="s">
        <v>334</v>
      </c>
      <c r="FKF105" s="33" t="s">
        <v>334</v>
      </c>
      <c r="FKG105" s="33" t="s">
        <v>334</v>
      </c>
      <c r="FKH105" s="33" t="s">
        <v>334</v>
      </c>
      <c r="FKI105" s="33" t="s">
        <v>334</v>
      </c>
      <c r="FKJ105" s="33" t="s">
        <v>334</v>
      </c>
      <c r="FKK105" s="33" t="s">
        <v>334</v>
      </c>
      <c r="FKL105" s="33" t="s">
        <v>334</v>
      </c>
      <c r="FKM105" s="33" t="s">
        <v>334</v>
      </c>
      <c r="FKN105" s="33" t="s">
        <v>334</v>
      </c>
      <c r="FKO105" s="33" t="s">
        <v>334</v>
      </c>
      <c r="FKP105" s="33" t="s">
        <v>334</v>
      </c>
      <c r="FKQ105" s="33" t="s">
        <v>334</v>
      </c>
      <c r="FKR105" s="33" t="s">
        <v>334</v>
      </c>
      <c r="FKS105" s="33" t="s">
        <v>334</v>
      </c>
      <c r="FKT105" s="33" t="s">
        <v>334</v>
      </c>
      <c r="FKU105" s="33" t="s">
        <v>334</v>
      </c>
      <c r="FKV105" s="33" t="s">
        <v>334</v>
      </c>
      <c r="FKW105" s="33" t="s">
        <v>334</v>
      </c>
      <c r="FKX105" s="33" t="s">
        <v>334</v>
      </c>
      <c r="FKY105" s="33" t="s">
        <v>334</v>
      </c>
      <c r="FKZ105" s="33" t="s">
        <v>334</v>
      </c>
      <c r="FLA105" s="33" t="s">
        <v>334</v>
      </c>
      <c r="FLB105" s="33" t="s">
        <v>334</v>
      </c>
      <c r="FLC105" s="33" t="s">
        <v>334</v>
      </c>
      <c r="FLD105" s="33" t="s">
        <v>334</v>
      </c>
      <c r="FLE105" s="33" t="s">
        <v>334</v>
      </c>
      <c r="FLF105" s="33" t="s">
        <v>334</v>
      </c>
      <c r="FLG105" s="33" t="s">
        <v>334</v>
      </c>
      <c r="FLH105" s="33" t="s">
        <v>334</v>
      </c>
      <c r="FLI105" s="33" t="s">
        <v>334</v>
      </c>
      <c r="FLJ105" s="33" t="s">
        <v>334</v>
      </c>
      <c r="FLK105" s="33" t="s">
        <v>334</v>
      </c>
      <c r="FLL105" s="33" t="s">
        <v>334</v>
      </c>
      <c r="FLM105" s="33" t="s">
        <v>334</v>
      </c>
      <c r="FLN105" s="33" t="s">
        <v>334</v>
      </c>
      <c r="FLO105" s="33" t="s">
        <v>334</v>
      </c>
      <c r="FLP105" s="33" t="s">
        <v>334</v>
      </c>
      <c r="FLQ105" s="33" t="s">
        <v>334</v>
      </c>
      <c r="FLR105" s="33" t="s">
        <v>334</v>
      </c>
      <c r="FLS105" s="33" t="s">
        <v>334</v>
      </c>
      <c r="FLT105" s="33" t="s">
        <v>334</v>
      </c>
      <c r="FLU105" s="33" t="s">
        <v>334</v>
      </c>
      <c r="FLV105" s="33" t="s">
        <v>334</v>
      </c>
      <c r="FLW105" s="33" t="s">
        <v>334</v>
      </c>
      <c r="FLX105" s="33" t="s">
        <v>334</v>
      </c>
      <c r="FLY105" s="33" t="s">
        <v>334</v>
      </c>
      <c r="FLZ105" s="33" t="s">
        <v>334</v>
      </c>
      <c r="FMA105" s="33" t="s">
        <v>334</v>
      </c>
      <c r="FMB105" s="33" t="s">
        <v>334</v>
      </c>
      <c r="FMC105" s="33" t="s">
        <v>334</v>
      </c>
      <c r="FMD105" s="33" t="s">
        <v>334</v>
      </c>
      <c r="FME105" s="33" t="s">
        <v>334</v>
      </c>
      <c r="FMF105" s="33" t="s">
        <v>334</v>
      </c>
      <c r="FMG105" s="33" t="s">
        <v>334</v>
      </c>
      <c r="FMH105" s="33" t="s">
        <v>334</v>
      </c>
      <c r="FMI105" s="33" t="s">
        <v>334</v>
      </c>
      <c r="FMJ105" s="33" t="s">
        <v>334</v>
      </c>
      <c r="FMK105" s="33" t="s">
        <v>334</v>
      </c>
      <c r="FML105" s="33" t="s">
        <v>334</v>
      </c>
      <c r="FMM105" s="33" t="s">
        <v>334</v>
      </c>
      <c r="FMN105" s="33" t="s">
        <v>334</v>
      </c>
      <c r="FMO105" s="33" t="s">
        <v>334</v>
      </c>
      <c r="FMP105" s="33" t="s">
        <v>334</v>
      </c>
      <c r="FMQ105" s="33" t="s">
        <v>334</v>
      </c>
      <c r="FMR105" s="33" t="s">
        <v>334</v>
      </c>
      <c r="FMS105" s="33" t="s">
        <v>334</v>
      </c>
      <c r="FMT105" s="33" t="s">
        <v>334</v>
      </c>
      <c r="FMU105" s="33" t="s">
        <v>334</v>
      </c>
      <c r="FMV105" s="33" t="s">
        <v>334</v>
      </c>
      <c r="FMW105" s="33" t="s">
        <v>334</v>
      </c>
      <c r="FMX105" s="33" t="s">
        <v>334</v>
      </c>
      <c r="FMY105" s="33" t="s">
        <v>334</v>
      </c>
      <c r="FMZ105" s="33" t="s">
        <v>334</v>
      </c>
      <c r="FNA105" s="33" t="s">
        <v>334</v>
      </c>
      <c r="FNB105" s="33" t="s">
        <v>334</v>
      </c>
      <c r="FNC105" s="33" t="s">
        <v>334</v>
      </c>
      <c r="FND105" s="33" t="s">
        <v>334</v>
      </c>
      <c r="FNE105" s="33" t="s">
        <v>334</v>
      </c>
      <c r="FNF105" s="33" t="s">
        <v>334</v>
      </c>
      <c r="FNG105" s="33" t="s">
        <v>334</v>
      </c>
      <c r="FNH105" s="33" t="s">
        <v>334</v>
      </c>
      <c r="FNI105" s="33" t="s">
        <v>334</v>
      </c>
      <c r="FNJ105" s="33" t="s">
        <v>334</v>
      </c>
      <c r="FNK105" s="33" t="s">
        <v>334</v>
      </c>
      <c r="FNL105" s="33" t="s">
        <v>334</v>
      </c>
      <c r="FNM105" s="33" t="s">
        <v>334</v>
      </c>
      <c r="FNN105" s="33" t="s">
        <v>334</v>
      </c>
      <c r="FNO105" s="33" t="s">
        <v>334</v>
      </c>
      <c r="FNP105" s="33" t="s">
        <v>334</v>
      </c>
      <c r="FNQ105" s="33" t="s">
        <v>334</v>
      </c>
      <c r="FNR105" s="33" t="s">
        <v>334</v>
      </c>
      <c r="FNS105" s="33" t="s">
        <v>334</v>
      </c>
      <c r="FNT105" s="33" t="s">
        <v>334</v>
      </c>
      <c r="FNU105" s="33" t="s">
        <v>334</v>
      </c>
      <c r="FNV105" s="33" t="s">
        <v>334</v>
      </c>
      <c r="FNW105" s="33" t="s">
        <v>334</v>
      </c>
      <c r="FNX105" s="33" t="s">
        <v>334</v>
      </c>
      <c r="FNY105" s="33" t="s">
        <v>334</v>
      </c>
      <c r="FNZ105" s="33" t="s">
        <v>334</v>
      </c>
      <c r="FOA105" s="33" t="s">
        <v>334</v>
      </c>
      <c r="FOB105" s="33" t="s">
        <v>334</v>
      </c>
      <c r="FOC105" s="33" t="s">
        <v>334</v>
      </c>
      <c r="FOD105" s="33" t="s">
        <v>334</v>
      </c>
      <c r="FOE105" s="33" t="s">
        <v>334</v>
      </c>
      <c r="FOF105" s="33" t="s">
        <v>334</v>
      </c>
      <c r="FOG105" s="33" t="s">
        <v>334</v>
      </c>
      <c r="FOH105" s="33" t="s">
        <v>334</v>
      </c>
      <c r="FOI105" s="33" t="s">
        <v>334</v>
      </c>
      <c r="FOJ105" s="33" t="s">
        <v>334</v>
      </c>
      <c r="FOK105" s="33" t="s">
        <v>334</v>
      </c>
      <c r="FOL105" s="33" t="s">
        <v>334</v>
      </c>
      <c r="FOM105" s="33" t="s">
        <v>334</v>
      </c>
      <c r="FON105" s="33" t="s">
        <v>334</v>
      </c>
      <c r="FOO105" s="33" t="s">
        <v>334</v>
      </c>
      <c r="FOP105" s="33" t="s">
        <v>334</v>
      </c>
      <c r="FOQ105" s="33" t="s">
        <v>334</v>
      </c>
      <c r="FOR105" s="33" t="s">
        <v>334</v>
      </c>
      <c r="FOS105" s="33" t="s">
        <v>334</v>
      </c>
      <c r="FOT105" s="33" t="s">
        <v>334</v>
      </c>
      <c r="FOU105" s="33" t="s">
        <v>334</v>
      </c>
      <c r="FOV105" s="33" t="s">
        <v>334</v>
      </c>
      <c r="FOW105" s="33" t="s">
        <v>334</v>
      </c>
      <c r="FOX105" s="33" t="s">
        <v>334</v>
      </c>
      <c r="FOY105" s="33" t="s">
        <v>334</v>
      </c>
      <c r="FOZ105" s="33" t="s">
        <v>334</v>
      </c>
      <c r="FPA105" s="33" t="s">
        <v>334</v>
      </c>
      <c r="FPB105" s="33" t="s">
        <v>334</v>
      </c>
      <c r="FPC105" s="33" t="s">
        <v>334</v>
      </c>
      <c r="FPD105" s="33" t="s">
        <v>334</v>
      </c>
      <c r="FPE105" s="33" t="s">
        <v>334</v>
      </c>
      <c r="FPF105" s="33" t="s">
        <v>334</v>
      </c>
      <c r="FPG105" s="33" t="s">
        <v>334</v>
      </c>
      <c r="FPH105" s="33" t="s">
        <v>334</v>
      </c>
      <c r="FPI105" s="33" t="s">
        <v>334</v>
      </c>
      <c r="FPJ105" s="33" t="s">
        <v>334</v>
      </c>
      <c r="FPK105" s="33" t="s">
        <v>334</v>
      </c>
      <c r="FPL105" s="33" t="s">
        <v>334</v>
      </c>
      <c r="FPM105" s="33" t="s">
        <v>334</v>
      </c>
      <c r="FPN105" s="33" t="s">
        <v>334</v>
      </c>
      <c r="FPO105" s="33" t="s">
        <v>334</v>
      </c>
      <c r="FPP105" s="33" t="s">
        <v>334</v>
      </c>
      <c r="FPQ105" s="33" t="s">
        <v>334</v>
      </c>
      <c r="FPR105" s="33" t="s">
        <v>334</v>
      </c>
      <c r="FPS105" s="33" t="s">
        <v>334</v>
      </c>
      <c r="FPT105" s="33" t="s">
        <v>334</v>
      </c>
      <c r="FPU105" s="33" t="s">
        <v>334</v>
      </c>
      <c r="FPV105" s="33" t="s">
        <v>334</v>
      </c>
      <c r="FPW105" s="33" t="s">
        <v>334</v>
      </c>
      <c r="FPX105" s="33" t="s">
        <v>334</v>
      </c>
      <c r="FPY105" s="33" t="s">
        <v>334</v>
      </c>
      <c r="FPZ105" s="33" t="s">
        <v>334</v>
      </c>
      <c r="FQA105" s="33" t="s">
        <v>334</v>
      </c>
      <c r="FQB105" s="33" t="s">
        <v>334</v>
      </c>
      <c r="FQC105" s="33" t="s">
        <v>334</v>
      </c>
      <c r="FQD105" s="33" t="s">
        <v>334</v>
      </c>
      <c r="FQE105" s="33" t="s">
        <v>334</v>
      </c>
      <c r="FQF105" s="33" t="s">
        <v>334</v>
      </c>
      <c r="FQG105" s="33" t="s">
        <v>334</v>
      </c>
      <c r="FQH105" s="33" t="s">
        <v>334</v>
      </c>
      <c r="FQI105" s="33" t="s">
        <v>334</v>
      </c>
      <c r="FQJ105" s="33" t="s">
        <v>334</v>
      </c>
      <c r="FQK105" s="33" t="s">
        <v>334</v>
      </c>
      <c r="FQL105" s="33" t="s">
        <v>334</v>
      </c>
      <c r="FQM105" s="33" t="s">
        <v>334</v>
      </c>
      <c r="FQN105" s="33" t="s">
        <v>334</v>
      </c>
      <c r="FQO105" s="33" t="s">
        <v>334</v>
      </c>
      <c r="FQP105" s="33" t="s">
        <v>334</v>
      </c>
      <c r="FQQ105" s="33" t="s">
        <v>334</v>
      </c>
      <c r="FQR105" s="33" t="s">
        <v>334</v>
      </c>
      <c r="FQS105" s="33" t="s">
        <v>334</v>
      </c>
      <c r="FQT105" s="33" t="s">
        <v>334</v>
      </c>
      <c r="FQU105" s="33" t="s">
        <v>334</v>
      </c>
      <c r="FQV105" s="33" t="s">
        <v>334</v>
      </c>
      <c r="FQW105" s="33" t="s">
        <v>334</v>
      </c>
      <c r="FQX105" s="33" t="s">
        <v>334</v>
      </c>
      <c r="FQY105" s="33" t="s">
        <v>334</v>
      </c>
      <c r="FQZ105" s="33" t="s">
        <v>334</v>
      </c>
      <c r="FRA105" s="33" t="s">
        <v>334</v>
      </c>
      <c r="FRB105" s="33" t="s">
        <v>334</v>
      </c>
      <c r="FRC105" s="33" t="s">
        <v>334</v>
      </c>
      <c r="FRD105" s="33" t="s">
        <v>334</v>
      </c>
      <c r="FRE105" s="33" t="s">
        <v>334</v>
      </c>
      <c r="FRF105" s="33" t="s">
        <v>334</v>
      </c>
      <c r="FRG105" s="33" t="s">
        <v>334</v>
      </c>
      <c r="FRH105" s="33" t="s">
        <v>334</v>
      </c>
      <c r="FRI105" s="33" t="s">
        <v>334</v>
      </c>
      <c r="FRJ105" s="33" t="s">
        <v>334</v>
      </c>
      <c r="FRK105" s="33" t="s">
        <v>334</v>
      </c>
      <c r="FRL105" s="33" t="s">
        <v>334</v>
      </c>
      <c r="FRM105" s="33" t="s">
        <v>334</v>
      </c>
      <c r="FRN105" s="33" t="s">
        <v>334</v>
      </c>
      <c r="FRO105" s="33" t="s">
        <v>334</v>
      </c>
      <c r="FRP105" s="33" t="s">
        <v>334</v>
      </c>
      <c r="FRQ105" s="33" t="s">
        <v>334</v>
      </c>
      <c r="FRR105" s="33" t="s">
        <v>334</v>
      </c>
      <c r="FRS105" s="33" t="s">
        <v>334</v>
      </c>
      <c r="FRT105" s="33" t="s">
        <v>334</v>
      </c>
      <c r="FRU105" s="33" t="s">
        <v>334</v>
      </c>
      <c r="FRV105" s="33" t="s">
        <v>334</v>
      </c>
      <c r="FRW105" s="33" t="s">
        <v>334</v>
      </c>
      <c r="FRX105" s="33" t="s">
        <v>334</v>
      </c>
      <c r="FRY105" s="33" t="s">
        <v>334</v>
      </c>
      <c r="FRZ105" s="33" t="s">
        <v>334</v>
      </c>
      <c r="FSA105" s="33" t="s">
        <v>334</v>
      </c>
      <c r="FSB105" s="33" t="s">
        <v>334</v>
      </c>
      <c r="FSC105" s="33" t="s">
        <v>334</v>
      </c>
      <c r="FSD105" s="33" t="s">
        <v>334</v>
      </c>
      <c r="FSE105" s="33" t="s">
        <v>334</v>
      </c>
      <c r="FSF105" s="33" t="s">
        <v>334</v>
      </c>
      <c r="FSG105" s="33" t="s">
        <v>334</v>
      </c>
      <c r="FSH105" s="33" t="s">
        <v>334</v>
      </c>
      <c r="FSI105" s="33" t="s">
        <v>334</v>
      </c>
      <c r="FSJ105" s="33" t="s">
        <v>334</v>
      </c>
      <c r="FSK105" s="33" t="s">
        <v>334</v>
      </c>
      <c r="FSL105" s="33" t="s">
        <v>334</v>
      </c>
      <c r="FSM105" s="33" t="s">
        <v>334</v>
      </c>
      <c r="FSN105" s="33" t="s">
        <v>334</v>
      </c>
      <c r="FSO105" s="33" t="s">
        <v>334</v>
      </c>
      <c r="FSP105" s="33" t="s">
        <v>334</v>
      </c>
      <c r="FSQ105" s="33" t="s">
        <v>334</v>
      </c>
      <c r="FSR105" s="33" t="s">
        <v>334</v>
      </c>
      <c r="FSS105" s="33" t="s">
        <v>334</v>
      </c>
      <c r="FST105" s="33" t="s">
        <v>334</v>
      </c>
      <c r="FSU105" s="33" t="s">
        <v>334</v>
      </c>
      <c r="FSV105" s="33" t="s">
        <v>334</v>
      </c>
      <c r="FSW105" s="33" t="s">
        <v>334</v>
      </c>
      <c r="FSX105" s="33" t="s">
        <v>334</v>
      </c>
      <c r="FSY105" s="33" t="s">
        <v>334</v>
      </c>
      <c r="FSZ105" s="33" t="s">
        <v>334</v>
      </c>
      <c r="FTA105" s="33" t="s">
        <v>334</v>
      </c>
      <c r="FTB105" s="33" t="s">
        <v>334</v>
      </c>
      <c r="FTC105" s="33" t="s">
        <v>334</v>
      </c>
      <c r="FTD105" s="33" t="s">
        <v>334</v>
      </c>
      <c r="FTE105" s="33" t="s">
        <v>334</v>
      </c>
      <c r="FTF105" s="33" t="s">
        <v>334</v>
      </c>
      <c r="FTG105" s="33" t="s">
        <v>334</v>
      </c>
      <c r="FTH105" s="33" t="s">
        <v>334</v>
      </c>
      <c r="FTI105" s="33" t="s">
        <v>334</v>
      </c>
      <c r="FTJ105" s="33" t="s">
        <v>334</v>
      </c>
      <c r="FTK105" s="33" t="s">
        <v>334</v>
      </c>
      <c r="FTL105" s="33" t="s">
        <v>334</v>
      </c>
      <c r="FTM105" s="33" t="s">
        <v>334</v>
      </c>
      <c r="FTN105" s="33" t="s">
        <v>334</v>
      </c>
      <c r="FTO105" s="33" t="s">
        <v>334</v>
      </c>
      <c r="FTP105" s="33" t="s">
        <v>334</v>
      </c>
      <c r="FTQ105" s="33" t="s">
        <v>334</v>
      </c>
      <c r="FTR105" s="33" t="s">
        <v>334</v>
      </c>
      <c r="FTS105" s="33" t="s">
        <v>334</v>
      </c>
      <c r="FTT105" s="33" t="s">
        <v>334</v>
      </c>
      <c r="FTU105" s="33" t="s">
        <v>334</v>
      </c>
      <c r="FTV105" s="33" t="s">
        <v>334</v>
      </c>
      <c r="FTW105" s="33" t="s">
        <v>334</v>
      </c>
      <c r="FTX105" s="33" t="s">
        <v>334</v>
      </c>
      <c r="FTY105" s="33" t="s">
        <v>334</v>
      </c>
      <c r="FTZ105" s="33" t="s">
        <v>334</v>
      </c>
      <c r="FUA105" s="33" t="s">
        <v>334</v>
      </c>
      <c r="FUB105" s="33" t="s">
        <v>334</v>
      </c>
      <c r="FUC105" s="33" t="s">
        <v>334</v>
      </c>
      <c r="FUD105" s="33" t="s">
        <v>334</v>
      </c>
      <c r="FUE105" s="33" t="s">
        <v>334</v>
      </c>
      <c r="FUF105" s="33" t="s">
        <v>334</v>
      </c>
      <c r="FUG105" s="33" t="s">
        <v>334</v>
      </c>
      <c r="FUH105" s="33" t="s">
        <v>334</v>
      </c>
      <c r="FUI105" s="33" t="s">
        <v>334</v>
      </c>
      <c r="FUJ105" s="33" t="s">
        <v>334</v>
      </c>
      <c r="FUK105" s="33" t="s">
        <v>334</v>
      </c>
      <c r="FUL105" s="33" t="s">
        <v>334</v>
      </c>
      <c r="FUM105" s="33" t="s">
        <v>334</v>
      </c>
      <c r="FUN105" s="33" t="s">
        <v>334</v>
      </c>
      <c r="FUO105" s="33" t="s">
        <v>334</v>
      </c>
      <c r="FUP105" s="33" t="s">
        <v>334</v>
      </c>
      <c r="FUQ105" s="33" t="s">
        <v>334</v>
      </c>
      <c r="FUR105" s="33" t="s">
        <v>334</v>
      </c>
      <c r="FUS105" s="33" t="s">
        <v>334</v>
      </c>
      <c r="FUT105" s="33" t="s">
        <v>334</v>
      </c>
      <c r="FUU105" s="33" t="s">
        <v>334</v>
      </c>
      <c r="FUV105" s="33" t="s">
        <v>334</v>
      </c>
      <c r="FUW105" s="33" t="s">
        <v>334</v>
      </c>
      <c r="FUX105" s="33" t="s">
        <v>334</v>
      </c>
      <c r="FUY105" s="33" t="s">
        <v>334</v>
      </c>
      <c r="FUZ105" s="33" t="s">
        <v>334</v>
      </c>
      <c r="FVA105" s="33" t="s">
        <v>334</v>
      </c>
      <c r="FVB105" s="33" t="s">
        <v>334</v>
      </c>
      <c r="FVC105" s="33" t="s">
        <v>334</v>
      </c>
      <c r="FVD105" s="33" t="s">
        <v>334</v>
      </c>
      <c r="FVE105" s="33" t="s">
        <v>334</v>
      </c>
      <c r="FVF105" s="33" t="s">
        <v>334</v>
      </c>
      <c r="FVG105" s="33" t="s">
        <v>334</v>
      </c>
      <c r="FVH105" s="33" t="s">
        <v>334</v>
      </c>
      <c r="FVI105" s="33" t="s">
        <v>334</v>
      </c>
      <c r="FVJ105" s="33" t="s">
        <v>334</v>
      </c>
      <c r="FVK105" s="33" t="s">
        <v>334</v>
      </c>
      <c r="FVL105" s="33" t="s">
        <v>334</v>
      </c>
      <c r="FVM105" s="33" t="s">
        <v>334</v>
      </c>
      <c r="FVN105" s="33" t="s">
        <v>334</v>
      </c>
      <c r="FVO105" s="33" t="s">
        <v>334</v>
      </c>
      <c r="FVP105" s="33" t="s">
        <v>334</v>
      </c>
      <c r="FVQ105" s="33" t="s">
        <v>334</v>
      </c>
      <c r="FVR105" s="33" t="s">
        <v>334</v>
      </c>
      <c r="FVS105" s="33" t="s">
        <v>334</v>
      </c>
      <c r="FVT105" s="33" t="s">
        <v>334</v>
      </c>
      <c r="FVU105" s="33" t="s">
        <v>334</v>
      </c>
      <c r="FVV105" s="33" t="s">
        <v>334</v>
      </c>
      <c r="FVW105" s="33" t="s">
        <v>334</v>
      </c>
      <c r="FVX105" s="33" t="s">
        <v>334</v>
      </c>
      <c r="FVY105" s="33" t="s">
        <v>334</v>
      </c>
      <c r="FVZ105" s="33" t="s">
        <v>334</v>
      </c>
      <c r="FWA105" s="33" t="s">
        <v>334</v>
      </c>
      <c r="FWB105" s="33" t="s">
        <v>334</v>
      </c>
      <c r="FWC105" s="33" t="s">
        <v>334</v>
      </c>
      <c r="FWD105" s="33" t="s">
        <v>334</v>
      </c>
      <c r="FWE105" s="33" t="s">
        <v>334</v>
      </c>
      <c r="FWF105" s="33" t="s">
        <v>334</v>
      </c>
      <c r="FWG105" s="33" t="s">
        <v>334</v>
      </c>
      <c r="FWH105" s="33" t="s">
        <v>334</v>
      </c>
      <c r="FWI105" s="33" t="s">
        <v>334</v>
      </c>
      <c r="FWJ105" s="33" t="s">
        <v>334</v>
      </c>
      <c r="FWK105" s="33" t="s">
        <v>334</v>
      </c>
      <c r="FWL105" s="33" t="s">
        <v>334</v>
      </c>
      <c r="FWM105" s="33" t="s">
        <v>334</v>
      </c>
      <c r="FWN105" s="33" t="s">
        <v>334</v>
      </c>
      <c r="FWO105" s="33" t="s">
        <v>334</v>
      </c>
      <c r="FWP105" s="33" t="s">
        <v>334</v>
      </c>
      <c r="FWQ105" s="33" t="s">
        <v>334</v>
      </c>
      <c r="FWR105" s="33" t="s">
        <v>334</v>
      </c>
      <c r="FWS105" s="33" t="s">
        <v>334</v>
      </c>
      <c r="FWT105" s="33" t="s">
        <v>334</v>
      </c>
      <c r="FWU105" s="33" t="s">
        <v>334</v>
      </c>
      <c r="FWV105" s="33" t="s">
        <v>334</v>
      </c>
      <c r="FWW105" s="33" t="s">
        <v>334</v>
      </c>
      <c r="FWX105" s="33" t="s">
        <v>334</v>
      </c>
      <c r="FWY105" s="33" t="s">
        <v>334</v>
      </c>
      <c r="FWZ105" s="33" t="s">
        <v>334</v>
      </c>
      <c r="FXA105" s="33" t="s">
        <v>334</v>
      </c>
      <c r="FXB105" s="33" t="s">
        <v>334</v>
      </c>
      <c r="FXC105" s="33" t="s">
        <v>334</v>
      </c>
      <c r="FXD105" s="33" t="s">
        <v>334</v>
      </c>
      <c r="FXE105" s="33" t="s">
        <v>334</v>
      </c>
      <c r="FXF105" s="33" t="s">
        <v>334</v>
      </c>
      <c r="FXG105" s="33" t="s">
        <v>334</v>
      </c>
      <c r="FXH105" s="33" t="s">
        <v>334</v>
      </c>
      <c r="FXI105" s="33" t="s">
        <v>334</v>
      </c>
      <c r="FXJ105" s="33" t="s">
        <v>334</v>
      </c>
      <c r="FXK105" s="33" t="s">
        <v>334</v>
      </c>
      <c r="FXL105" s="33" t="s">
        <v>334</v>
      </c>
      <c r="FXM105" s="33" t="s">
        <v>334</v>
      </c>
      <c r="FXN105" s="33" t="s">
        <v>334</v>
      </c>
      <c r="FXO105" s="33" t="s">
        <v>334</v>
      </c>
      <c r="FXP105" s="33" t="s">
        <v>334</v>
      </c>
      <c r="FXQ105" s="33" t="s">
        <v>334</v>
      </c>
      <c r="FXR105" s="33" t="s">
        <v>334</v>
      </c>
      <c r="FXS105" s="33" t="s">
        <v>334</v>
      </c>
      <c r="FXT105" s="33" t="s">
        <v>334</v>
      </c>
      <c r="FXU105" s="33" t="s">
        <v>334</v>
      </c>
      <c r="FXV105" s="33" t="s">
        <v>334</v>
      </c>
      <c r="FXW105" s="33" t="s">
        <v>334</v>
      </c>
      <c r="FXX105" s="33" t="s">
        <v>334</v>
      </c>
      <c r="FXY105" s="33" t="s">
        <v>334</v>
      </c>
      <c r="FXZ105" s="33" t="s">
        <v>334</v>
      </c>
      <c r="FYA105" s="33" t="s">
        <v>334</v>
      </c>
      <c r="FYB105" s="33" t="s">
        <v>334</v>
      </c>
      <c r="FYC105" s="33" t="s">
        <v>334</v>
      </c>
      <c r="FYD105" s="33" t="s">
        <v>334</v>
      </c>
      <c r="FYE105" s="33" t="s">
        <v>334</v>
      </c>
      <c r="FYF105" s="33" t="s">
        <v>334</v>
      </c>
      <c r="FYG105" s="33" t="s">
        <v>334</v>
      </c>
      <c r="FYH105" s="33" t="s">
        <v>334</v>
      </c>
      <c r="FYI105" s="33" t="s">
        <v>334</v>
      </c>
      <c r="FYJ105" s="33" t="s">
        <v>334</v>
      </c>
      <c r="FYK105" s="33" t="s">
        <v>334</v>
      </c>
      <c r="FYL105" s="33" t="s">
        <v>334</v>
      </c>
      <c r="FYM105" s="33" t="s">
        <v>334</v>
      </c>
      <c r="FYN105" s="33" t="s">
        <v>334</v>
      </c>
      <c r="FYO105" s="33" t="s">
        <v>334</v>
      </c>
      <c r="FYP105" s="33" t="s">
        <v>334</v>
      </c>
      <c r="FYQ105" s="33" t="s">
        <v>334</v>
      </c>
      <c r="FYR105" s="33" t="s">
        <v>334</v>
      </c>
      <c r="FYS105" s="33" t="s">
        <v>334</v>
      </c>
      <c r="FYT105" s="33" t="s">
        <v>334</v>
      </c>
      <c r="FYU105" s="33" t="s">
        <v>334</v>
      </c>
      <c r="FYV105" s="33" t="s">
        <v>334</v>
      </c>
      <c r="FYW105" s="33" t="s">
        <v>334</v>
      </c>
      <c r="FYX105" s="33" t="s">
        <v>334</v>
      </c>
      <c r="FYY105" s="33" t="s">
        <v>334</v>
      </c>
      <c r="FYZ105" s="33" t="s">
        <v>334</v>
      </c>
      <c r="FZA105" s="33" t="s">
        <v>334</v>
      </c>
      <c r="FZB105" s="33" t="s">
        <v>334</v>
      </c>
      <c r="FZC105" s="33" t="s">
        <v>334</v>
      </c>
      <c r="FZD105" s="33" t="s">
        <v>334</v>
      </c>
      <c r="FZE105" s="33" t="s">
        <v>334</v>
      </c>
      <c r="FZF105" s="33" t="s">
        <v>334</v>
      </c>
      <c r="FZG105" s="33" t="s">
        <v>334</v>
      </c>
      <c r="FZH105" s="33" t="s">
        <v>334</v>
      </c>
      <c r="FZI105" s="33" t="s">
        <v>334</v>
      </c>
      <c r="FZJ105" s="33" t="s">
        <v>334</v>
      </c>
      <c r="FZK105" s="33" t="s">
        <v>334</v>
      </c>
      <c r="FZL105" s="33" t="s">
        <v>334</v>
      </c>
      <c r="FZM105" s="33" t="s">
        <v>334</v>
      </c>
      <c r="FZN105" s="33" t="s">
        <v>334</v>
      </c>
      <c r="FZO105" s="33" t="s">
        <v>334</v>
      </c>
      <c r="FZP105" s="33" t="s">
        <v>334</v>
      </c>
      <c r="FZQ105" s="33" t="s">
        <v>334</v>
      </c>
      <c r="FZR105" s="33" t="s">
        <v>334</v>
      </c>
      <c r="FZS105" s="33" t="s">
        <v>334</v>
      </c>
      <c r="FZT105" s="33" t="s">
        <v>334</v>
      </c>
      <c r="FZU105" s="33" t="s">
        <v>334</v>
      </c>
      <c r="FZV105" s="33" t="s">
        <v>334</v>
      </c>
      <c r="FZW105" s="33" t="s">
        <v>334</v>
      </c>
      <c r="FZX105" s="33" t="s">
        <v>334</v>
      </c>
      <c r="FZY105" s="33" t="s">
        <v>334</v>
      </c>
      <c r="FZZ105" s="33" t="s">
        <v>334</v>
      </c>
      <c r="GAA105" s="33" t="s">
        <v>334</v>
      </c>
      <c r="GAB105" s="33" t="s">
        <v>334</v>
      </c>
      <c r="GAC105" s="33" t="s">
        <v>334</v>
      </c>
      <c r="GAD105" s="33" t="s">
        <v>334</v>
      </c>
      <c r="GAE105" s="33" t="s">
        <v>334</v>
      </c>
      <c r="GAF105" s="33" t="s">
        <v>334</v>
      </c>
      <c r="GAG105" s="33" t="s">
        <v>334</v>
      </c>
      <c r="GAH105" s="33" t="s">
        <v>334</v>
      </c>
      <c r="GAI105" s="33" t="s">
        <v>334</v>
      </c>
      <c r="GAJ105" s="33" t="s">
        <v>334</v>
      </c>
      <c r="GAK105" s="33" t="s">
        <v>334</v>
      </c>
      <c r="GAL105" s="33" t="s">
        <v>334</v>
      </c>
      <c r="GAM105" s="33" t="s">
        <v>334</v>
      </c>
      <c r="GAN105" s="33" t="s">
        <v>334</v>
      </c>
      <c r="GAO105" s="33" t="s">
        <v>334</v>
      </c>
      <c r="GAP105" s="33" t="s">
        <v>334</v>
      </c>
      <c r="GAQ105" s="33" t="s">
        <v>334</v>
      </c>
      <c r="GAR105" s="33" t="s">
        <v>334</v>
      </c>
      <c r="GAS105" s="33" t="s">
        <v>334</v>
      </c>
      <c r="GAT105" s="33" t="s">
        <v>334</v>
      </c>
      <c r="GAU105" s="33" t="s">
        <v>334</v>
      </c>
      <c r="GAV105" s="33" t="s">
        <v>334</v>
      </c>
      <c r="GAW105" s="33" t="s">
        <v>334</v>
      </c>
      <c r="GAX105" s="33" t="s">
        <v>334</v>
      </c>
      <c r="GAY105" s="33" t="s">
        <v>334</v>
      </c>
      <c r="GAZ105" s="33" t="s">
        <v>334</v>
      </c>
      <c r="GBA105" s="33" t="s">
        <v>334</v>
      </c>
      <c r="GBB105" s="33" t="s">
        <v>334</v>
      </c>
      <c r="GBC105" s="33" t="s">
        <v>334</v>
      </c>
      <c r="GBD105" s="33" t="s">
        <v>334</v>
      </c>
      <c r="GBE105" s="33" t="s">
        <v>334</v>
      </c>
      <c r="GBF105" s="33" t="s">
        <v>334</v>
      </c>
      <c r="GBG105" s="33" t="s">
        <v>334</v>
      </c>
      <c r="GBH105" s="33" t="s">
        <v>334</v>
      </c>
      <c r="GBI105" s="33" t="s">
        <v>334</v>
      </c>
      <c r="GBJ105" s="33" t="s">
        <v>334</v>
      </c>
      <c r="GBK105" s="33" t="s">
        <v>334</v>
      </c>
      <c r="GBL105" s="33" t="s">
        <v>334</v>
      </c>
      <c r="GBM105" s="33" t="s">
        <v>334</v>
      </c>
      <c r="GBN105" s="33" t="s">
        <v>334</v>
      </c>
      <c r="GBO105" s="33" t="s">
        <v>334</v>
      </c>
      <c r="GBP105" s="33" t="s">
        <v>334</v>
      </c>
      <c r="GBQ105" s="33" t="s">
        <v>334</v>
      </c>
      <c r="GBR105" s="33" t="s">
        <v>334</v>
      </c>
      <c r="GBS105" s="33" t="s">
        <v>334</v>
      </c>
      <c r="GBT105" s="33" t="s">
        <v>334</v>
      </c>
      <c r="GBU105" s="33" t="s">
        <v>334</v>
      </c>
      <c r="GBV105" s="33" t="s">
        <v>334</v>
      </c>
      <c r="GBW105" s="33" t="s">
        <v>334</v>
      </c>
      <c r="GBX105" s="33" t="s">
        <v>334</v>
      </c>
      <c r="GBY105" s="33" t="s">
        <v>334</v>
      </c>
      <c r="GBZ105" s="33" t="s">
        <v>334</v>
      </c>
      <c r="GCA105" s="33" t="s">
        <v>334</v>
      </c>
      <c r="GCB105" s="33" t="s">
        <v>334</v>
      </c>
      <c r="GCC105" s="33" t="s">
        <v>334</v>
      </c>
      <c r="GCD105" s="33" t="s">
        <v>334</v>
      </c>
      <c r="GCE105" s="33" t="s">
        <v>334</v>
      </c>
      <c r="GCF105" s="33" t="s">
        <v>334</v>
      </c>
      <c r="GCG105" s="33" t="s">
        <v>334</v>
      </c>
      <c r="GCH105" s="33" t="s">
        <v>334</v>
      </c>
      <c r="GCI105" s="33" t="s">
        <v>334</v>
      </c>
      <c r="GCJ105" s="33" t="s">
        <v>334</v>
      </c>
      <c r="GCK105" s="33" t="s">
        <v>334</v>
      </c>
      <c r="GCL105" s="33" t="s">
        <v>334</v>
      </c>
      <c r="GCM105" s="33" t="s">
        <v>334</v>
      </c>
      <c r="GCN105" s="33" t="s">
        <v>334</v>
      </c>
      <c r="GCO105" s="33" t="s">
        <v>334</v>
      </c>
      <c r="GCP105" s="33" t="s">
        <v>334</v>
      </c>
      <c r="GCQ105" s="33" t="s">
        <v>334</v>
      </c>
      <c r="GCR105" s="33" t="s">
        <v>334</v>
      </c>
      <c r="GCS105" s="33" t="s">
        <v>334</v>
      </c>
      <c r="GCT105" s="33" t="s">
        <v>334</v>
      </c>
      <c r="GCU105" s="33" t="s">
        <v>334</v>
      </c>
      <c r="GCV105" s="33" t="s">
        <v>334</v>
      </c>
      <c r="GCW105" s="33" t="s">
        <v>334</v>
      </c>
      <c r="GCX105" s="33" t="s">
        <v>334</v>
      </c>
      <c r="GCY105" s="33" t="s">
        <v>334</v>
      </c>
      <c r="GCZ105" s="33" t="s">
        <v>334</v>
      </c>
      <c r="GDA105" s="33" t="s">
        <v>334</v>
      </c>
      <c r="GDB105" s="33" t="s">
        <v>334</v>
      </c>
      <c r="GDC105" s="33" t="s">
        <v>334</v>
      </c>
      <c r="GDD105" s="33" t="s">
        <v>334</v>
      </c>
      <c r="GDE105" s="33" t="s">
        <v>334</v>
      </c>
      <c r="GDF105" s="33" t="s">
        <v>334</v>
      </c>
      <c r="GDG105" s="33" t="s">
        <v>334</v>
      </c>
      <c r="GDH105" s="33" t="s">
        <v>334</v>
      </c>
      <c r="GDI105" s="33" t="s">
        <v>334</v>
      </c>
      <c r="GDJ105" s="33" t="s">
        <v>334</v>
      </c>
      <c r="GDK105" s="33" t="s">
        <v>334</v>
      </c>
      <c r="GDL105" s="33" t="s">
        <v>334</v>
      </c>
      <c r="GDM105" s="33" t="s">
        <v>334</v>
      </c>
      <c r="GDN105" s="33" t="s">
        <v>334</v>
      </c>
      <c r="GDO105" s="33" t="s">
        <v>334</v>
      </c>
      <c r="GDP105" s="33" t="s">
        <v>334</v>
      </c>
      <c r="GDQ105" s="33" t="s">
        <v>334</v>
      </c>
      <c r="GDR105" s="33" t="s">
        <v>334</v>
      </c>
      <c r="GDS105" s="33" t="s">
        <v>334</v>
      </c>
      <c r="GDT105" s="33" t="s">
        <v>334</v>
      </c>
      <c r="GDU105" s="33" t="s">
        <v>334</v>
      </c>
      <c r="GDV105" s="33" t="s">
        <v>334</v>
      </c>
      <c r="GDW105" s="33" t="s">
        <v>334</v>
      </c>
      <c r="GDX105" s="33" t="s">
        <v>334</v>
      </c>
      <c r="GDY105" s="33" t="s">
        <v>334</v>
      </c>
      <c r="GDZ105" s="33" t="s">
        <v>334</v>
      </c>
      <c r="GEA105" s="33" t="s">
        <v>334</v>
      </c>
      <c r="GEB105" s="33" t="s">
        <v>334</v>
      </c>
      <c r="GEC105" s="33" t="s">
        <v>334</v>
      </c>
      <c r="GED105" s="33" t="s">
        <v>334</v>
      </c>
      <c r="GEE105" s="33" t="s">
        <v>334</v>
      </c>
      <c r="GEF105" s="33" t="s">
        <v>334</v>
      </c>
      <c r="GEG105" s="33" t="s">
        <v>334</v>
      </c>
      <c r="GEH105" s="33" t="s">
        <v>334</v>
      </c>
      <c r="GEI105" s="33" t="s">
        <v>334</v>
      </c>
      <c r="GEJ105" s="33" t="s">
        <v>334</v>
      </c>
      <c r="GEK105" s="33" t="s">
        <v>334</v>
      </c>
      <c r="GEL105" s="33" t="s">
        <v>334</v>
      </c>
      <c r="GEM105" s="33" t="s">
        <v>334</v>
      </c>
      <c r="GEN105" s="33" t="s">
        <v>334</v>
      </c>
      <c r="GEO105" s="33" t="s">
        <v>334</v>
      </c>
      <c r="GEP105" s="33" t="s">
        <v>334</v>
      </c>
      <c r="GEQ105" s="33" t="s">
        <v>334</v>
      </c>
      <c r="GER105" s="33" t="s">
        <v>334</v>
      </c>
      <c r="GES105" s="33" t="s">
        <v>334</v>
      </c>
      <c r="GET105" s="33" t="s">
        <v>334</v>
      </c>
      <c r="GEU105" s="33" t="s">
        <v>334</v>
      </c>
      <c r="GEV105" s="33" t="s">
        <v>334</v>
      </c>
      <c r="GEW105" s="33" t="s">
        <v>334</v>
      </c>
      <c r="GEX105" s="33" t="s">
        <v>334</v>
      </c>
      <c r="GEY105" s="33" t="s">
        <v>334</v>
      </c>
      <c r="GEZ105" s="33" t="s">
        <v>334</v>
      </c>
      <c r="GFA105" s="33" t="s">
        <v>334</v>
      </c>
      <c r="GFB105" s="33" t="s">
        <v>334</v>
      </c>
      <c r="GFC105" s="33" t="s">
        <v>334</v>
      </c>
      <c r="GFD105" s="33" t="s">
        <v>334</v>
      </c>
      <c r="GFE105" s="33" t="s">
        <v>334</v>
      </c>
      <c r="GFF105" s="33" t="s">
        <v>334</v>
      </c>
      <c r="GFG105" s="33" t="s">
        <v>334</v>
      </c>
      <c r="GFH105" s="33" t="s">
        <v>334</v>
      </c>
      <c r="GFI105" s="33" t="s">
        <v>334</v>
      </c>
      <c r="GFJ105" s="33" t="s">
        <v>334</v>
      </c>
      <c r="GFK105" s="33" t="s">
        <v>334</v>
      </c>
      <c r="GFL105" s="33" t="s">
        <v>334</v>
      </c>
      <c r="GFM105" s="33" t="s">
        <v>334</v>
      </c>
      <c r="GFN105" s="33" t="s">
        <v>334</v>
      </c>
      <c r="GFO105" s="33" t="s">
        <v>334</v>
      </c>
      <c r="GFP105" s="33" t="s">
        <v>334</v>
      </c>
      <c r="GFQ105" s="33" t="s">
        <v>334</v>
      </c>
      <c r="GFR105" s="33" t="s">
        <v>334</v>
      </c>
      <c r="GFS105" s="33" t="s">
        <v>334</v>
      </c>
      <c r="GFT105" s="33" t="s">
        <v>334</v>
      </c>
      <c r="GFU105" s="33" t="s">
        <v>334</v>
      </c>
      <c r="GFV105" s="33" t="s">
        <v>334</v>
      </c>
      <c r="GFW105" s="33" t="s">
        <v>334</v>
      </c>
      <c r="GFX105" s="33" t="s">
        <v>334</v>
      </c>
      <c r="GFY105" s="33" t="s">
        <v>334</v>
      </c>
      <c r="GFZ105" s="33" t="s">
        <v>334</v>
      </c>
      <c r="GGA105" s="33" t="s">
        <v>334</v>
      </c>
      <c r="GGB105" s="33" t="s">
        <v>334</v>
      </c>
      <c r="GGC105" s="33" t="s">
        <v>334</v>
      </c>
      <c r="GGD105" s="33" t="s">
        <v>334</v>
      </c>
      <c r="GGE105" s="33" t="s">
        <v>334</v>
      </c>
      <c r="GGF105" s="33" t="s">
        <v>334</v>
      </c>
      <c r="GGG105" s="33" t="s">
        <v>334</v>
      </c>
      <c r="GGH105" s="33" t="s">
        <v>334</v>
      </c>
      <c r="GGI105" s="33" t="s">
        <v>334</v>
      </c>
      <c r="GGJ105" s="33" t="s">
        <v>334</v>
      </c>
      <c r="GGK105" s="33" t="s">
        <v>334</v>
      </c>
      <c r="GGL105" s="33" t="s">
        <v>334</v>
      </c>
      <c r="GGM105" s="33" t="s">
        <v>334</v>
      </c>
      <c r="GGN105" s="33" t="s">
        <v>334</v>
      </c>
      <c r="GGO105" s="33" t="s">
        <v>334</v>
      </c>
      <c r="GGP105" s="33" t="s">
        <v>334</v>
      </c>
      <c r="GGQ105" s="33" t="s">
        <v>334</v>
      </c>
      <c r="GGR105" s="33" t="s">
        <v>334</v>
      </c>
      <c r="GGS105" s="33" t="s">
        <v>334</v>
      </c>
      <c r="GGT105" s="33" t="s">
        <v>334</v>
      </c>
      <c r="GGU105" s="33" t="s">
        <v>334</v>
      </c>
      <c r="GGV105" s="33" t="s">
        <v>334</v>
      </c>
      <c r="GGW105" s="33" t="s">
        <v>334</v>
      </c>
      <c r="GGX105" s="33" t="s">
        <v>334</v>
      </c>
      <c r="GGY105" s="33" t="s">
        <v>334</v>
      </c>
      <c r="GGZ105" s="33" t="s">
        <v>334</v>
      </c>
      <c r="GHA105" s="33" t="s">
        <v>334</v>
      </c>
      <c r="GHB105" s="33" t="s">
        <v>334</v>
      </c>
      <c r="GHC105" s="33" t="s">
        <v>334</v>
      </c>
      <c r="GHD105" s="33" t="s">
        <v>334</v>
      </c>
      <c r="GHE105" s="33" t="s">
        <v>334</v>
      </c>
      <c r="GHF105" s="33" t="s">
        <v>334</v>
      </c>
      <c r="GHG105" s="33" t="s">
        <v>334</v>
      </c>
      <c r="GHH105" s="33" t="s">
        <v>334</v>
      </c>
      <c r="GHI105" s="33" t="s">
        <v>334</v>
      </c>
      <c r="GHJ105" s="33" t="s">
        <v>334</v>
      </c>
      <c r="GHK105" s="33" t="s">
        <v>334</v>
      </c>
      <c r="GHL105" s="33" t="s">
        <v>334</v>
      </c>
      <c r="GHM105" s="33" t="s">
        <v>334</v>
      </c>
      <c r="GHN105" s="33" t="s">
        <v>334</v>
      </c>
      <c r="GHO105" s="33" t="s">
        <v>334</v>
      </c>
      <c r="GHP105" s="33" t="s">
        <v>334</v>
      </c>
      <c r="GHQ105" s="33" t="s">
        <v>334</v>
      </c>
      <c r="GHR105" s="33" t="s">
        <v>334</v>
      </c>
      <c r="GHS105" s="33" t="s">
        <v>334</v>
      </c>
      <c r="GHT105" s="33" t="s">
        <v>334</v>
      </c>
      <c r="GHU105" s="33" t="s">
        <v>334</v>
      </c>
      <c r="GHV105" s="33" t="s">
        <v>334</v>
      </c>
      <c r="GHW105" s="33" t="s">
        <v>334</v>
      </c>
      <c r="GHX105" s="33" t="s">
        <v>334</v>
      </c>
      <c r="GHY105" s="33" t="s">
        <v>334</v>
      </c>
      <c r="GHZ105" s="33" t="s">
        <v>334</v>
      </c>
      <c r="GIA105" s="33" t="s">
        <v>334</v>
      </c>
      <c r="GIB105" s="33" t="s">
        <v>334</v>
      </c>
      <c r="GIC105" s="33" t="s">
        <v>334</v>
      </c>
      <c r="GID105" s="33" t="s">
        <v>334</v>
      </c>
      <c r="GIE105" s="33" t="s">
        <v>334</v>
      </c>
      <c r="GIF105" s="33" t="s">
        <v>334</v>
      </c>
      <c r="GIG105" s="33" t="s">
        <v>334</v>
      </c>
      <c r="GIH105" s="33" t="s">
        <v>334</v>
      </c>
      <c r="GII105" s="33" t="s">
        <v>334</v>
      </c>
      <c r="GIJ105" s="33" t="s">
        <v>334</v>
      </c>
      <c r="GIK105" s="33" t="s">
        <v>334</v>
      </c>
      <c r="GIL105" s="33" t="s">
        <v>334</v>
      </c>
      <c r="GIM105" s="33" t="s">
        <v>334</v>
      </c>
      <c r="GIN105" s="33" t="s">
        <v>334</v>
      </c>
      <c r="GIO105" s="33" t="s">
        <v>334</v>
      </c>
      <c r="GIP105" s="33" t="s">
        <v>334</v>
      </c>
      <c r="GIQ105" s="33" t="s">
        <v>334</v>
      </c>
      <c r="GIR105" s="33" t="s">
        <v>334</v>
      </c>
      <c r="GIS105" s="33" t="s">
        <v>334</v>
      </c>
      <c r="GIT105" s="33" t="s">
        <v>334</v>
      </c>
      <c r="GIU105" s="33" t="s">
        <v>334</v>
      </c>
      <c r="GIV105" s="33" t="s">
        <v>334</v>
      </c>
      <c r="GIW105" s="33" t="s">
        <v>334</v>
      </c>
      <c r="GIX105" s="33" t="s">
        <v>334</v>
      </c>
      <c r="GIY105" s="33" t="s">
        <v>334</v>
      </c>
      <c r="GIZ105" s="33" t="s">
        <v>334</v>
      </c>
      <c r="GJA105" s="33" t="s">
        <v>334</v>
      </c>
      <c r="GJB105" s="33" t="s">
        <v>334</v>
      </c>
      <c r="GJC105" s="33" t="s">
        <v>334</v>
      </c>
      <c r="GJD105" s="33" t="s">
        <v>334</v>
      </c>
      <c r="GJE105" s="33" t="s">
        <v>334</v>
      </c>
      <c r="GJF105" s="33" t="s">
        <v>334</v>
      </c>
      <c r="GJG105" s="33" t="s">
        <v>334</v>
      </c>
      <c r="GJH105" s="33" t="s">
        <v>334</v>
      </c>
      <c r="GJI105" s="33" t="s">
        <v>334</v>
      </c>
      <c r="GJJ105" s="33" t="s">
        <v>334</v>
      </c>
      <c r="GJK105" s="33" t="s">
        <v>334</v>
      </c>
      <c r="GJL105" s="33" t="s">
        <v>334</v>
      </c>
      <c r="GJM105" s="33" t="s">
        <v>334</v>
      </c>
      <c r="GJN105" s="33" t="s">
        <v>334</v>
      </c>
      <c r="GJO105" s="33" t="s">
        <v>334</v>
      </c>
      <c r="GJP105" s="33" t="s">
        <v>334</v>
      </c>
      <c r="GJQ105" s="33" t="s">
        <v>334</v>
      </c>
      <c r="GJR105" s="33" t="s">
        <v>334</v>
      </c>
      <c r="GJS105" s="33" t="s">
        <v>334</v>
      </c>
      <c r="GJT105" s="33" t="s">
        <v>334</v>
      </c>
      <c r="GJU105" s="33" t="s">
        <v>334</v>
      </c>
      <c r="GJV105" s="33" t="s">
        <v>334</v>
      </c>
      <c r="GJW105" s="33" t="s">
        <v>334</v>
      </c>
      <c r="GJX105" s="33" t="s">
        <v>334</v>
      </c>
      <c r="GJY105" s="33" t="s">
        <v>334</v>
      </c>
      <c r="GJZ105" s="33" t="s">
        <v>334</v>
      </c>
      <c r="GKA105" s="33" t="s">
        <v>334</v>
      </c>
      <c r="GKB105" s="33" t="s">
        <v>334</v>
      </c>
      <c r="GKC105" s="33" t="s">
        <v>334</v>
      </c>
      <c r="GKD105" s="33" t="s">
        <v>334</v>
      </c>
      <c r="GKE105" s="33" t="s">
        <v>334</v>
      </c>
      <c r="GKF105" s="33" t="s">
        <v>334</v>
      </c>
      <c r="GKG105" s="33" t="s">
        <v>334</v>
      </c>
      <c r="GKH105" s="33" t="s">
        <v>334</v>
      </c>
      <c r="GKI105" s="33" t="s">
        <v>334</v>
      </c>
      <c r="GKJ105" s="33" t="s">
        <v>334</v>
      </c>
      <c r="GKK105" s="33" t="s">
        <v>334</v>
      </c>
      <c r="GKL105" s="33" t="s">
        <v>334</v>
      </c>
      <c r="GKM105" s="33" t="s">
        <v>334</v>
      </c>
      <c r="GKN105" s="33" t="s">
        <v>334</v>
      </c>
      <c r="GKO105" s="33" t="s">
        <v>334</v>
      </c>
      <c r="GKP105" s="33" t="s">
        <v>334</v>
      </c>
      <c r="GKQ105" s="33" t="s">
        <v>334</v>
      </c>
      <c r="GKR105" s="33" t="s">
        <v>334</v>
      </c>
      <c r="GKS105" s="33" t="s">
        <v>334</v>
      </c>
      <c r="GKT105" s="33" t="s">
        <v>334</v>
      </c>
      <c r="GKU105" s="33" t="s">
        <v>334</v>
      </c>
      <c r="GKV105" s="33" t="s">
        <v>334</v>
      </c>
      <c r="GKW105" s="33" t="s">
        <v>334</v>
      </c>
      <c r="GKX105" s="33" t="s">
        <v>334</v>
      </c>
      <c r="GKY105" s="33" t="s">
        <v>334</v>
      </c>
      <c r="GKZ105" s="33" t="s">
        <v>334</v>
      </c>
      <c r="GLA105" s="33" t="s">
        <v>334</v>
      </c>
      <c r="GLB105" s="33" t="s">
        <v>334</v>
      </c>
      <c r="GLC105" s="33" t="s">
        <v>334</v>
      </c>
      <c r="GLD105" s="33" t="s">
        <v>334</v>
      </c>
      <c r="GLE105" s="33" t="s">
        <v>334</v>
      </c>
      <c r="GLF105" s="33" t="s">
        <v>334</v>
      </c>
      <c r="GLG105" s="33" t="s">
        <v>334</v>
      </c>
      <c r="GLH105" s="33" t="s">
        <v>334</v>
      </c>
      <c r="GLI105" s="33" t="s">
        <v>334</v>
      </c>
      <c r="GLJ105" s="33" t="s">
        <v>334</v>
      </c>
      <c r="GLK105" s="33" t="s">
        <v>334</v>
      </c>
      <c r="GLL105" s="33" t="s">
        <v>334</v>
      </c>
      <c r="GLM105" s="33" t="s">
        <v>334</v>
      </c>
      <c r="GLN105" s="33" t="s">
        <v>334</v>
      </c>
      <c r="GLO105" s="33" t="s">
        <v>334</v>
      </c>
      <c r="GLP105" s="33" t="s">
        <v>334</v>
      </c>
      <c r="GLQ105" s="33" t="s">
        <v>334</v>
      </c>
      <c r="GLR105" s="33" t="s">
        <v>334</v>
      </c>
      <c r="GLS105" s="33" t="s">
        <v>334</v>
      </c>
      <c r="GLT105" s="33" t="s">
        <v>334</v>
      </c>
      <c r="GLU105" s="33" t="s">
        <v>334</v>
      </c>
      <c r="GLV105" s="33" t="s">
        <v>334</v>
      </c>
      <c r="GLW105" s="33" t="s">
        <v>334</v>
      </c>
      <c r="GLX105" s="33" t="s">
        <v>334</v>
      </c>
      <c r="GLY105" s="33" t="s">
        <v>334</v>
      </c>
      <c r="GLZ105" s="33" t="s">
        <v>334</v>
      </c>
      <c r="GMA105" s="33" t="s">
        <v>334</v>
      </c>
      <c r="GMB105" s="33" t="s">
        <v>334</v>
      </c>
      <c r="GMC105" s="33" t="s">
        <v>334</v>
      </c>
      <c r="GMD105" s="33" t="s">
        <v>334</v>
      </c>
      <c r="GME105" s="33" t="s">
        <v>334</v>
      </c>
      <c r="GMF105" s="33" t="s">
        <v>334</v>
      </c>
      <c r="GMG105" s="33" t="s">
        <v>334</v>
      </c>
      <c r="GMH105" s="33" t="s">
        <v>334</v>
      </c>
      <c r="GMI105" s="33" t="s">
        <v>334</v>
      </c>
      <c r="GMJ105" s="33" t="s">
        <v>334</v>
      </c>
      <c r="GMK105" s="33" t="s">
        <v>334</v>
      </c>
      <c r="GML105" s="33" t="s">
        <v>334</v>
      </c>
      <c r="GMM105" s="33" t="s">
        <v>334</v>
      </c>
      <c r="GMN105" s="33" t="s">
        <v>334</v>
      </c>
      <c r="GMO105" s="33" t="s">
        <v>334</v>
      </c>
      <c r="GMP105" s="33" t="s">
        <v>334</v>
      </c>
      <c r="GMQ105" s="33" t="s">
        <v>334</v>
      </c>
      <c r="GMR105" s="33" t="s">
        <v>334</v>
      </c>
      <c r="GMS105" s="33" t="s">
        <v>334</v>
      </c>
      <c r="GMT105" s="33" t="s">
        <v>334</v>
      </c>
      <c r="GMU105" s="33" t="s">
        <v>334</v>
      </c>
      <c r="GMV105" s="33" t="s">
        <v>334</v>
      </c>
      <c r="GMW105" s="33" t="s">
        <v>334</v>
      </c>
      <c r="GMX105" s="33" t="s">
        <v>334</v>
      </c>
      <c r="GMY105" s="33" t="s">
        <v>334</v>
      </c>
      <c r="GMZ105" s="33" t="s">
        <v>334</v>
      </c>
      <c r="GNA105" s="33" t="s">
        <v>334</v>
      </c>
      <c r="GNB105" s="33" t="s">
        <v>334</v>
      </c>
      <c r="GNC105" s="33" t="s">
        <v>334</v>
      </c>
      <c r="GND105" s="33" t="s">
        <v>334</v>
      </c>
      <c r="GNE105" s="33" t="s">
        <v>334</v>
      </c>
      <c r="GNF105" s="33" t="s">
        <v>334</v>
      </c>
      <c r="GNG105" s="33" t="s">
        <v>334</v>
      </c>
      <c r="GNH105" s="33" t="s">
        <v>334</v>
      </c>
      <c r="GNI105" s="33" t="s">
        <v>334</v>
      </c>
      <c r="GNJ105" s="33" t="s">
        <v>334</v>
      </c>
      <c r="GNK105" s="33" t="s">
        <v>334</v>
      </c>
      <c r="GNL105" s="33" t="s">
        <v>334</v>
      </c>
      <c r="GNM105" s="33" t="s">
        <v>334</v>
      </c>
      <c r="GNN105" s="33" t="s">
        <v>334</v>
      </c>
      <c r="GNO105" s="33" t="s">
        <v>334</v>
      </c>
      <c r="GNP105" s="33" t="s">
        <v>334</v>
      </c>
      <c r="GNQ105" s="33" t="s">
        <v>334</v>
      </c>
      <c r="GNR105" s="33" t="s">
        <v>334</v>
      </c>
      <c r="GNS105" s="33" t="s">
        <v>334</v>
      </c>
      <c r="GNT105" s="33" t="s">
        <v>334</v>
      </c>
      <c r="GNU105" s="33" t="s">
        <v>334</v>
      </c>
      <c r="GNV105" s="33" t="s">
        <v>334</v>
      </c>
      <c r="GNW105" s="33" t="s">
        <v>334</v>
      </c>
      <c r="GNX105" s="33" t="s">
        <v>334</v>
      </c>
      <c r="GNY105" s="33" t="s">
        <v>334</v>
      </c>
      <c r="GNZ105" s="33" t="s">
        <v>334</v>
      </c>
      <c r="GOA105" s="33" t="s">
        <v>334</v>
      </c>
      <c r="GOB105" s="33" t="s">
        <v>334</v>
      </c>
      <c r="GOC105" s="33" t="s">
        <v>334</v>
      </c>
      <c r="GOD105" s="33" t="s">
        <v>334</v>
      </c>
      <c r="GOE105" s="33" t="s">
        <v>334</v>
      </c>
      <c r="GOF105" s="33" t="s">
        <v>334</v>
      </c>
      <c r="GOG105" s="33" t="s">
        <v>334</v>
      </c>
      <c r="GOH105" s="33" t="s">
        <v>334</v>
      </c>
      <c r="GOI105" s="33" t="s">
        <v>334</v>
      </c>
      <c r="GOJ105" s="33" t="s">
        <v>334</v>
      </c>
      <c r="GOK105" s="33" t="s">
        <v>334</v>
      </c>
      <c r="GOL105" s="33" t="s">
        <v>334</v>
      </c>
      <c r="GOM105" s="33" t="s">
        <v>334</v>
      </c>
      <c r="GON105" s="33" t="s">
        <v>334</v>
      </c>
      <c r="GOO105" s="33" t="s">
        <v>334</v>
      </c>
      <c r="GOP105" s="33" t="s">
        <v>334</v>
      </c>
      <c r="GOQ105" s="33" t="s">
        <v>334</v>
      </c>
      <c r="GOR105" s="33" t="s">
        <v>334</v>
      </c>
      <c r="GOS105" s="33" t="s">
        <v>334</v>
      </c>
      <c r="GOT105" s="33" t="s">
        <v>334</v>
      </c>
      <c r="GOU105" s="33" t="s">
        <v>334</v>
      </c>
      <c r="GOV105" s="33" t="s">
        <v>334</v>
      </c>
      <c r="GOW105" s="33" t="s">
        <v>334</v>
      </c>
      <c r="GOX105" s="33" t="s">
        <v>334</v>
      </c>
      <c r="GOY105" s="33" t="s">
        <v>334</v>
      </c>
      <c r="GOZ105" s="33" t="s">
        <v>334</v>
      </c>
      <c r="GPA105" s="33" t="s">
        <v>334</v>
      </c>
      <c r="GPB105" s="33" t="s">
        <v>334</v>
      </c>
      <c r="GPC105" s="33" t="s">
        <v>334</v>
      </c>
      <c r="GPD105" s="33" t="s">
        <v>334</v>
      </c>
      <c r="GPE105" s="33" t="s">
        <v>334</v>
      </c>
      <c r="GPF105" s="33" t="s">
        <v>334</v>
      </c>
      <c r="GPG105" s="33" t="s">
        <v>334</v>
      </c>
      <c r="GPH105" s="33" t="s">
        <v>334</v>
      </c>
      <c r="GPI105" s="33" t="s">
        <v>334</v>
      </c>
      <c r="GPJ105" s="33" t="s">
        <v>334</v>
      </c>
      <c r="GPK105" s="33" t="s">
        <v>334</v>
      </c>
      <c r="GPL105" s="33" t="s">
        <v>334</v>
      </c>
      <c r="GPM105" s="33" t="s">
        <v>334</v>
      </c>
      <c r="GPN105" s="33" t="s">
        <v>334</v>
      </c>
      <c r="GPO105" s="33" t="s">
        <v>334</v>
      </c>
      <c r="GPP105" s="33" t="s">
        <v>334</v>
      </c>
      <c r="GPQ105" s="33" t="s">
        <v>334</v>
      </c>
      <c r="GPR105" s="33" t="s">
        <v>334</v>
      </c>
      <c r="GPS105" s="33" t="s">
        <v>334</v>
      </c>
      <c r="GPT105" s="33" t="s">
        <v>334</v>
      </c>
      <c r="GPU105" s="33" t="s">
        <v>334</v>
      </c>
      <c r="GPV105" s="33" t="s">
        <v>334</v>
      </c>
      <c r="GPW105" s="33" t="s">
        <v>334</v>
      </c>
      <c r="GPX105" s="33" t="s">
        <v>334</v>
      </c>
      <c r="GPY105" s="33" t="s">
        <v>334</v>
      </c>
      <c r="GPZ105" s="33" t="s">
        <v>334</v>
      </c>
      <c r="GQA105" s="33" t="s">
        <v>334</v>
      </c>
      <c r="GQB105" s="33" t="s">
        <v>334</v>
      </c>
      <c r="GQC105" s="33" t="s">
        <v>334</v>
      </c>
      <c r="GQD105" s="33" t="s">
        <v>334</v>
      </c>
      <c r="GQE105" s="33" t="s">
        <v>334</v>
      </c>
      <c r="GQF105" s="33" t="s">
        <v>334</v>
      </c>
      <c r="GQG105" s="33" t="s">
        <v>334</v>
      </c>
      <c r="GQH105" s="33" t="s">
        <v>334</v>
      </c>
      <c r="GQI105" s="33" t="s">
        <v>334</v>
      </c>
      <c r="GQJ105" s="33" t="s">
        <v>334</v>
      </c>
      <c r="GQK105" s="33" t="s">
        <v>334</v>
      </c>
      <c r="GQL105" s="33" t="s">
        <v>334</v>
      </c>
      <c r="GQM105" s="33" t="s">
        <v>334</v>
      </c>
      <c r="GQN105" s="33" t="s">
        <v>334</v>
      </c>
      <c r="GQO105" s="33" t="s">
        <v>334</v>
      </c>
      <c r="GQP105" s="33" t="s">
        <v>334</v>
      </c>
      <c r="GQQ105" s="33" t="s">
        <v>334</v>
      </c>
      <c r="GQR105" s="33" t="s">
        <v>334</v>
      </c>
      <c r="GQS105" s="33" t="s">
        <v>334</v>
      </c>
      <c r="GQT105" s="33" t="s">
        <v>334</v>
      </c>
      <c r="GQU105" s="33" t="s">
        <v>334</v>
      </c>
      <c r="GQV105" s="33" t="s">
        <v>334</v>
      </c>
      <c r="GQW105" s="33" t="s">
        <v>334</v>
      </c>
      <c r="GQX105" s="33" t="s">
        <v>334</v>
      </c>
      <c r="GQY105" s="33" t="s">
        <v>334</v>
      </c>
      <c r="GQZ105" s="33" t="s">
        <v>334</v>
      </c>
      <c r="GRA105" s="33" t="s">
        <v>334</v>
      </c>
      <c r="GRB105" s="33" t="s">
        <v>334</v>
      </c>
      <c r="GRC105" s="33" t="s">
        <v>334</v>
      </c>
      <c r="GRD105" s="33" t="s">
        <v>334</v>
      </c>
      <c r="GRE105" s="33" t="s">
        <v>334</v>
      </c>
      <c r="GRF105" s="33" t="s">
        <v>334</v>
      </c>
      <c r="GRG105" s="33" t="s">
        <v>334</v>
      </c>
      <c r="GRH105" s="33" t="s">
        <v>334</v>
      </c>
      <c r="GRI105" s="33" t="s">
        <v>334</v>
      </c>
      <c r="GRJ105" s="33" t="s">
        <v>334</v>
      </c>
      <c r="GRK105" s="33" t="s">
        <v>334</v>
      </c>
      <c r="GRL105" s="33" t="s">
        <v>334</v>
      </c>
      <c r="GRM105" s="33" t="s">
        <v>334</v>
      </c>
      <c r="GRN105" s="33" t="s">
        <v>334</v>
      </c>
      <c r="GRO105" s="33" t="s">
        <v>334</v>
      </c>
      <c r="GRP105" s="33" t="s">
        <v>334</v>
      </c>
      <c r="GRQ105" s="33" t="s">
        <v>334</v>
      </c>
      <c r="GRR105" s="33" t="s">
        <v>334</v>
      </c>
      <c r="GRS105" s="33" t="s">
        <v>334</v>
      </c>
      <c r="GRT105" s="33" t="s">
        <v>334</v>
      </c>
      <c r="GRU105" s="33" t="s">
        <v>334</v>
      </c>
      <c r="GRV105" s="33" t="s">
        <v>334</v>
      </c>
      <c r="GRW105" s="33" t="s">
        <v>334</v>
      </c>
      <c r="GRX105" s="33" t="s">
        <v>334</v>
      </c>
      <c r="GRY105" s="33" t="s">
        <v>334</v>
      </c>
      <c r="GRZ105" s="33" t="s">
        <v>334</v>
      </c>
      <c r="GSA105" s="33" t="s">
        <v>334</v>
      </c>
      <c r="GSB105" s="33" t="s">
        <v>334</v>
      </c>
      <c r="GSC105" s="33" t="s">
        <v>334</v>
      </c>
      <c r="GSD105" s="33" t="s">
        <v>334</v>
      </c>
      <c r="GSE105" s="33" t="s">
        <v>334</v>
      </c>
      <c r="GSF105" s="33" t="s">
        <v>334</v>
      </c>
      <c r="GSG105" s="33" t="s">
        <v>334</v>
      </c>
      <c r="GSH105" s="33" t="s">
        <v>334</v>
      </c>
      <c r="GSI105" s="33" t="s">
        <v>334</v>
      </c>
      <c r="GSJ105" s="33" t="s">
        <v>334</v>
      </c>
      <c r="GSK105" s="33" t="s">
        <v>334</v>
      </c>
      <c r="GSL105" s="33" t="s">
        <v>334</v>
      </c>
      <c r="GSM105" s="33" t="s">
        <v>334</v>
      </c>
      <c r="GSN105" s="33" t="s">
        <v>334</v>
      </c>
      <c r="GSO105" s="33" t="s">
        <v>334</v>
      </c>
      <c r="GSP105" s="33" t="s">
        <v>334</v>
      </c>
      <c r="GSQ105" s="33" t="s">
        <v>334</v>
      </c>
      <c r="GSR105" s="33" t="s">
        <v>334</v>
      </c>
      <c r="GSS105" s="33" t="s">
        <v>334</v>
      </c>
      <c r="GST105" s="33" t="s">
        <v>334</v>
      </c>
      <c r="GSU105" s="33" t="s">
        <v>334</v>
      </c>
      <c r="GSV105" s="33" t="s">
        <v>334</v>
      </c>
      <c r="GSW105" s="33" t="s">
        <v>334</v>
      </c>
      <c r="GSX105" s="33" t="s">
        <v>334</v>
      </c>
      <c r="GSY105" s="33" t="s">
        <v>334</v>
      </c>
      <c r="GSZ105" s="33" t="s">
        <v>334</v>
      </c>
      <c r="GTA105" s="33" t="s">
        <v>334</v>
      </c>
      <c r="GTB105" s="33" t="s">
        <v>334</v>
      </c>
      <c r="GTC105" s="33" t="s">
        <v>334</v>
      </c>
      <c r="GTD105" s="33" t="s">
        <v>334</v>
      </c>
      <c r="GTE105" s="33" t="s">
        <v>334</v>
      </c>
      <c r="GTF105" s="33" t="s">
        <v>334</v>
      </c>
      <c r="GTG105" s="33" t="s">
        <v>334</v>
      </c>
      <c r="GTH105" s="33" t="s">
        <v>334</v>
      </c>
      <c r="GTI105" s="33" t="s">
        <v>334</v>
      </c>
      <c r="GTJ105" s="33" t="s">
        <v>334</v>
      </c>
      <c r="GTK105" s="33" t="s">
        <v>334</v>
      </c>
      <c r="GTL105" s="33" t="s">
        <v>334</v>
      </c>
      <c r="GTM105" s="33" t="s">
        <v>334</v>
      </c>
      <c r="GTN105" s="33" t="s">
        <v>334</v>
      </c>
      <c r="GTO105" s="33" t="s">
        <v>334</v>
      </c>
      <c r="GTP105" s="33" t="s">
        <v>334</v>
      </c>
      <c r="GTQ105" s="33" t="s">
        <v>334</v>
      </c>
      <c r="GTR105" s="33" t="s">
        <v>334</v>
      </c>
      <c r="GTS105" s="33" t="s">
        <v>334</v>
      </c>
      <c r="GTT105" s="33" t="s">
        <v>334</v>
      </c>
      <c r="GTU105" s="33" t="s">
        <v>334</v>
      </c>
      <c r="GTV105" s="33" t="s">
        <v>334</v>
      </c>
      <c r="GTW105" s="33" t="s">
        <v>334</v>
      </c>
      <c r="GTX105" s="33" t="s">
        <v>334</v>
      </c>
      <c r="GTY105" s="33" t="s">
        <v>334</v>
      </c>
      <c r="GTZ105" s="33" t="s">
        <v>334</v>
      </c>
      <c r="GUA105" s="33" t="s">
        <v>334</v>
      </c>
      <c r="GUB105" s="33" t="s">
        <v>334</v>
      </c>
      <c r="GUC105" s="33" t="s">
        <v>334</v>
      </c>
      <c r="GUD105" s="33" t="s">
        <v>334</v>
      </c>
      <c r="GUE105" s="33" t="s">
        <v>334</v>
      </c>
      <c r="GUF105" s="33" t="s">
        <v>334</v>
      </c>
      <c r="GUG105" s="33" t="s">
        <v>334</v>
      </c>
      <c r="GUH105" s="33" t="s">
        <v>334</v>
      </c>
      <c r="GUI105" s="33" t="s">
        <v>334</v>
      </c>
      <c r="GUJ105" s="33" t="s">
        <v>334</v>
      </c>
      <c r="GUK105" s="33" t="s">
        <v>334</v>
      </c>
      <c r="GUL105" s="33" t="s">
        <v>334</v>
      </c>
      <c r="GUM105" s="33" t="s">
        <v>334</v>
      </c>
      <c r="GUN105" s="33" t="s">
        <v>334</v>
      </c>
      <c r="GUO105" s="33" t="s">
        <v>334</v>
      </c>
      <c r="GUP105" s="33" t="s">
        <v>334</v>
      </c>
      <c r="GUQ105" s="33" t="s">
        <v>334</v>
      </c>
      <c r="GUR105" s="33" t="s">
        <v>334</v>
      </c>
      <c r="GUS105" s="33" t="s">
        <v>334</v>
      </c>
      <c r="GUT105" s="33" t="s">
        <v>334</v>
      </c>
      <c r="GUU105" s="33" t="s">
        <v>334</v>
      </c>
      <c r="GUV105" s="33" t="s">
        <v>334</v>
      </c>
      <c r="GUW105" s="33" t="s">
        <v>334</v>
      </c>
      <c r="GUX105" s="33" t="s">
        <v>334</v>
      </c>
      <c r="GUY105" s="33" t="s">
        <v>334</v>
      </c>
      <c r="GUZ105" s="33" t="s">
        <v>334</v>
      </c>
      <c r="GVA105" s="33" t="s">
        <v>334</v>
      </c>
      <c r="GVB105" s="33" t="s">
        <v>334</v>
      </c>
      <c r="GVC105" s="33" t="s">
        <v>334</v>
      </c>
      <c r="GVD105" s="33" t="s">
        <v>334</v>
      </c>
      <c r="GVE105" s="33" t="s">
        <v>334</v>
      </c>
      <c r="GVF105" s="33" t="s">
        <v>334</v>
      </c>
      <c r="GVG105" s="33" t="s">
        <v>334</v>
      </c>
      <c r="GVH105" s="33" t="s">
        <v>334</v>
      </c>
      <c r="GVI105" s="33" t="s">
        <v>334</v>
      </c>
      <c r="GVJ105" s="33" t="s">
        <v>334</v>
      </c>
      <c r="GVK105" s="33" t="s">
        <v>334</v>
      </c>
      <c r="GVL105" s="33" t="s">
        <v>334</v>
      </c>
      <c r="GVM105" s="33" t="s">
        <v>334</v>
      </c>
      <c r="GVN105" s="33" t="s">
        <v>334</v>
      </c>
      <c r="GVO105" s="33" t="s">
        <v>334</v>
      </c>
      <c r="GVP105" s="33" t="s">
        <v>334</v>
      </c>
      <c r="GVQ105" s="33" t="s">
        <v>334</v>
      </c>
      <c r="GVR105" s="33" t="s">
        <v>334</v>
      </c>
      <c r="GVS105" s="33" t="s">
        <v>334</v>
      </c>
      <c r="GVT105" s="33" t="s">
        <v>334</v>
      </c>
      <c r="GVU105" s="33" t="s">
        <v>334</v>
      </c>
      <c r="GVV105" s="33" t="s">
        <v>334</v>
      </c>
      <c r="GVW105" s="33" t="s">
        <v>334</v>
      </c>
      <c r="GVX105" s="33" t="s">
        <v>334</v>
      </c>
      <c r="GVY105" s="33" t="s">
        <v>334</v>
      </c>
      <c r="GVZ105" s="33" t="s">
        <v>334</v>
      </c>
      <c r="GWA105" s="33" t="s">
        <v>334</v>
      </c>
      <c r="GWB105" s="33" t="s">
        <v>334</v>
      </c>
      <c r="GWC105" s="33" t="s">
        <v>334</v>
      </c>
      <c r="GWD105" s="33" t="s">
        <v>334</v>
      </c>
      <c r="GWE105" s="33" t="s">
        <v>334</v>
      </c>
      <c r="GWF105" s="33" t="s">
        <v>334</v>
      </c>
      <c r="GWG105" s="33" t="s">
        <v>334</v>
      </c>
      <c r="GWH105" s="33" t="s">
        <v>334</v>
      </c>
      <c r="GWI105" s="33" t="s">
        <v>334</v>
      </c>
      <c r="GWJ105" s="33" t="s">
        <v>334</v>
      </c>
      <c r="GWK105" s="33" t="s">
        <v>334</v>
      </c>
      <c r="GWL105" s="33" t="s">
        <v>334</v>
      </c>
      <c r="GWM105" s="33" t="s">
        <v>334</v>
      </c>
      <c r="GWN105" s="33" t="s">
        <v>334</v>
      </c>
      <c r="GWO105" s="33" t="s">
        <v>334</v>
      </c>
      <c r="GWP105" s="33" t="s">
        <v>334</v>
      </c>
      <c r="GWQ105" s="33" t="s">
        <v>334</v>
      </c>
      <c r="GWR105" s="33" t="s">
        <v>334</v>
      </c>
      <c r="GWS105" s="33" t="s">
        <v>334</v>
      </c>
      <c r="GWT105" s="33" t="s">
        <v>334</v>
      </c>
      <c r="GWU105" s="33" t="s">
        <v>334</v>
      </c>
      <c r="GWV105" s="33" t="s">
        <v>334</v>
      </c>
      <c r="GWW105" s="33" t="s">
        <v>334</v>
      </c>
      <c r="GWX105" s="33" t="s">
        <v>334</v>
      </c>
      <c r="GWY105" s="33" t="s">
        <v>334</v>
      </c>
      <c r="GWZ105" s="33" t="s">
        <v>334</v>
      </c>
      <c r="GXA105" s="33" t="s">
        <v>334</v>
      </c>
      <c r="GXB105" s="33" t="s">
        <v>334</v>
      </c>
      <c r="GXC105" s="33" t="s">
        <v>334</v>
      </c>
      <c r="GXD105" s="33" t="s">
        <v>334</v>
      </c>
      <c r="GXE105" s="33" t="s">
        <v>334</v>
      </c>
      <c r="GXF105" s="33" t="s">
        <v>334</v>
      </c>
      <c r="GXG105" s="33" t="s">
        <v>334</v>
      </c>
      <c r="GXH105" s="33" t="s">
        <v>334</v>
      </c>
      <c r="GXI105" s="33" t="s">
        <v>334</v>
      </c>
      <c r="GXJ105" s="33" t="s">
        <v>334</v>
      </c>
      <c r="GXK105" s="33" t="s">
        <v>334</v>
      </c>
      <c r="GXL105" s="33" t="s">
        <v>334</v>
      </c>
      <c r="GXM105" s="33" t="s">
        <v>334</v>
      </c>
      <c r="GXN105" s="33" t="s">
        <v>334</v>
      </c>
      <c r="GXO105" s="33" t="s">
        <v>334</v>
      </c>
      <c r="GXP105" s="33" t="s">
        <v>334</v>
      </c>
      <c r="GXQ105" s="33" t="s">
        <v>334</v>
      </c>
      <c r="GXR105" s="33" t="s">
        <v>334</v>
      </c>
      <c r="GXS105" s="33" t="s">
        <v>334</v>
      </c>
      <c r="GXT105" s="33" t="s">
        <v>334</v>
      </c>
      <c r="GXU105" s="33" t="s">
        <v>334</v>
      </c>
      <c r="GXV105" s="33" t="s">
        <v>334</v>
      </c>
      <c r="GXW105" s="33" t="s">
        <v>334</v>
      </c>
      <c r="GXX105" s="33" t="s">
        <v>334</v>
      </c>
      <c r="GXY105" s="33" t="s">
        <v>334</v>
      </c>
      <c r="GXZ105" s="33" t="s">
        <v>334</v>
      </c>
      <c r="GYA105" s="33" t="s">
        <v>334</v>
      </c>
      <c r="GYB105" s="33" t="s">
        <v>334</v>
      </c>
      <c r="GYC105" s="33" t="s">
        <v>334</v>
      </c>
      <c r="GYD105" s="33" t="s">
        <v>334</v>
      </c>
      <c r="GYE105" s="33" t="s">
        <v>334</v>
      </c>
      <c r="GYF105" s="33" t="s">
        <v>334</v>
      </c>
      <c r="GYG105" s="33" t="s">
        <v>334</v>
      </c>
      <c r="GYH105" s="33" t="s">
        <v>334</v>
      </c>
      <c r="GYI105" s="33" t="s">
        <v>334</v>
      </c>
      <c r="GYJ105" s="33" t="s">
        <v>334</v>
      </c>
      <c r="GYK105" s="33" t="s">
        <v>334</v>
      </c>
      <c r="GYL105" s="33" t="s">
        <v>334</v>
      </c>
      <c r="GYM105" s="33" t="s">
        <v>334</v>
      </c>
      <c r="GYN105" s="33" t="s">
        <v>334</v>
      </c>
      <c r="GYO105" s="33" t="s">
        <v>334</v>
      </c>
      <c r="GYP105" s="33" t="s">
        <v>334</v>
      </c>
      <c r="GYQ105" s="33" t="s">
        <v>334</v>
      </c>
      <c r="GYR105" s="33" t="s">
        <v>334</v>
      </c>
      <c r="GYS105" s="33" t="s">
        <v>334</v>
      </c>
      <c r="GYT105" s="33" t="s">
        <v>334</v>
      </c>
      <c r="GYU105" s="33" t="s">
        <v>334</v>
      </c>
      <c r="GYV105" s="33" t="s">
        <v>334</v>
      </c>
      <c r="GYW105" s="33" t="s">
        <v>334</v>
      </c>
      <c r="GYX105" s="33" t="s">
        <v>334</v>
      </c>
      <c r="GYY105" s="33" t="s">
        <v>334</v>
      </c>
      <c r="GYZ105" s="33" t="s">
        <v>334</v>
      </c>
      <c r="GZA105" s="33" t="s">
        <v>334</v>
      </c>
      <c r="GZB105" s="33" t="s">
        <v>334</v>
      </c>
      <c r="GZC105" s="33" t="s">
        <v>334</v>
      </c>
      <c r="GZD105" s="33" t="s">
        <v>334</v>
      </c>
      <c r="GZE105" s="33" t="s">
        <v>334</v>
      </c>
      <c r="GZF105" s="33" t="s">
        <v>334</v>
      </c>
      <c r="GZG105" s="33" t="s">
        <v>334</v>
      </c>
      <c r="GZH105" s="33" t="s">
        <v>334</v>
      </c>
      <c r="GZI105" s="33" t="s">
        <v>334</v>
      </c>
      <c r="GZJ105" s="33" t="s">
        <v>334</v>
      </c>
      <c r="GZK105" s="33" t="s">
        <v>334</v>
      </c>
      <c r="GZL105" s="33" t="s">
        <v>334</v>
      </c>
      <c r="GZM105" s="33" t="s">
        <v>334</v>
      </c>
      <c r="GZN105" s="33" t="s">
        <v>334</v>
      </c>
      <c r="GZO105" s="33" t="s">
        <v>334</v>
      </c>
      <c r="GZP105" s="33" t="s">
        <v>334</v>
      </c>
      <c r="GZQ105" s="33" t="s">
        <v>334</v>
      </c>
      <c r="GZR105" s="33" t="s">
        <v>334</v>
      </c>
      <c r="GZS105" s="33" t="s">
        <v>334</v>
      </c>
      <c r="GZT105" s="33" t="s">
        <v>334</v>
      </c>
      <c r="GZU105" s="33" t="s">
        <v>334</v>
      </c>
      <c r="GZV105" s="33" t="s">
        <v>334</v>
      </c>
      <c r="GZW105" s="33" t="s">
        <v>334</v>
      </c>
      <c r="GZX105" s="33" t="s">
        <v>334</v>
      </c>
      <c r="GZY105" s="33" t="s">
        <v>334</v>
      </c>
      <c r="GZZ105" s="33" t="s">
        <v>334</v>
      </c>
      <c r="HAA105" s="33" t="s">
        <v>334</v>
      </c>
      <c r="HAB105" s="33" t="s">
        <v>334</v>
      </c>
      <c r="HAC105" s="33" t="s">
        <v>334</v>
      </c>
      <c r="HAD105" s="33" t="s">
        <v>334</v>
      </c>
      <c r="HAE105" s="33" t="s">
        <v>334</v>
      </c>
      <c r="HAF105" s="33" t="s">
        <v>334</v>
      </c>
      <c r="HAG105" s="33" t="s">
        <v>334</v>
      </c>
      <c r="HAH105" s="33" t="s">
        <v>334</v>
      </c>
      <c r="HAI105" s="33" t="s">
        <v>334</v>
      </c>
      <c r="HAJ105" s="33" t="s">
        <v>334</v>
      </c>
      <c r="HAK105" s="33" t="s">
        <v>334</v>
      </c>
      <c r="HAL105" s="33" t="s">
        <v>334</v>
      </c>
      <c r="HAM105" s="33" t="s">
        <v>334</v>
      </c>
      <c r="HAN105" s="33" t="s">
        <v>334</v>
      </c>
      <c r="HAO105" s="33" t="s">
        <v>334</v>
      </c>
      <c r="HAP105" s="33" t="s">
        <v>334</v>
      </c>
      <c r="HAQ105" s="33" t="s">
        <v>334</v>
      </c>
      <c r="HAR105" s="33" t="s">
        <v>334</v>
      </c>
      <c r="HAS105" s="33" t="s">
        <v>334</v>
      </c>
      <c r="HAT105" s="33" t="s">
        <v>334</v>
      </c>
      <c r="HAU105" s="33" t="s">
        <v>334</v>
      </c>
      <c r="HAV105" s="33" t="s">
        <v>334</v>
      </c>
      <c r="HAW105" s="33" t="s">
        <v>334</v>
      </c>
      <c r="HAX105" s="33" t="s">
        <v>334</v>
      </c>
      <c r="HAY105" s="33" t="s">
        <v>334</v>
      </c>
      <c r="HAZ105" s="33" t="s">
        <v>334</v>
      </c>
      <c r="HBA105" s="33" t="s">
        <v>334</v>
      </c>
      <c r="HBB105" s="33" t="s">
        <v>334</v>
      </c>
      <c r="HBC105" s="33" t="s">
        <v>334</v>
      </c>
      <c r="HBD105" s="33" t="s">
        <v>334</v>
      </c>
      <c r="HBE105" s="33" t="s">
        <v>334</v>
      </c>
      <c r="HBF105" s="33" t="s">
        <v>334</v>
      </c>
      <c r="HBG105" s="33" t="s">
        <v>334</v>
      </c>
      <c r="HBH105" s="33" t="s">
        <v>334</v>
      </c>
      <c r="HBI105" s="33" t="s">
        <v>334</v>
      </c>
      <c r="HBJ105" s="33" t="s">
        <v>334</v>
      </c>
      <c r="HBK105" s="33" t="s">
        <v>334</v>
      </c>
      <c r="HBL105" s="33" t="s">
        <v>334</v>
      </c>
      <c r="HBM105" s="33" t="s">
        <v>334</v>
      </c>
      <c r="HBN105" s="33" t="s">
        <v>334</v>
      </c>
      <c r="HBO105" s="33" t="s">
        <v>334</v>
      </c>
      <c r="HBP105" s="33" t="s">
        <v>334</v>
      </c>
      <c r="HBQ105" s="33" t="s">
        <v>334</v>
      </c>
      <c r="HBR105" s="33" t="s">
        <v>334</v>
      </c>
      <c r="HBS105" s="33" t="s">
        <v>334</v>
      </c>
      <c r="HBT105" s="33" t="s">
        <v>334</v>
      </c>
      <c r="HBU105" s="33" t="s">
        <v>334</v>
      </c>
      <c r="HBV105" s="33" t="s">
        <v>334</v>
      </c>
      <c r="HBW105" s="33" t="s">
        <v>334</v>
      </c>
      <c r="HBX105" s="33" t="s">
        <v>334</v>
      </c>
      <c r="HBY105" s="33" t="s">
        <v>334</v>
      </c>
      <c r="HBZ105" s="33" t="s">
        <v>334</v>
      </c>
      <c r="HCA105" s="33" t="s">
        <v>334</v>
      </c>
      <c r="HCB105" s="33" t="s">
        <v>334</v>
      </c>
      <c r="HCC105" s="33" t="s">
        <v>334</v>
      </c>
      <c r="HCD105" s="33" t="s">
        <v>334</v>
      </c>
      <c r="HCE105" s="33" t="s">
        <v>334</v>
      </c>
      <c r="HCF105" s="33" t="s">
        <v>334</v>
      </c>
      <c r="HCG105" s="33" t="s">
        <v>334</v>
      </c>
      <c r="HCH105" s="33" t="s">
        <v>334</v>
      </c>
      <c r="HCI105" s="33" t="s">
        <v>334</v>
      </c>
      <c r="HCJ105" s="33" t="s">
        <v>334</v>
      </c>
      <c r="HCK105" s="33" t="s">
        <v>334</v>
      </c>
      <c r="HCL105" s="33" t="s">
        <v>334</v>
      </c>
      <c r="HCM105" s="33" t="s">
        <v>334</v>
      </c>
      <c r="HCN105" s="33" t="s">
        <v>334</v>
      </c>
      <c r="HCO105" s="33" t="s">
        <v>334</v>
      </c>
      <c r="HCP105" s="33" t="s">
        <v>334</v>
      </c>
      <c r="HCQ105" s="33" t="s">
        <v>334</v>
      </c>
      <c r="HCR105" s="33" t="s">
        <v>334</v>
      </c>
      <c r="HCS105" s="33" t="s">
        <v>334</v>
      </c>
      <c r="HCT105" s="33" t="s">
        <v>334</v>
      </c>
      <c r="HCU105" s="33" t="s">
        <v>334</v>
      </c>
      <c r="HCV105" s="33" t="s">
        <v>334</v>
      </c>
      <c r="HCW105" s="33" t="s">
        <v>334</v>
      </c>
      <c r="HCX105" s="33" t="s">
        <v>334</v>
      </c>
      <c r="HCY105" s="33" t="s">
        <v>334</v>
      </c>
      <c r="HCZ105" s="33" t="s">
        <v>334</v>
      </c>
      <c r="HDA105" s="33" t="s">
        <v>334</v>
      </c>
      <c r="HDB105" s="33" t="s">
        <v>334</v>
      </c>
      <c r="HDC105" s="33" t="s">
        <v>334</v>
      </c>
      <c r="HDD105" s="33" t="s">
        <v>334</v>
      </c>
      <c r="HDE105" s="33" t="s">
        <v>334</v>
      </c>
      <c r="HDF105" s="33" t="s">
        <v>334</v>
      </c>
      <c r="HDG105" s="33" t="s">
        <v>334</v>
      </c>
      <c r="HDH105" s="33" t="s">
        <v>334</v>
      </c>
      <c r="HDI105" s="33" t="s">
        <v>334</v>
      </c>
      <c r="HDJ105" s="33" t="s">
        <v>334</v>
      </c>
      <c r="HDK105" s="33" t="s">
        <v>334</v>
      </c>
      <c r="HDL105" s="33" t="s">
        <v>334</v>
      </c>
      <c r="HDM105" s="33" t="s">
        <v>334</v>
      </c>
      <c r="HDN105" s="33" t="s">
        <v>334</v>
      </c>
      <c r="HDO105" s="33" t="s">
        <v>334</v>
      </c>
      <c r="HDP105" s="33" t="s">
        <v>334</v>
      </c>
      <c r="HDQ105" s="33" t="s">
        <v>334</v>
      </c>
      <c r="HDR105" s="33" t="s">
        <v>334</v>
      </c>
      <c r="HDS105" s="33" t="s">
        <v>334</v>
      </c>
      <c r="HDT105" s="33" t="s">
        <v>334</v>
      </c>
      <c r="HDU105" s="33" t="s">
        <v>334</v>
      </c>
      <c r="HDV105" s="33" t="s">
        <v>334</v>
      </c>
      <c r="HDW105" s="33" t="s">
        <v>334</v>
      </c>
      <c r="HDX105" s="33" t="s">
        <v>334</v>
      </c>
      <c r="HDY105" s="33" t="s">
        <v>334</v>
      </c>
      <c r="HDZ105" s="33" t="s">
        <v>334</v>
      </c>
      <c r="HEA105" s="33" t="s">
        <v>334</v>
      </c>
      <c r="HEB105" s="33" t="s">
        <v>334</v>
      </c>
      <c r="HEC105" s="33" t="s">
        <v>334</v>
      </c>
      <c r="HED105" s="33" t="s">
        <v>334</v>
      </c>
      <c r="HEE105" s="33" t="s">
        <v>334</v>
      </c>
      <c r="HEF105" s="33" t="s">
        <v>334</v>
      </c>
      <c r="HEG105" s="33" t="s">
        <v>334</v>
      </c>
      <c r="HEH105" s="33" t="s">
        <v>334</v>
      </c>
      <c r="HEI105" s="33" t="s">
        <v>334</v>
      </c>
      <c r="HEJ105" s="33" t="s">
        <v>334</v>
      </c>
      <c r="HEK105" s="33" t="s">
        <v>334</v>
      </c>
      <c r="HEL105" s="33" t="s">
        <v>334</v>
      </c>
      <c r="HEM105" s="33" t="s">
        <v>334</v>
      </c>
      <c r="HEN105" s="33" t="s">
        <v>334</v>
      </c>
      <c r="HEO105" s="33" t="s">
        <v>334</v>
      </c>
      <c r="HEP105" s="33" t="s">
        <v>334</v>
      </c>
      <c r="HEQ105" s="33" t="s">
        <v>334</v>
      </c>
      <c r="HER105" s="33" t="s">
        <v>334</v>
      </c>
      <c r="HES105" s="33" t="s">
        <v>334</v>
      </c>
      <c r="HET105" s="33" t="s">
        <v>334</v>
      </c>
      <c r="HEU105" s="33" t="s">
        <v>334</v>
      </c>
      <c r="HEV105" s="33" t="s">
        <v>334</v>
      </c>
      <c r="HEW105" s="33" t="s">
        <v>334</v>
      </c>
      <c r="HEX105" s="33" t="s">
        <v>334</v>
      </c>
      <c r="HEY105" s="33" t="s">
        <v>334</v>
      </c>
      <c r="HEZ105" s="33" t="s">
        <v>334</v>
      </c>
      <c r="HFA105" s="33" t="s">
        <v>334</v>
      </c>
      <c r="HFB105" s="33" t="s">
        <v>334</v>
      </c>
      <c r="HFC105" s="33" t="s">
        <v>334</v>
      </c>
      <c r="HFD105" s="33" t="s">
        <v>334</v>
      </c>
      <c r="HFE105" s="33" t="s">
        <v>334</v>
      </c>
      <c r="HFF105" s="33" t="s">
        <v>334</v>
      </c>
      <c r="HFG105" s="33" t="s">
        <v>334</v>
      </c>
      <c r="HFH105" s="33" t="s">
        <v>334</v>
      </c>
      <c r="HFI105" s="33" t="s">
        <v>334</v>
      </c>
      <c r="HFJ105" s="33" t="s">
        <v>334</v>
      </c>
      <c r="HFK105" s="33" t="s">
        <v>334</v>
      </c>
      <c r="HFL105" s="33" t="s">
        <v>334</v>
      </c>
      <c r="HFM105" s="33" t="s">
        <v>334</v>
      </c>
      <c r="HFN105" s="33" t="s">
        <v>334</v>
      </c>
      <c r="HFO105" s="33" t="s">
        <v>334</v>
      </c>
      <c r="HFP105" s="33" t="s">
        <v>334</v>
      </c>
      <c r="HFQ105" s="33" t="s">
        <v>334</v>
      </c>
      <c r="HFR105" s="33" t="s">
        <v>334</v>
      </c>
      <c r="HFS105" s="33" t="s">
        <v>334</v>
      </c>
      <c r="HFT105" s="33" t="s">
        <v>334</v>
      </c>
      <c r="HFU105" s="33" t="s">
        <v>334</v>
      </c>
      <c r="HFV105" s="33" t="s">
        <v>334</v>
      </c>
      <c r="HFW105" s="33" t="s">
        <v>334</v>
      </c>
      <c r="HFX105" s="33" t="s">
        <v>334</v>
      </c>
      <c r="HFY105" s="33" t="s">
        <v>334</v>
      </c>
      <c r="HFZ105" s="33" t="s">
        <v>334</v>
      </c>
      <c r="HGA105" s="33" t="s">
        <v>334</v>
      </c>
      <c r="HGB105" s="33" t="s">
        <v>334</v>
      </c>
      <c r="HGC105" s="33" t="s">
        <v>334</v>
      </c>
      <c r="HGD105" s="33" t="s">
        <v>334</v>
      </c>
      <c r="HGE105" s="33" t="s">
        <v>334</v>
      </c>
      <c r="HGF105" s="33" t="s">
        <v>334</v>
      </c>
      <c r="HGG105" s="33" t="s">
        <v>334</v>
      </c>
      <c r="HGH105" s="33" t="s">
        <v>334</v>
      </c>
      <c r="HGI105" s="33" t="s">
        <v>334</v>
      </c>
      <c r="HGJ105" s="33" t="s">
        <v>334</v>
      </c>
      <c r="HGK105" s="33" t="s">
        <v>334</v>
      </c>
      <c r="HGL105" s="33" t="s">
        <v>334</v>
      </c>
      <c r="HGM105" s="33" t="s">
        <v>334</v>
      </c>
      <c r="HGN105" s="33" t="s">
        <v>334</v>
      </c>
      <c r="HGO105" s="33" t="s">
        <v>334</v>
      </c>
      <c r="HGP105" s="33" t="s">
        <v>334</v>
      </c>
      <c r="HGQ105" s="33" t="s">
        <v>334</v>
      </c>
      <c r="HGR105" s="33" t="s">
        <v>334</v>
      </c>
      <c r="HGS105" s="33" t="s">
        <v>334</v>
      </c>
      <c r="HGT105" s="33" t="s">
        <v>334</v>
      </c>
      <c r="HGU105" s="33" t="s">
        <v>334</v>
      </c>
      <c r="HGV105" s="33" t="s">
        <v>334</v>
      </c>
      <c r="HGW105" s="33" t="s">
        <v>334</v>
      </c>
      <c r="HGX105" s="33" t="s">
        <v>334</v>
      </c>
      <c r="HGY105" s="33" t="s">
        <v>334</v>
      </c>
      <c r="HGZ105" s="33" t="s">
        <v>334</v>
      </c>
      <c r="HHA105" s="33" t="s">
        <v>334</v>
      </c>
      <c r="HHB105" s="33" t="s">
        <v>334</v>
      </c>
      <c r="HHC105" s="33" t="s">
        <v>334</v>
      </c>
      <c r="HHD105" s="33" t="s">
        <v>334</v>
      </c>
      <c r="HHE105" s="33" t="s">
        <v>334</v>
      </c>
      <c r="HHF105" s="33" t="s">
        <v>334</v>
      </c>
      <c r="HHG105" s="33" t="s">
        <v>334</v>
      </c>
      <c r="HHH105" s="33" t="s">
        <v>334</v>
      </c>
      <c r="HHI105" s="33" t="s">
        <v>334</v>
      </c>
      <c r="HHJ105" s="33" t="s">
        <v>334</v>
      </c>
      <c r="HHK105" s="33" t="s">
        <v>334</v>
      </c>
      <c r="HHL105" s="33" t="s">
        <v>334</v>
      </c>
      <c r="HHM105" s="33" t="s">
        <v>334</v>
      </c>
      <c r="HHN105" s="33" t="s">
        <v>334</v>
      </c>
      <c r="HHO105" s="33" t="s">
        <v>334</v>
      </c>
      <c r="HHP105" s="33" t="s">
        <v>334</v>
      </c>
      <c r="HHQ105" s="33" t="s">
        <v>334</v>
      </c>
      <c r="HHR105" s="33" t="s">
        <v>334</v>
      </c>
      <c r="HHS105" s="33" t="s">
        <v>334</v>
      </c>
      <c r="HHT105" s="33" t="s">
        <v>334</v>
      </c>
      <c r="HHU105" s="33" t="s">
        <v>334</v>
      </c>
      <c r="HHV105" s="33" t="s">
        <v>334</v>
      </c>
      <c r="HHW105" s="33" t="s">
        <v>334</v>
      </c>
      <c r="HHX105" s="33" t="s">
        <v>334</v>
      </c>
      <c r="HHY105" s="33" t="s">
        <v>334</v>
      </c>
      <c r="HHZ105" s="33" t="s">
        <v>334</v>
      </c>
      <c r="HIA105" s="33" t="s">
        <v>334</v>
      </c>
      <c r="HIB105" s="33" t="s">
        <v>334</v>
      </c>
      <c r="HIC105" s="33" t="s">
        <v>334</v>
      </c>
      <c r="HID105" s="33" t="s">
        <v>334</v>
      </c>
      <c r="HIE105" s="33" t="s">
        <v>334</v>
      </c>
      <c r="HIF105" s="33" t="s">
        <v>334</v>
      </c>
      <c r="HIG105" s="33" t="s">
        <v>334</v>
      </c>
      <c r="HIH105" s="33" t="s">
        <v>334</v>
      </c>
      <c r="HII105" s="33" t="s">
        <v>334</v>
      </c>
      <c r="HIJ105" s="33" t="s">
        <v>334</v>
      </c>
      <c r="HIK105" s="33" t="s">
        <v>334</v>
      </c>
      <c r="HIL105" s="33" t="s">
        <v>334</v>
      </c>
      <c r="HIM105" s="33" t="s">
        <v>334</v>
      </c>
      <c r="HIN105" s="33" t="s">
        <v>334</v>
      </c>
      <c r="HIO105" s="33" t="s">
        <v>334</v>
      </c>
      <c r="HIP105" s="33" t="s">
        <v>334</v>
      </c>
      <c r="HIQ105" s="33" t="s">
        <v>334</v>
      </c>
      <c r="HIR105" s="33" t="s">
        <v>334</v>
      </c>
      <c r="HIS105" s="33" t="s">
        <v>334</v>
      </c>
      <c r="HIT105" s="33" t="s">
        <v>334</v>
      </c>
      <c r="HIU105" s="33" t="s">
        <v>334</v>
      </c>
      <c r="HIV105" s="33" t="s">
        <v>334</v>
      </c>
      <c r="HIW105" s="33" t="s">
        <v>334</v>
      </c>
      <c r="HIX105" s="33" t="s">
        <v>334</v>
      </c>
      <c r="HIY105" s="33" t="s">
        <v>334</v>
      </c>
      <c r="HIZ105" s="33" t="s">
        <v>334</v>
      </c>
      <c r="HJA105" s="33" t="s">
        <v>334</v>
      </c>
      <c r="HJB105" s="33" t="s">
        <v>334</v>
      </c>
      <c r="HJC105" s="33" t="s">
        <v>334</v>
      </c>
      <c r="HJD105" s="33" t="s">
        <v>334</v>
      </c>
      <c r="HJE105" s="33" t="s">
        <v>334</v>
      </c>
      <c r="HJF105" s="33" t="s">
        <v>334</v>
      </c>
      <c r="HJG105" s="33" t="s">
        <v>334</v>
      </c>
      <c r="HJH105" s="33" t="s">
        <v>334</v>
      </c>
      <c r="HJI105" s="33" t="s">
        <v>334</v>
      </c>
      <c r="HJJ105" s="33" t="s">
        <v>334</v>
      </c>
      <c r="HJK105" s="33" t="s">
        <v>334</v>
      </c>
      <c r="HJL105" s="33" t="s">
        <v>334</v>
      </c>
      <c r="HJM105" s="33" t="s">
        <v>334</v>
      </c>
      <c r="HJN105" s="33" t="s">
        <v>334</v>
      </c>
      <c r="HJO105" s="33" t="s">
        <v>334</v>
      </c>
      <c r="HJP105" s="33" t="s">
        <v>334</v>
      </c>
      <c r="HJQ105" s="33" t="s">
        <v>334</v>
      </c>
      <c r="HJR105" s="33" t="s">
        <v>334</v>
      </c>
      <c r="HJS105" s="33" t="s">
        <v>334</v>
      </c>
      <c r="HJT105" s="33" t="s">
        <v>334</v>
      </c>
      <c r="HJU105" s="33" t="s">
        <v>334</v>
      </c>
      <c r="HJV105" s="33" t="s">
        <v>334</v>
      </c>
      <c r="HJW105" s="33" t="s">
        <v>334</v>
      </c>
      <c r="HJX105" s="33" t="s">
        <v>334</v>
      </c>
      <c r="HJY105" s="33" t="s">
        <v>334</v>
      </c>
      <c r="HJZ105" s="33" t="s">
        <v>334</v>
      </c>
      <c r="HKA105" s="33" t="s">
        <v>334</v>
      </c>
      <c r="HKB105" s="33" t="s">
        <v>334</v>
      </c>
      <c r="HKC105" s="33" t="s">
        <v>334</v>
      </c>
      <c r="HKD105" s="33" t="s">
        <v>334</v>
      </c>
      <c r="HKE105" s="33" t="s">
        <v>334</v>
      </c>
      <c r="HKF105" s="33" t="s">
        <v>334</v>
      </c>
      <c r="HKG105" s="33" t="s">
        <v>334</v>
      </c>
      <c r="HKH105" s="33" t="s">
        <v>334</v>
      </c>
      <c r="HKI105" s="33" t="s">
        <v>334</v>
      </c>
      <c r="HKJ105" s="33" t="s">
        <v>334</v>
      </c>
      <c r="HKK105" s="33" t="s">
        <v>334</v>
      </c>
      <c r="HKL105" s="33" t="s">
        <v>334</v>
      </c>
      <c r="HKM105" s="33" t="s">
        <v>334</v>
      </c>
      <c r="HKN105" s="33" t="s">
        <v>334</v>
      </c>
      <c r="HKO105" s="33" t="s">
        <v>334</v>
      </c>
      <c r="HKP105" s="33" t="s">
        <v>334</v>
      </c>
      <c r="HKQ105" s="33" t="s">
        <v>334</v>
      </c>
      <c r="HKR105" s="33" t="s">
        <v>334</v>
      </c>
      <c r="HKS105" s="33" t="s">
        <v>334</v>
      </c>
      <c r="HKT105" s="33" t="s">
        <v>334</v>
      </c>
      <c r="HKU105" s="33" t="s">
        <v>334</v>
      </c>
      <c r="HKV105" s="33" t="s">
        <v>334</v>
      </c>
      <c r="HKW105" s="33" t="s">
        <v>334</v>
      </c>
      <c r="HKX105" s="33" t="s">
        <v>334</v>
      </c>
      <c r="HKY105" s="33" t="s">
        <v>334</v>
      </c>
      <c r="HKZ105" s="33" t="s">
        <v>334</v>
      </c>
      <c r="HLA105" s="33" t="s">
        <v>334</v>
      </c>
      <c r="HLB105" s="33" t="s">
        <v>334</v>
      </c>
      <c r="HLC105" s="33" t="s">
        <v>334</v>
      </c>
      <c r="HLD105" s="33" t="s">
        <v>334</v>
      </c>
      <c r="HLE105" s="33" t="s">
        <v>334</v>
      </c>
      <c r="HLF105" s="33" t="s">
        <v>334</v>
      </c>
      <c r="HLG105" s="33" t="s">
        <v>334</v>
      </c>
      <c r="HLH105" s="33" t="s">
        <v>334</v>
      </c>
      <c r="HLI105" s="33" t="s">
        <v>334</v>
      </c>
      <c r="HLJ105" s="33" t="s">
        <v>334</v>
      </c>
      <c r="HLK105" s="33" t="s">
        <v>334</v>
      </c>
      <c r="HLL105" s="33" t="s">
        <v>334</v>
      </c>
      <c r="HLM105" s="33" t="s">
        <v>334</v>
      </c>
      <c r="HLN105" s="33" t="s">
        <v>334</v>
      </c>
      <c r="HLO105" s="33" t="s">
        <v>334</v>
      </c>
      <c r="HLP105" s="33" t="s">
        <v>334</v>
      </c>
      <c r="HLQ105" s="33" t="s">
        <v>334</v>
      </c>
      <c r="HLR105" s="33" t="s">
        <v>334</v>
      </c>
      <c r="HLS105" s="33" t="s">
        <v>334</v>
      </c>
      <c r="HLT105" s="33" t="s">
        <v>334</v>
      </c>
      <c r="HLU105" s="33" t="s">
        <v>334</v>
      </c>
      <c r="HLV105" s="33" t="s">
        <v>334</v>
      </c>
      <c r="HLW105" s="33" t="s">
        <v>334</v>
      </c>
      <c r="HLX105" s="33" t="s">
        <v>334</v>
      </c>
      <c r="HLY105" s="33" t="s">
        <v>334</v>
      </c>
      <c r="HLZ105" s="33" t="s">
        <v>334</v>
      </c>
      <c r="HMA105" s="33" t="s">
        <v>334</v>
      </c>
      <c r="HMB105" s="33" t="s">
        <v>334</v>
      </c>
      <c r="HMC105" s="33" t="s">
        <v>334</v>
      </c>
      <c r="HMD105" s="33" t="s">
        <v>334</v>
      </c>
      <c r="HME105" s="33" t="s">
        <v>334</v>
      </c>
      <c r="HMF105" s="33" t="s">
        <v>334</v>
      </c>
      <c r="HMG105" s="33" t="s">
        <v>334</v>
      </c>
      <c r="HMH105" s="33" t="s">
        <v>334</v>
      </c>
      <c r="HMI105" s="33" t="s">
        <v>334</v>
      </c>
      <c r="HMJ105" s="33" t="s">
        <v>334</v>
      </c>
      <c r="HMK105" s="33" t="s">
        <v>334</v>
      </c>
      <c r="HML105" s="33" t="s">
        <v>334</v>
      </c>
      <c r="HMM105" s="33" t="s">
        <v>334</v>
      </c>
      <c r="HMN105" s="33" t="s">
        <v>334</v>
      </c>
      <c r="HMO105" s="33" t="s">
        <v>334</v>
      </c>
      <c r="HMP105" s="33" t="s">
        <v>334</v>
      </c>
      <c r="HMQ105" s="33" t="s">
        <v>334</v>
      </c>
      <c r="HMR105" s="33" t="s">
        <v>334</v>
      </c>
      <c r="HMS105" s="33" t="s">
        <v>334</v>
      </c>
      <c r="HMT105" s="33" t="s">
        <v>334</v>
      </c>
      <c r="HMU105" s="33" t="s">
        <v>334</v>
      </c>
      <c r="HMV105" s="33" t="s">
        <v>334</v>
      </c>
      <c r="HMW105" s="33" t="s">
        <v>334</v>
      </c>
      <c r="HMX105" s="33" t="s">
        <v>334</v>
      </c>
      <c r="HMY105" s="33" t="s">
        <v>334</v>
      </c>
      <c r="HMZ105" s="33" t="s">
        <v>334</v>
      </c>
      <c r="HNA105" s="33" t="s">
        <v>334</v>
      </c>
      <c r="HNB105" s="33" t="s">
        <v>334</v>
      </c>
      <c r="HNC105" s="33" t="s">
        <v>334</v>
      </c>
      <c r="HND105" s="33" t="s">
        <v>334</v>
      </c>
      <c r="HNE105" s="33" t="s">
        <v>334</v>
      </c>
      <c r="HNF105" s="33" t="s">
        <v>334</v>
      </c>
      <c r="HNG105" s="33" t="s">
        <v>334</v>
      </c>
      <c r="HNH105" s="33" t="s">
        <v>334</v>
      </c>
      <c r="HNI105" s="33" t="s">
        <v>334</v>
      </c>
      <c r="HNJ105" s="33" t="s">
        <v>334</v>
      </c>
      <c r="HNK105" s="33" t="s">
        <v>334</v>
      </c>
      <c r="HNL105" s="33" t="s">
        <v>334</v>
      </c>
      <c r="HNM105" s="33" t="s">
        <v>334</v>
      </c>
      <c r="HNN105" s="33" t="s">
        <v>334</v>
      </c>
      <c r="HNO105" s="33" t="s">
        <v>334</v>
      </c>
      <c r="HNP105" s="33" t="s">
        <v>334</v>
      </c>
      <c r="HNQ105" s="33" t="s">
        <v>334</v>
      </c>
      <c r="HNR105" s="33" t="s">
        <v>334</v>
      </c>
      <c r="HNS105" s="33" t="s">
        <v>334</v>
      </c>
      <c r="HNT105" s="33" t="s">
        <v>334</v>
      </c>
      <c r="HNU105" s="33" t="s">
        <v>334</v>
      </c>
      <c r="HNV105" s="33" t="s">
        <v>334</v>
      </c>
      <c r="HNW105" s="33" t="s">
        <v>334</v>
      </c>
      <c r="HNX105" s="33" t="s">
        <v>334</v>
      </c>
      <c r="HNY105" s="33" t="s">
        <v>334</v>
      </c>
      <c r="HNZ105" s="33" t="s">
        <v>334</v>
      </c>
      <c r="HOA105" s="33" t="s">
        <v>334</v>
      </c>
      <c r="HOB105" s="33" t="s">
        <v>334</v>
      </c>
      <c r="HOC105" s="33" t="s">
        <v>334</v>
      </c>
      <c r="HOD105" s="33" t="s">
        <v>334</v>
      </c>
      <c r="HOE105" s="33" t="s">
        <v>334</v>
      </c>
      <c r="HOF105" s="33" t="s">
        <v>334</v>
      </c>
      <c r="HOG105" s="33" t="s">
        <v>334</v>
      </c>
      <c r="HOH105" s="33" t="s">
        <v>334</v>
      </c>
      <c r="HOI105" s="33" t="s">
        <v>334</v>
      </c>
      <c r="HOJ105" s="33" t="s">
        <v>334</v>
      </c>
      <c r="HOK105" s="33" t="s">
        <v>334</v>
      </c>
      <c r="HOL105" s="33" t="s">
        <v>334</v>
      </c>
      <c r="HOM105" s="33" t="s">
        <v>334</v>
      </c>
      <c r="HON105" s="33" t="s">
        <v>334</v>
      </c>
      <c r="HOO105" s="33" t="s">
        <v>334</v>
      </c>
      <c r="HOP105" s="33" t="s">
        <v>334</v>
      </c>
      <c r="HOQ105" s="33" t="s">
        <v>334</v>
      </c>
      <c r="HOR105" s="33" t="s">
        <v>334</v>
      </c>
      <c r="HOS105" s="33" t="s">
        <v>334</v>
      </c>
      <c r="HOT105" s="33" t="s">
        <v>334</v>
      </c>
      <c r="HOU105" s="33" t="s">
        <v>334</v>
      </c>
      <c r="HOV105" s="33" t="s">
        <v>334</v>
      </c>
      <c r="HOW105" s="33" t="s">
        <v>334</v>
      </c>
      <c r="HOX105" s="33" t="s">
        <v>334</v>
      </c>
      <c r="HOY105" s="33" t="s">
        <v>334</v>
      </c>
      <c r="HOZ105" s="33" t="s">
        <v>334</v>
      </c>
      <c r="HPA105" s="33" t="s">
        <v>334</v>
      </c>
      <c r="HPB105" s="33" t="s">
        <v>334</v>
      </c>
      <c r="HPC105" s="33" t="s">
        <v>334</v>
      </c>
      <c r="HPD105" s="33" t="s">
        <v>334</v>
      </c>
      <c r="HPE105" s="33" t="s">
        <v>334</v>
      </c>
      <c r="HPF105" s="33" t="s">
        <v>334</v>
      </c>
      <c r="HPG105" s="33" t="s">
        <v>334</v>
      </c>
      <c r="HPH105" s="33" t="s">
        <v>334</v>
      </c>
      <c r="HPI105" s="33" t="s">
        <v>334</v>
      </c>
      <c r="HPJ105" s="33" t="s">
        <v>334</v>
      </c>
      <c r="HPK105" s="33" t="s">
        <v>334</v>
      </c>
      <c r="HPL105" s="33" t="s">
        <v>334</v>
      </c>
      <c r="HPM105" s="33" t="s">
        <v>334</v>
      </c>
      <c r="HPN105" s="33" t="s">
        <v>334</v>
      </c>
      <c r="HPO105" s="33" t="s">
        <v>334</v>
      </c>
      <c r="HPP105" s="33" t="s">
        <v>334</v>
      </c>
      <c r="HPQ105" s="33" t="s">
        <v>334</v>
      </c>
      <c r="HPR105" s="33" t="s">
        <v>334</v>
      </c>
      <c r="HPS105" s="33" t="s">
        <v>334</v>
      </c>
      <c r="HPT105" s="33" t="s">
        <v>334</v>
      </c>
      <c r="HPU105" s="33" t="s">
        <v>334</v>
      </c>
      <c r="HPV105" s="33" t="s">
        <v>334</v>
      </c>
      <c r="HPW105" s="33" t="s">
        <v>334</v>
      </c>
      <c r="HPX105" s="33" t="s">
        <v>334</v>
      </c>
      <c r="HPY105" s="33" t="s">
        <v>334</v>
      </c>
      <c r="HPZ105" s="33" t="s">
        <v>334</v>
      </c>
      <c r="HQA105" s="33" t="s">
        <v>334</v>
      </c>
      <c r="HQB105" s="33" t="s">
        <v>334</v>
      </c>
      <c r="HQC105" s="33" t="s">
        <v>334</v>
      </c>
      <c r="HQD105" s="33" t="s">
        <v>334</v>
      </c>
      <c r="HQE105" s="33" t="s">
        <v>334</v>
      </c>
      <c r="HQF105" s="33" t="s">
        <v>334</v>
      </c>
      <c r="HQG105" s="33" t="s">
        <v>334</v>
      </c>
      <c r="HQH105" s="33" t="s">
        <v>334</v>
      </c>
      <c r="HQI105" s="33" t="s">
        <v>334</v>
      </c>
      <c r="HQJ105" s="33" t="s">
        <v>334</v>
      </c>
      <c r="HQK105" s="33" t="s">
        <v>334</v>
      </c>
      <c r="HQL105" s="33" t="s">
        <v>334</v>
      </c>
      <c r="HQM105" s="33" t="s">
        <v>334</v>
      </c>
      <c r="HQN105" s="33" t="s">
        <v>334</v>
      </c>
      <c r="HQO105" s="33" t="s">
        <v>334</v>
      </c>
      <c r="HQP105" s="33" t="s">
        <v>334</v>
      </c>
      <c r="HQQ105" s="33" t="s">
        <v>334</v>
      </c>
      <c r="HQR105" s="33" t="s">
        <v>334</v>
      </c>
      <c r="HQS105" s="33" t="s">
        <v>334</v>
      </c>
      <c r="HQT105" s="33" t="s">
        <v>334</v>
      </c>
      <c r="HQU105" s="33" t="s">
        <v>334</v>
      </c>
      <c r="HQV105" s="33" t="s">
        <v>334</v>
      </c>
      <c r="HQW105" s="33" t="s">
        <v>334</v>
      </c>
      <c r="HQX105" s="33" t="s">
        <v>334</v>
      </c>
      <c r="HQY105" s="33" t="s">
        <v>334</v>
      </c>
      <c r="HQZ105" s="33" t="s">
        <v>334</v>
      </c>
      <c r="HRA105" s="33" t="s">
        <v>334</v>
      </c>
      <c r="HRB105" s="33" t="s">
        <v>334</v>
      </c>
      <c r="HRC105" s="33" t="s">
        <v>334</v>
      </c>
      <c r="HRD105" s="33" t="s">
        <v>334</v>
      </c>
      <c r="HRE105" s="33" t="s">
        <v>334</v>
      </c>
      <c r="HRF105" s="33" t="s">
        <v>334</v>
      </c>
      <c r="HRG105" s="33" t="s">
        <v>334</v>
      </c>
      <c r="HRH105" s="33" t="s">
        <v>334</v>
      </c>
      <c r="HRI105" s="33" t="s">
        <v>334</v>
      </c>
      <c r="HRJ105" s="33" t="s">
        <v>334</v>
      </c>
      <c r="HRK105" s="33" t="s">
        <v>334</v>
      </c>
      <c r="HRL105" s="33" t="s">
        <v>334</v>
      </c>
      <c r="HRM105" s="33" t="s">
        <v>334</v>
      </c>
      <c r="HRN105" s="33" t="s">
        <v>334</v>
      </c>
      <c r="HRO105" s="33" t="s">
        <v>334</v>
      </c>
      <c r="HRP105" s="33" t="s">
        <v>334</v>
      </c>
      <c r="HRQ105" s="33" t="s">
        <v>334</v>
      </c>
      <c r="HRR105" s="33" t="s">
        <v>334</v>
      </c>
      <c r="HRS105" s="33" t="s">
        <v>334</v>
      </c>
      <c r="HRT105" s="33" t="s">
        <v>334</v>
      </c>
      <c r="HRU105" s="33" t="s">
        <v>334</v>
      </c>
      <c r="HRV105" s="33" t="s">
        <v>334</v>
      </c>
      <c r="HRW105" s="33" t="s">
        <v>334</v>
      </c>
      <c r="HRX105" s="33" t="s">
        <v>334</v>
      </c>
      <c r="HRY105" s="33" t="s">
        <v>334</v>
      </c>
      <c r="HRZ105" s="33" t="s">
        <v>334</v>
      </c>
      <c r="HSA105" s="33" t="s">
        <v>334</v>
      </c>
      <c r="HSB105" s="33" t="s">
        <v>334</v>
      </c>
      <c r="HSC105" s="33" t="s">
        <v>334</v>
      </c>
      <c r="HSD105" s="33" t="s">
        <v>334</v>
      </c>
      <c r="HSE105" s="33" t="s">
        <v>334</v>
      </c>
      <c r="HSF105" s="33" t="s">
        <v>334</v>
      </c>
      <c r="HSG105" s="33" t="s">
        <v>334</v>
      </c>
      <c r="HSH105" s="33" t="s">
        <v>334</v>
      </c>
      <c r="HSI105" s="33" t="s">
        <v>334</v>
      </c>
      <c r="HSJ105" s="33" t="s">
        <v>334</v>
      </c>
      <c r="HSK105" s="33" t="s">
        <v>334</v>
      </c>
      <c r="HSL105" s="33" t="s">
        <v>334</v>
      </c>
      <c r="HSM105" s="33" t="s">
        <v>334</v>
      </c>
      <c r="HSN105" s="33" t="s">
        <v>334</v>
      </c>
      <c r="HSO105" s="33" t="s">
        <v>334</v>
      </c>
      <c r="HSP105" s="33" t="s">
        <v>334</v>
      </c>
      <c r="HSQ105" s="33" t="s">
        <v>334</v>
      </c>
      <c r="HSR105" s="33" t="s">
        <v>334</v>
      </c>
      <c r="HSS105" s="33" t="s">
        <v>334</v>
      </c>
      <c r="HST105" s="33" t="s">
        <v>334</v>
      </c>
      <c r="HSU105" s="33" t="s">
        <v>334</v>
      </c>
      <c r="HSV105" s="33" t="s">
        <v>334</v>
      </c>
      <c r="HSW105" s="33" t="s">
        <v>334</v>
      </c>
      <c r="HSX105" s="33" t="s">
        <v>334</v>
      </c>
      <c r="HSY105" s="33" t="s">
        <v>334</v>
      </c>
      <c r="HSZ105" s="33" t="s">
        <v>334</v>
      </c>
      <c r="HTA105" s="33" t="s">
        <v>334</v>
      </c>
      <c r="HTB105" s="33" t="s">
        <v>334</v>
      </c>
      <c r="HTC105" s="33" t="s">
        <v>334</v>
      </c>
      <c r="HTD105" s="33" t="s">
        <v>334</v>
      </c>
      <c r="HTE105" s="33" t="s">
        <v>334</v>
      </c>
      <c r="HTF105" s="33" t="s">
        <v>334</v>
      </c>
      <c r="HTG105" s="33" t="s">
        <v>334</v>
      </c>
      <c r="HTH105" s="33" t="s">
        <v>334</v>
      </c>
      <c r="HTI105" s="33" t="s">
        <v>334</v>
      </c>
      <c r="HTJ105" s="33" t="s">
        <v>334</v>
      </c>
      <c r="HTK105" s="33" t="s">
        <v>334</v>
      </c>
      <c r="HTL105" s="33" t="s">
        <v>334</v>
      </c>
      <c r="HTM105" s="33" t="s">
        <v>334</v>
      </c>
      <c r="HTN105" s="33" t="s">
        <v>334</v>
      </c>
      <c r="HTO105" s="33" t="s">
        <v>334</v>
      </c>
      <c r="HTP105" s="33" t="s">
        <v>334</v>
      </c>
      <c r="HTQ105" s="33" t="s">
        <v>334</v>
      </c>
      <c r="HTR105" s="33" t="s">
        <v>334</v>
      </c>
      <c r="HTS105" s="33" t="s">
        <v>334</v>
      </c>
      <c r="HTT105" s="33" t="s">
        <v>334</v>
      </c>
      <c r="HTU105" s="33" t="s">
        <v>334</v>
      </c>
      <c r="HTV105" s="33" t="s">
        <v>334</v>
      </c>
      <c r="HTW105" s="33" t="s">
        <v>334</v>
      </c>
      <c r="HTX105" s="33" t="s">
        <v>334</v>
      </c>
      <c r="HTY105" s="33" t="s">
        <v>334</v>
      </c>
      <c r="HTZ105" s="33" t="s">
        <v>334</v>
      </c>
      <c r="HUA105" s="33" t="s">
        <v>334</v>
      </c>
      <c r="HUB105" s="33" t="s">
        <v>334</v>
      </c>
      <c r="HUC105" s="33" t="s">
        <v>334</v>
      </c>
      <c r="HUD105" s="33" t="s">
        <v>334</v>
      </c>
      <c r="HUE105" s="33" t="s">
        <v>334</v>
      </c>
      <c r="HUF105" s="33" t="s">
        <v>334</v>
      </c>
      <c r="HUG105" s="33" t="s">
        <v>334</v>
      </c>
      <c r="HUH105" s="33" t="s">
        <v>334</v>
      </c>
      <c r="HUI105" s="33" t="s">
        <v>334</v>
      </c>
      <c r="HUJ105" s="33" t="s">
        <v>334</v>
      </c>
      <c r="HUK105" s="33" t="s">
        <v>334</v>
      </c>
      <c r="HUL105" s="33" t="s">
        <v>334</v>
      </c>
      <c r="HUM105" s="33" t="s">
        <v>334</v>
      </c>
      <c r="HUN105" s="33" t="s">
        <v>334</v>
      </c>
      <c r="HUO105" s="33" t="s">
        <v>334</v>
      </c>
      <c r="HUP105" s="33" t="s">
        <v>334</v>
      </c>
      <c r="HUQ105" s="33" t="s">
        <v>334</v>
      </c>
      <c r="HUR105" s="33" t="s">
        <v>334</v>
      </c>
      <c r="HUS105" s="33" t="s">
        <v>334</v>
      </c>
      <c r="HUT105" s="33" t="s">
        <v>334</v>
      </c>
      <c r="HUU105" s="33" t="s">
        <v>334</v>
      </c>
      <c r="HUV105" s="33" t="s">
        <v>334</v>
      </c>
      <c r="HUW105" s="33" t="s">
        <v>334</v>
      </c>
      <c r="HUX105" s="33" t="s">
        <v>334</v>
      </c>
      <c r="HUY105" s="33" t="s">
        <v>334</v>
      </c>
      <c r="HUZ105" s="33" t="s">
        <v>334</v>
      </c>
      <c r="HVA105" s="33" t="s">
        <v>334</v>
      </c>
      <c r="HVB105" s="33" t="s">
        <v>334</v>
      </c>
      <c r="HVC105" s="33" t="s">
        <v>334</v>
      </c>
      <c r="HVD105" s="33" t="s">
        <v>334</v>
      </c>
      <c r="HVE105" s="33" t="s">
        <v>334</v>
      </c>
      <c r="HVF105" s="33" t="s">
        <v>334</v>
      </c>
      <c r="HVG105" s="33" t="s">
        <v>334</v>
      </c>
      <c r="HVH105" s="33" t="s">
        <v>334</v>
      </c>
      <c r="HVI105" s="33" t="s">
        <v>334</v>
      </c>
      <c r="HVJ105" s="33" t="s">
        <v>334</v>
      </c>
      <c r="HVK105" s="33" t="s">
        <v>334</v>
      </c>
      <c r="HVL105" s="33" t="s">
        <v>334</v>
      </c>
      <c r="HVM105" s="33" t="s">
        <v>334</v>
      </c>
      <c r="HVN105" s="33" t="s">
        <v>334</v>
      </c>
      <c r="HVO105" s="33" t="s">
        <v>334</v>
      </c>
      <c r="HVP105" s="33" t="s">
        <v>334</v>
      </c>
      <c r="HVQ105" s="33" t="s">
        <v>334</v>
      </c>
      <c r="HVR105" s="33" t="s">
        <v>334</v>
      </c>
      <c r="HVS105" s="33" t="s">
        <v>334</v>
      </c>
      <c r="HVT105" s="33" t="s">
        <v>334</v>
      </c>
      <c r="HVU105" s="33" t="s">
        <v>334</v>
      </c>
      <c r="HVV105" s="33" t="s">
        <v>334</v>
      </c>
      <c r="HVW105" s="33" t="s">
        <v>334</v>
      </c>
      <c r="HVX105" s="33" t="s">
        <v>334</v>
      </c>
      <c r="HVY105" s="33" t="s">
        <v>334</v>
      </c>
      <c r="HVZ105" s="33" t="s">
        <v>334</v>
      </c>
      <c r="HWA105" s="33" t="s">
        <v>334</v>
      </c>
      <c r="HWB105" s="33" t="s">
        <v>334</v>
      </c>
      <c r="HWC105" s="33" t="s">
        <v>334</v>
      </c>
      <c r="HWD105" s="33" t="s">
        <v>334</v>
      </c>
      <c r="HWE105" s="33" t="s">
        <v>334</v>
      </c>
      <c r="HWF105" s="33" t="s">
        <v>334</v>
      </c>
      <c r="HWG105" s="33" t="s">
        <v>334</v>
      </c>
      <c r="HWH105" s="33" t="s">
        <v>334</v>
      </c>
      <c r="HWI105" s="33" t="s">
        <v>334</v>
      </c>
      <c r="HWJ105" s="33" t="s">
        <v>334</v>
      </c>
      <c r="HWK105" s="33" t="s">
        <v>334</v>
      </c>
      <c r="HWL105" s="33" t="s">
        <v>334</v>
      </c>
      <c r="HWM105" s="33" t="s">
        <v>334</v>
      </c>
      <c r="HWN105" s="33" t="s">
        <v>334</v>
      </c>
      <c r="HWO105" s="33" t="s">
        <v>334</v>
      </c>
      <c r="HWP105" s="33" t="s">
        <v>334</v>
      </c>
      <c r="HWQ105" s="33" t="s">
        <v>334</v>
      </c>
      <c r="HWR105" s="33" t="s">
        <v>334</v>
      </c>
      <c r="HWS105" s="33" t="s">
        <v>334</v>
      </c>
      <c r="HWT105" s="33" t="s">
        <v>334</v>
      </c>
      <c r="HWU105" s="33" t="s">
        <v>334</v>
      </c>
      <c r="HWV105" s="33" t="s">
        <v>334</v>
      </c>
      <c r="HWW105" s="33" t="s">
        <v>334</v>
      </c>
      <c r="HWX105" s="33" t="s">
        <v>334</v>
      </c>
      <c r="HWY105" s="33" t="s">
        <v>334</v>
      </c>
      <c r="HWZ105" s="33" t="s">
        <v>334</v>
      </c>
      <c r="HXA105" s="33" t="s">
        <v>334</v>
      </c>
      <c r="HXB105" s="33" t="s">
        <v>334</v>
      </c>
      <c r="HXC105" s="33" t="s">
        <v>334</v>
      </c>
      <c r="HXD105" s="33" t="s">
        <v>334</v>
      </c>
      <c r="HXE105" s="33" t="s">
        <v>334</v>
      </c>
      <c r="HXF105" s="33" t="s">
        <v>334</v>
      </c>
      <c r="HXG105" s="33" t="s">
        <v>334</v>
      </c>
      <c r="HXH105" s="33" t="s">
        <v>334</v>
      </c>
      <c r="HXI105" s="33" t="s">
        <v>334</v>
      </c>
      <c r="HXJ105" s="33" t="s">
        <v>334</v>
      </c>
      <c r="HXK105" s="33" t="s">
        <v>334</v>
      </c>
      <c r="HXL105" s="33" t="s">
        <v>334</v>
      </c>
      <c r="HXM105" s="33" t="s">
        <v>334</v>
      </c>
      <c r="HXN105" s="33" t="s">
        <v>334</v>
      </c>
      <c r="HXO105" s="33" t="s">
        <v>334</v>
      </c>
      <c r="HXP105" s="33" t="s">
        <v>334</v>
      </c>
      <c r="HXQ105" s="33" t="s">
        <v>334</v>
      </c>
      <c r="HXR105" s="33" t="s">
        <v>334</v>
      </c>
      <c r="HXS105" s="33" t="s">
        <v>334</v>
      </c>
      <c r="HXT105" s="33" t="s">
        <v>334</v>
      </c>
      <c r="HXU105" s="33" t="s">
        <v>334</v>
      </c>
      <c r="HXV105" s="33" t="s">
        <v>334</v>
      </c>
      <c r="HXW105" s="33" t="s">
        <v>334</v>
      </c>
      <c r="HXX105" s="33" t="s">
        <v>334</v>
      </c>
      <c r="HXY105" s="33" t="s">
        <v>334</v>
      </c>
      <c r="HXZ105" s="33" t="s">
        <v>334</v>
      </c>
      <c r="HYA105" s="33" t="s">
        <v>334</v>
      </c>
      <c r="HYB105" s="33" t="s">
        <v>334</v>
      </c>
      <c r="HYC105" s="33" t="s">
        <v>334</v>
      </c>
      <c r="HYD105" s="33" t="s">
        <v>334</v>
      </c>
      <c r="HYE105" s="33" t="s">
        <v>334</v>
      </c>
      <c r="HYF105" s="33" t="s">
        <v>334</v>
      </c>
      <c r="HYG105" s="33" t="s">
        <v>334</v>
      </c>
      <c r="HYH105" s="33" t="s">
        <v>334</v>
      </c>
      <c r="HYI105" s="33" t="s">
        <v>334</v>
      </c>
      <c r="HYJ105" s="33" t="s">
        <v>334</v>
      </c>
      <c r="HYK105" s="33" t="s">
        <v>334</v>
      </c>
      <c r="HYL105" s="33" t="s">
        <v>334</v>
      </c>
      <c r="HYM105" s="33" t="s">
        <v>334</v>
      </c>
      <c r="HYN105" s="33" t="s">
        <v>334</v>
      </c>
      <c r="HYO105" s="33" t="s">
        <v>334</v>
      </c>
      <c r="HYP105" s="33" t="s">
        <v>334</v>
      </c>
      <c r="HYQ105" s="33" t="s">
        <v>334</v>
      </c>
      <c r="HYR105" s="33" t="s">
        <v>334</v>
      </c>
      <c r="HYS105" s="33" t="s">
        <v>334</v>
      </c>
      <c r="HYT105" s="33" t="s">
        <v>334</v>
      </c>
      <c r="HYU105" s="33" t="s">
        <v>334</v>
      </c>
      <c r="HYV105" s="33" t="s">
        <v>334</v>
      </c>
      <c r="HYW105" s="33" t="s">
        <v>334</v>
      </c>
      <c r="HYX105" s="33" t="s">
        <v>334</v>
      </c>
      <c r="HYY105" s="33" t="s">
        <v>334</v>
      </c>
      <c r="HYZ105" s="33" t="s">
        <v>334</v>
      </c>
      <c r="HZA105" s="33" t="s">
        <v>334</v>
      </c>
      <c r="HZB105" s="33" t="s">
        <v>334</v>
      </c>
      <c r="HZC105" s="33" t="s">
        <v>334</v>
      </c>
      <c r="HZD105" s="33" t="s">
        <v>334</v>
      </c>
      <c r="HZE105" s="33" t="s">
        <v>334</v>
      </c>
      <c r="HZF105" s="33" t="s">
        <v>334</v>
      </c>
      <c r="HZG105" s="33" t="s">
        <v>334</v>
      </c>
      <c r="HZH105" s="33" t="s">
        <v>334</v>
      </c>
      <c r="HZI105" s="33" t="s">
        <v>334</v>
      </c>
      <c r="HZJ105" s="33" t="s">
        <v>334</v>
      </c>
      <c r="HZK105" s="33" t="s">
        <v>334</v>
      </c>
      <c r="HZL105" s="33" t="s">
        <v>334</v>
      </c>
      <c r="HZM105" s="33" t="s">
        <v>334</v>
      </c>
      <c r="HZN105" s="33" t="s">
        <v>334</v>
      </c>
      <c r="HZO105" s="33" t="s">
        <v>334</v>
      </c>
      <c r="HZP105" s="33" t="s">
        <v>334</v>
      </c>
      <c r="HZQ105" s="33" t="s">
        <v>334</v>
      </c>
      <c r="HZR105" s="33" t="s">
        <v>334</v>
      </c>
      <c r="HZS105" s="33" t="s">
        <v>334</v>
      </c>
      <c r="HZT105" s="33" t="s">
        <v>334</v>
      </c>
      <c r="HZU105" s="33" t="s">
        <v>334</v>
      </c>
      <c r="HZV105" s="33" t="s">
        <v>334</v>
      </c>
      <c r="HZW105" s="33" t="s">
        <v>334</v>
      </c>
      <c r="HZX105" s="33" t="s">
        <v>334</v>
      </c>
      <c r="HZY105" s="33" t="s">
        <v>334</v>
      </c>
      <c r="HZZ105" s="33" t="s">
        <v>334</v>
      </c>
      <c r="IAA105" s="33" t="s">
        <v>334</v>
      </c>
      <c r="IAB105" s="33" t="s">
        <v>334</v>
      </c>
      <c r="IAC105" s="33" t="s">
        <v>334</v>
      </c>
      <c r="IAD105" s="33" t="s">
        <v>334</v>
      </c>
      <c r="IAE105" s="33" t="s">
        <v>334</v>
      </c>
      <c r="IAF105" s="33" t="s">
        <v>334</v>
      </c>
      <c r="IAG105" s="33" t="s">
        <v>334</v>
      </c>
      <c r="IAH105" s="33" t="s">
        <v>334</v>
      </c>
      <c r="IAI105" s="33" t="s">
        <v>334</v>
      </c>
      <c r="IAJ105" s="33" t="s">
        <v>334</v>
      </c>
      <c r="IAK105" s="33" t="s">
        <v>334</v>
      </c>
      <c r="IAL105" s="33" t="s">
        <v>334</v>
      </c>
      <c r="IAM105" s="33" t="s">
        <v>334</v>
      </c>
      <c r="IAN105" s="33" t="s">
        <v>334</v>
      </c>
      <c r="IAO105" s="33" t="s">
        <v>334</v>
      </c>
      <c r="IAP105" s="33" t="s">
        <v>334</v>
      </c>
      <c r="IAQ105" s="33" t="s">
        <v>334</v>
      </c>
      <c r="IAR105" s="33" t="s">
        <v>334</v>
      </c>
      <c r="IAS105" s="33" t="s">
        <v>334</v>
      </c>
      <c r="IAT105" s="33" t="s">
        <v>334</v>
      </c>
      <c r="IAU105" s="33" t="s">
        <v>334</v>
      </c>
      <c r="IAV105" s="33" t="s">
        <v>334</v>
      </c>
      <c r="IAW105" s="33" t="s">
        <v>334</v>
      </c>
      <c r="IAX105" s="33" t="s">
        <v>334</v>
      </c>
      <c r="IAY105" s="33" t="s">
        <v>334</v>
      </c>
      <c r="IAZ105" s="33" t="s">
        <v>334</v>
      </c>
      <c r="IBA105" s="33" t="s">
        <v>334</v>
      </c>
      <c r="IBB105" s="33" t="s">
        <v>334</v>
      </c>
      <c r="IBC105" s="33" t="s">
        <v>334</v>
      </c>
      <c r="IBD105" s="33" t="s">
        <v>334</v>
      </c>
      <c r="IBE105" s="33" t="s">
        <v>334</v>
      </c>
      <c r="IBF105" s="33" t="s">
        <v>334</v>
      </c>
      <c r="IBG105" s="33" t="s">
        <v>334</v>
      </c>
      <c r="IBH105" s="33" t="s">
        <v>334</v>
      </c>
      <c r="IBI105" s="33" t="s">
        <v>334</v>
      </c>
      <c r="IBJ105" s="33" t="s">
        <v>334</v>
      </c>
      <c r="IBK105" s="33" t="s">
        <v>334</v>
      </c>
      <c r="IBL105" s="33" t="s">
        <v>334</v>
      </c>
      <c r="IBM105" s="33" t="s">
        <v>334</v>
      </c>
      <c r="IBN105" s="33" t="s">
        <v>334</v>
      </c>
      <c r="IBO105" s="33" t="s">
        <v>334</v>
      </c>
      <c r="IBP105" s="33" t="s">
        <v>334</v>
      </c>
      <c r="IBQ105" s="33" t="s">
        <v>334</v>
      </c>
      <c r="IBR105" s="33" t="s">
        <v>334</v>
      </c>
      <c r="IBS105" s="33" t="s">
        <v>334</v>
      </c>
      <c r="IBT105" s="33" t="s">
        <v>334</v>
      </c>
      <c r="IBU105" s="33" t="s">
        <v>334</v>
      </c>
      <c r="IBV105" s="33" t="s">
        <v>334</v>
      </c>
      <c r="IBW105" s="33" t="s">
        <v>334</v>
      </c>
      <c r="IBX105" s="33" t="s">
        <v>334</v>
      </c>
      <c r="IBY105" s="33" t="s">
        <v>334</v>
      </c>
      <c r="IBZ105" s="33" t="s">
        <v>334</v>
      </c>
      <c r="ICA105" s="33" t="s">
        <v>334</v>
      </c>
      <c r="ICB105" s="33" t="s">
        <v>334</v>
      </c>
      <c r="ICC105" s="33" t="s">
        <v>334</v>
      </c>
      <c r="ICD105" s="33" t="s">
        <v>334</v>
      </c>
      <c r="ICE105" s="33" t="s">
        <v>334</v>
      </c>
      <c r="ICF105" s="33" t="s">
        <v>334</v>
      </c>
      <c r="ICG105" s="33" t="s">
        <v>334</v>
      </c>
      <c r="ICH105" s="33" t="s">
        <v>334</v>
      </c>
      <c r="ICI105" s="33" t="s">
        <v>334</v>
      </c>
      <c r="ICJ105" s="33" t="s">
        <v>334</v>
      </c>
      <c r="ICK105" s="33" t="s">
        <v>334</v>
      </c>
      <c r="ICL105" s="33" t="s">
        <v>334</v>
      </c>
      <c r="ICM105" s="33" t="s">
        <v>334</v>
      </c>
      <c r="ICN105" s="33" t="s">
        <v>334</v>
      </c>
      <c r="ICO105" s="33" t="s">
        <v>334</v>
      </c>
      <c r="ICP105" s="33" t="s">
        <v>334</v>
      </c>
      <c r="ICQ105" s="33" t="s">
        <v>334</v>
      </c>
      <c r="ICR105" s="33" t="s">
        <v>334</v>
      </c>
      <c r="ICS105" s="33" t="s">
        <v>334</v>
      </c>
      <c r="ICT105" s="33" t="s">
        <v>334</v>
      </c>
      <c r="ICU105" s="33" t="s">
        <v>334</v>
      </c>
      <c r="ICV105" s="33" t="s">
        <v>334</v>
      </c>
      <c r="ICW105" s="33" t="s">
        <v>334</v>
      </c>
      <c r="ICX105" s="33" t="s">
        <v>334</v>
      </c>
      <c r="ICY105" s="33" t="s">
        <v>334</v>
      </c>
      <c r="ICZ105" s="33" t="s">
        <v>334</v>
      </c>
      <c r="IDA105" s="33" t="s">
        <v>334</v>
      </c>
      <c r="IDB105" s="33" t="s">
        <v>334</v>
      </c>
      <c r="IDC105" s="33" t="s">
        <v>334</v>
      </c>
      <c r="IDD105" s="33" t="s">
        <v>334</v>
      </c>
      <c r="IDE105" s="33" t="s">
        <v>334</v>
      </c>
      <c r="IDF105" s="33" t="s">
        <v>334</v>
      </c>
      <c r="IDG105" s="33" t="s">
        <v>334</v>
      </c>
      <c r="IDH105" s="33" t="s">
        <v>334</v>
      </c>
      <c r="IDI105" s="33" t="s">
        <v>334</v>
      </c>
      <c r="IDJ105" s="33" t="s">
        <v>334</v>
      </c>
      <c r="IDK105" s="33" t="s">
        <v>334</v>
      </c>
      <c r="IDL105" s="33" t="s">
        <v>334</v>
      </c>
      <c r="IDM105" s="33" t="s">
        <v>334</v>
      </c>
      <c r="IDN105" s="33" t="s">
        <v>334</v>
      </c>
      <c r="IDO105" s="33" t="s">
        <v>334</v>
      </c>
      <c r="IDP105" s="33" t="s">
        <v>334</v>
      </c>
      <c r="IDQ105" s="33" t="s">
        <v>334</v>
      </c>
      <c r="IDR105" s="33" t="s">
        <v>334</v>
      </c>
      <c r="IDS105" s="33" t="s">
        <v>334</v>
      </c>
      <c r="IDT105" s="33" t="s">
        <v>334</v>
      </c>
      <c r="IDU105" s="33" t="s">
        <v>334</v>
      </c>
      <c r="IDV105" s="33" t="s">
        <v>334</v>
      </c>
      <c r="IDW105" s="33" t="s">
        <v>334</v>
      </c>
      <c r="IDX105" s="33" t="s">
        <v>334</v>
      </c>
      <c r="IDY105" s="33" t="s">
        <v>334</v>
      </c>
      <c r="IDZ105" s="33" t="s">
        <v>334</v>
      </c>
      <c r="IEA105" s="33" t="s">
        <v>334</v>
      </c>
      <c r="IEB105" s="33" t="s">
        <v>334</v>
      </c>
      <c r="IEC105" s="33" t="s">
        <v>334</v>
      </c>
      <c r="IED105" s="33" t="s">
        <v>334</v>
      </c>
      <c r="IEE105" s="33" t="s">
        <v>334</v>
      </c>
      <c r="IEF105" s="33" t="s">
        <v>334</v>
      </c>
      <c r="IEG105" s="33" t="s">
        <v>334</v>
      </c>
      <c r="IEH105" s="33" t="s">
        <v>334</v>
      </c>
      <c r="IEI105" s="33" t="s">
        <v>334</v>
      </c>
      <c r="IEJ105" s="33" t="s">
        <v>334</v>
      </c>
      <c r="IEK105" s="33" t="s">
        <v>334</v>
      </c>
      <c r="IEL105" s="33" t="s">
        <v>334</v>
      </c>
      <c r="IEM105" s="33" t="s">
        <v>334</v>
      </c>
      <c r="IEN105" s="33" t="s">
        <v>334</v>
      </c>
      <c r="IEO105" s="33" t="s">
        <v>334</v>
      </c>
      <c r="IEP105" s="33" t="s">
        <v>334</v>
      </c>
      <c r="IEQ105" s="33" t="s">
        <v>334</v>
      </c>
      <c r="IER105" s="33" t="s">
        <v>334</v>
      </c>
      <c r="IES105" s="33" t="s">
        <v>334</v>
      </c>
      <c r="IET105" s="33" t="s">
        <v>334</v>
      </c>
      <c r="IEU105" s="33" t="s">
        <v>334</v>
      </c>
      <c r="IEV105" s="33" t="s">
        <v>334</v>
      </c>
      <c r="IEW105" s="33" t="s">
        <v>334</v>
      </c>
      <c r="IEX105" s="33" t="s">
        <v>334</v>
      </c>
      <c r="IEY105" s="33" t="s">
        <v>334</v>
      </c>
      <c r="IEZ105" s="33" t="s">
        <v>334</v>
      </c>
      <c r="IFA105" s="33" t="s">
        <v>334</v>
      </c>
      <c r="IFB105" s="33" t="s">
        <v>334</v>
      </c>
      <c r="IFC105" s="33" t="s">
        <v>334</v>
      </c>
      <c r="IFD105" s="33" t="s">
        <v>334</v>
      </c>
      <c r="IFE105" s="33" t="s">
        <v>334</v>
      </c>
      <c r="IFF105" s="33" t="s">
        <v>334</v>
      </c>
      <c r="IFG105" s="33" t="s">
        <v>334</v>
      </c>
      <c r="IFH105" s="33" t="s">
        <v>334</v>
      </c>
      <c r="IFI105" s="33" t="s">
        <v>334</v>
      </c>
      <c r="IFJ105" s="33" t="s">
        <v>334</v>
      </c>
      <c r="IFK105" s="33" t="s">
        <v>334</v>
      </c>
      <c r="IFL105" s="33" t="s">
        <v>334</v>
      </c>
      <c r="IFM105" s="33" t="s">
        <v>334</v>
      </c>
      <c r="IFN105" s="33" t="s">
        <v>334</v>
      </c>
      <c r="IFO105" s="33" t="s">
        <v>334</v>
      </c>
      <c r="IFP105" s="33" t="s">
        <v>334</v>
      </c>
      <c r="IFQ105" s="33" t="s">
        <v>334</v>
      </c>
      <c r="IFR105" s="33" t="s">
        <v>334</v>
      </c>
      <c r="IFS105" s="33" t="s">
        <v>334</v>
      </c>
      <c r="IFT105" s="33" t="s">
        <v>334</v>
      </c>
      <c r="IFU105" s="33" t="s">
        <v>334</v>
      </c>
      <c r="IFV105" s="33" t="s">
        <v>334</v>
      </c>
      <c r="IFW105" s="33" t="s">
        <v>334</v>
      </c>
      <c r="IFX105" s="33" t="s">
        <v>334</v>
      </c>
      <c r="IFY105" s="33" t="s">
        <v>334</v>
      </c>
      <c r="IFZ105" s="33" t="s">
        <v>334</v>
      </c>
      <c r="IGA105" s="33" t="s">
        <v>334</v>
      </c>
      <c r="IGB105" s="33" t="s">
        <v>334</v>
      </c>
      <c r="IGC105" s="33" t="s">
        <v>334</v>
      </c>
      <c r="IGD105" s="33" t="s">
        <v>334</v>
      </c>
      <c r="IGE105" s="33" t="s">
        <v>334</v>
      </c>
      <c r="IGF105" s="33" t="s">
        <v>334</v>
      </c>
      <c r="IGG105" s="33" t="s">
        <v>334</v>
      </c>
      <c r="IGH105" s="33" t="s">
        <v>334</v>
      </c>
      <c r="IGI105" s="33" t="s">
        <v>334</v>
      </c>
      <c r="IGJ105" s="33" t="s">
        <v>334</v>
      </c>
      <c r="IGK105" s="33" t="s">
        <v>334</v>
      </c>
      <c r="IGL105" s="33" t="s">
        <v>334</v>
      </c>
      <c r="IGM105" s="33" t="s">
        <v>334</v>
      </c>
      <c r="IGN105" s="33" t="s">
        <v>334</v>
      </c>
      <c r="IGO105" s="33" t="s">
        <v>334</v>
      </c>
      <c r="IGP105" s="33" t="s">
        <v>334</v>
      </c>
      <c r="IGQ105" s="33" t="s">
        <v>334</v>
      </c>
      <c r="IGR105" s="33" t="s">
        <v>334</v>
      </c>
      <c r="IGS105" s="33" t="s">
        <v>334</v>
      </c>
      <c r="IGT105" s="33" t="s">
        <v>334</v>
      </c>
      <c r="IGU105" s="33" t="s">
        <v>334</v>
      </c>
      <c r="IGV105" s="33" t="s">
        <v>334</v>
      </c>
      <c r="IGW105" s="33" t="s">
        <v>334</v>
      </c>
      <c r="IGX105" s="33" t="s">
        <v>334</v>
      </c>
      <c r="IGY105" s="33" t="s">
        <v>334</v>
      </c>
      <c r="IGZ105" s="33" t="s">
        <v>334</v>
      </c>
      <c r="IHA105" s="33" t="s">
        <v>334</v>
      </c>
      <c r="IHB105" s="33" t="s">
        <v>334</v>
      </c>
      <c r="IHC105" s="33" t="s">
        <v>334</v>
      </c>
      <c r="IHD105" s="33" t="s">
        <v>334</v>
      </c>
      <c r="IHE105" s="33" t="s">
        <v>334</v>
      </c>
      <c r="IHF105" s="33" t="s">
        <v>334</v>
      </c>
      <c r="IHG105" s="33" t="s">
        <v>334</v>
      </c>
      <c r="IHH105" s="33" t="s">
        <v>334</v>
      </c>
      <c r="IHI105" s="33" t="s">
        <v>334</v>
      </c>
      <c r="IHJ105" s="33" t="s">
        <v>334</v>
      </c>
      <c r="IHK105" s="33" t="s">
        <v>334</v>
      </c>
      <c r="IHL105" s="33" t="s">
        <v>334</v>
      </c>
      <c r="IHM105" s="33" t="s">
        <v>334</v>
      </c>
      <c r="IHN105" s="33" t="s">
        <v>334</v>
      </c>
      <c r="IHO105" s="33" t="s">
        <v>334</v>
      </c>
      <c r="IHP105" s="33" t="s">
        <v>334</v>
      </c>
      <c r="IHQ105" s="33" t="s">
        <v>334</v>
      </c>
      <c r="IHR105" s="33" t="s">
        <v>334</v>
      </c>
      <c r="IHS105" s="33" t="s">
        <v>334</v>
      </c>
      <c r="IHT105" s="33" t="s">
        <v>334</v>
      </c>
      <c r="IHU105" s="33" t="s">
        <v>334</v>
      </c>
      <c r="IHV105" s="33" t="s">
        <v>334</v>
      </c>
      <c r="IHW105" s="33" t="s">
        <v>334</v>
      </c>
      <c r="IHX105" s="33" t="s">
        <v>334</v>
      </c>
      <c r="IHY105" s="33" t="s">
        <v>334</v>
      </c>
      <c r="IHZ105" s="33" t="s">
        <v>334</v>
      </c>
      <c r="IIA105" s="33" t="s">
        <v>334</v>
      </c>
      <c r="IIB105" s="33" t="s">
        <v>334</v>
      </c>
      <c r="IIC105" s="33" t="s">
        <v>334</v>
      </c>
      <c r="IID105" s="33" t="s">
        <v>334</v>
      </c>
      <c r="IIE105" s="33" t="s">
        <v>334</v>
      </c>
      <c r="IIF105" s="33" t="s">
        <v>334</v>
      </c>
      <c r="IIG105" s="33" t="s">
        <v>334</v>
      </c>
      <c r="IIH105" s="33" t="s">
        <v>334</v>
      </c>
      <c r="III105" s="33" t="s">
        <v>334</v>
      </c>
      <c r="IIJ105" s="33" t="s">
        <v>334</v>
      </c>
      <c r="IIK105" s="33" t="s">
        <v>334</v>
      </c>
      <c r="IIL105" s="33" t="s">
        <v>334</v>
      </c>
      <c r="IIM105" s="33" t="s">
        <v>334</v>
      </c>
      <c r="IIN105" s="33" t="s">
        <v>334</v>
      </c>
      <c r="IIO105" s="33" t="s">
        <v>334</v>
      </c>
      <c r="IIP105" s="33" t="s">
        <v>334</v>
      </c>
      <c r="IIQ105" s="33" t="s">
        <v>334</v>
      </c>
      <c r="IIR105" s="33" t="s">
        <v>334</v>
      </c>
      <c r="IIS105" s="33" t="s">
        <v>334</v>
      </c>
      <c r="IIT105" s="33" t="s">
        <v>334</v>
      </c>
      <c r="IIU105" s="33" t="s">
        <v>334</v>
      </c>
      <c r="IIV105" s="33" t="s">
        <v>334</v>
      </c>
      <c r="IIW105" s="33" t="s">
        <v>334</v>
      </c>
      <c r="IIX105" s="33" t="s">
        <v>334</v>
      </c>
      <c r="IIY105" s="33" t="s">
        <v>334</v>
      </c>
      <c r="IIZ105" s="33" t="s">
        <v>334</v>
      </c>
      <c r="IJA105" s="33" t="s">
        <v>334</v>
      </c>
      <c r="IJB105" s="33" t="s">
        <v>334</v>
      </c>
      <c r="IJC105" s="33" t="s">
        <v>334</v>
      </c>
      <c r="IJD105" s="33" t="s">
        <v>334</v>
      </c>
      <c r="IJE105" s="33" t="s">
        <v>334</v>
      </c>
      <c r="IJF105" s="33" t="s">
        <v>334</v>
      </c>
      <c r="IJG105" s="33" t="s">
        <v>334</v>
      </c>
      <c r="IJH105" s="33" t="s">
        <v>334</v>
      </c>
      <c r="IJI105" s="33" t="s">
        <v>334</v>
      </c>
      <c r="IJJ105" s="33" t="s">
        <v>334</v>
      </c>
      <c r="IJK105" s="33" t="s">
        <v>334</v>
      </c>
      <c r="IJL105" s="33" t="s">
        <v>334</v>
      </c>
      <c r="IJM105" s="33" t="s">
        <v>334</v>
      </c>
      <c r="IJN105" s="33" t="s">
        <v>334</v>
      </c>
      <c r="IJO105" s="33" t="s">
        <v>334</v>
      </c>
      <c r="IJP105" s="33" t="s">
        <v>334</v>
      </c>
      <c r="IJQ105" s="33" t="s">
        <v>334</v>
      </c>
      <c r="IJR105" s="33" t="s">
        <v>334</v>
      </c>
      <c r="IJS105" s="33" t="s">
        <v>334</v>
      </c>
      <c r="IJT105" s="33" t="s">
        <v>334</v>
      </c>
      <c r="IJU105" s="33" t="s">
        <v>334</v>
      </c>
      <c r="IJV105" s="33" t="s">
        <v>334</v>
      </c>
      <c r="IJW105" s="33" t="s">
        <v>334</v>
      </c>
      <c r="IJX105" s="33" t="s">
        <v>334</v>
      </c>
      <c r="IJY105" s="33" t="s">
        <v>334</v>
      </c>
      <c r="IJZ105" s="33" t="s">
        <v>334</v>
      </c>
      <c r="IKA105" s="33" t="s">
        <v>334</v>
      </c>
      <c r="IKB105" s="33" t="s">
        <v>334</v>
      </c>
      <c r="IKC105" s="33" t="s">
        <v>334</v>
      </c>
      <c r="IKD105" s="33" t="s">
        <v>334</v>
      </c>
      <c r="IKE105" s="33" t="s">
        <v>334</v>
      </c>
      <c r="IKF105" s="33" t="s">
        <v>334</v>
      </c>
      <c r="IKG105" s="33" t="s">
        <v>334</v>
      </c>
      <c r="IKH105" s="33" t="s">
        <v>334</v>
      </c>
      <c r="IKI105" s="33" t="s">
        <v>334</v>
      </c>
      <c r="IKJ105" s="33" t="s">
        <v>334</v>
      </c>
      <c r="IKK105" s="33" t="s">
        <v>334</v>
      </c>
      <c r="IKL105" s="33" t="s">
        <v>334</v>
      </c>
      <c r="IKM105" s="33" t="s">
        <v>334</v>
      </c>
      <c r="IKN105" s="33" t="s">
        <v>334</v>
      </c>
      <c r="IKO105" s="33" t="s">
        <v>334</v>
      </c>
      <c r="IKP105" s="33" t="s">
        <v>334</v>
      </c>
      <c r="IKQ105" s="33" t="s">
        <v>334</v>
      </c>
      <c r="IKR105" s="33" t="s">
        <v>334</v>
      </c>
      <c r="IKS105" s="33" t="s">
        <v>334</v>
      </c>
      <c r="IKT105" s="33" t="s">
        <v>334</v>
      </c>
      <c r="IKU105" s="33" t="s">
        <v>334</v>
      </c>
      <c r="IKV105" s="33" t="s">
        <v>334</v>
      </c>
      <c r="IKW105" s="33" t="s">
        <v>334</v>
      </c>
      <c r="IKX105" s="33" t="s">
        <v>334</v>
      </c>
      <c r="IKY105" s="33" t="s">
        <v>334</v>
      </c>
      <c r="IKZ105" s="33" t="s">
        <v>334</v>
      </c>
      <c r="ILA105" s="33" t="s">
        <v>334</v>
      </c>
      <c r="ILB105" s="33" t="s">
        <v>334</v>
      </c>
      <c r="ILC105" s="33" t="s">
        <v>334</v>
      </c>
      <c r="ILD105" s="33" t="s">
        <v>334</v>
      </c>
      <c r="ILE105" s="33" t="s">
        <v>334</v>
      </c>
      <c r="ILF105" s="33" t="s">
        <v>334</v>
      </c>
      <c r="ILG105" s="33" t="s">
        <v>334</v>
      </c>
      <c r="ILH105" s="33" t="s">
        <v>334</v>
      </c>
      <c r="ILI105" s="33" t="s">
        <v>334</v>
      </c>
      <c r="ILJ105" s="33" t="s">
        <v>334</v>
      </c>
      <c r="ILK105" s="33" t="s">
        <v>334</v>
      </c>
      <c r="ILL105" s="33" t="s">
        <v>334</v>
      </c>
      <c r="ILM105" s="33" t="s">
        <v>334</v>
      </c>
      <c r="ILN105" s="33" t="s">
        <v>334</v>
      </c>
      <c r="ILO105" s="33" t="s">
        <v>334</v>
      </c>
      <c r="ILP105" s="33" t="s">
        <v>334</v>
      </c>
      <c r="ILQ105" s="33" t="s">
        <v>334</v>
      </c>
      <c r="ILR105" s="33" t="s">
        <v>334</v>
      </c>
      <c r="ILS105" s="33" t="s">
        <v>334</v>
      </c>
      <c r="ILT105" s="33" t="s">
        <v>334</v>
      </c>
      <c r="ILU105" s="33" t="s">
        <v>334</v>
      </c>
      <c r="ILV105" s="33" t="s">
        <v>334</v>
      </c>
      <c r="ILW105" s="33" t="s">
        <v>334</v>
      </c>
      <c r="ILX105" s="33" t="s">
        <v>334</v>
      </c>
      <c r="ILY105" s="33" t="s">
        <v>334</v>
      </c>
      <c r="ILZ105" s="33" t="s">
        <v>334</v>
      </c>
      <c r="IMA105" s="33" t="s">
        <v>334</v>
      </c>
      <c r="IMB105" s="33" t="s">
        <v>334</v>
      </c>
      <c r="IMC105" s="33" t="s">
        <v>334</v>
      </c>
      <c r="IMD105" s="33" t="s">
        <v>334</v>
      </c>
      <c r="IME105" s="33" t="s">
        <v>334</v>
      </c>
      <c r="IMF105" s="33" t="s">
        <v>334</v>
      </c>
      <c r="IMG105" s="33" t="s">
        <v>334</v>
      </c>
      <c r="IMH105" s="33" t="s">
        <v>334</v>
      </c>
      <c r="IMI105" s="33" t="s">
        <v>334</v>
      </c>
      <c r="IMJ105" s="33" t="s">
        <v>334</v>
      </c>
      <c r="IMK105" s="33" t="s">
        <v>334</v>
      </c>
      <c r="IML105" s="33" t="s">
        <v>334</v>
      </c>
      <c r="IMM105" s="33" t="s">
        <v>334</v>
      </c>
      <c r="IMN105" s="33" t="s">
        <v>334</v>
      </c>
      <c r="IMO105" s="33" t="s">
        <v>334</v>
      </c>
      <c r="IMP105" s="33" t="s">
        <v>334</v>
      </c>
      <c r="IMQ105" s="33" t="s">
        <v>334</v>
      </c>
      <c r="IMR105" s="33" t="s">
        <v>334</v>
      </c>
      <c r="IMS105" s="33" t="s">
        <v>334</v>
      </c>
      <c r="IMT105" s="33" t="s">
        <v>334</v>
      </c>
      <c r="IMU105" s="33" t="s">
        <v>334</v>
      </c>
      <c r="IMV105" s="33" t="s">
        <v>334</v>
      </c>
      <c r="IMW105" s="33" t="s">
        <v>334</v>
      </c>
      <c r="IMX105" s="33" t="s">
        <v>334</v>
      </c>
      <c r="IMY105" s="33" t="s">
        <v>334</v>
      </c>
      <c r="IMZ105" s="33" t="s">
        <v>334</v>
      </c>
      <c r="INA105" s="33" t="s">
        <v>334</v>
      </c>
      <c r="INB105" s="33" t="s">
        <v>334</v>
      </c>
      <c r="INC105" s="33" t="s">
        <v>334</v>
      </c>
      <c r="IND105" s="33" t="s">
        <v>334</v>
      </c>
      <c r="INE105" s="33" t="s">
        <v>334</v>
      </c>
      <c r="INF105" s="33" t="s">
        <v>334</v>
      </c>
      <c r="ING105" s="33" t="s">
        <v>334</v>
      </c>
      <c r="INH105" s="33" t="s">
        <v>334</v>
      </c>
      <c r="INI105" s="33" t="s">
        <v>334</v>
      </c>
      <c r="INJ105" s="33" t="s">
        <v>334</v>
      </c>
      <c r="INK105" s="33" t="s">
        <v>334</v>
      </c>
      <c r="INL105" s="33" t="s">
        <v>334</v>
      </c>
      <c r="INM105" s="33" t="s">
        <v>334</v>
      </c>
      <c r="INN105" s="33" t="s">
        <v>334</v>
      </c>
      <c r="INO105" s="33" t="s">
        <v>334</v>
      </c>
      <c r="INP105" s="33" t="s">
        <v>334</v>
      </c>
      <c r="INQ105" s="33" t="s">
        <v>334</v>
      </c>
      <c r="INR105" s="33" t="s">
        <v>334</v>
      </c>
      <c r="INS105" s="33" t="s">
        <v>334</v>
      </c>
      <c r="INT105" s="33" t="s">
        <v>334</v>
      </c>
      <c r="INU105" s="33" t="s">
        <v>334</v>
      </c>
      <c r="INV105" s="33" t="s">
        <v>334</v>
      </c>
      <c r="INW105" s="33" t="s">
        <v>334</v>
      </c>
      <c r="INX105" s="33" t="s">
        <v>334</v>
      </c>
      <c r="INY105" s="33" t="s">
        <v>334</v>
      </c>
      <c r="INZ105" s="33" t="s">
        <v>334</v>
      </c>
      <c r="IOA105" s="33" t="s">
        <v>334</v>
      </c>
      <c r="IOB105" s="33" t="s">
        <v>334</v>
      </c>
      <c r="IOC105" s="33" t="s">
        <v>334</v>
      </c>
      <c r="IOD105" s="33" t="s">
        <v>334</v>
      </c>
      <c r="IOE105" s="33" t="s">
        <v>334</v>
      </c>
      <c r="IOF105" s="33" t="s">
        <v>334</v>
      </c>
      <c r="IOG105" s="33" t="s">
        <v>334</v>
      </c>
      <c r="IOH105" s="33" t="s">
        <v>334</v>
      </c>
      <c r="IOI105" s="33" t="s">
        <v>334</v>
      </c>
      <c r="IOJ105" s="33" t="s">
        <v>334</v>
      </c>
      <c r="IOK105" s="33" t="s">
        <v>334</v>
      </c>
      <c r="IOL105" s="33" t="s">
        <v>334</v>
      </c>
      <c r="IOM105" s="33" t="s">
        <v>334</v>
      </c>
      <c r="ION105" s="33" t="s">
        <v>334</v>
      </c>
      <c r="IOO105" s="33" t="s">
        <v>334</v>
      </c>
      <c r="IOP105" s="33" t="s">
        <v>334</v>
      </c>
      <c r="IOQ105" s="33" t="s">
        <v>334</v>
      </c>
      <c r="IOR105" s="33" t="s">
        <v>334</v>
      </c>
      <c r="IOS105" s="33" t="s">
        <v>334</v>
      </c>
      <c r="IOT105" s="33" t="s">
        <v>334</v>
      </c>
      <c r="IOU105" s="33" t="s">
        <v>334</v>
      </c>
      <c r="IOV105" s="33" t="s">
        <v>334</v>
      </c>
      <c r="IOW105" s="33" t="s">
        <v>334</v>
      </c>
      <c r="IOX105" s="33" t="s">
        <v>334</v>
      </c>
      <c r="IOY105" s="33" t="s">
        <v>334</v>
      </c>
      <c r="IOZ105" s="33" t="s">
        <v>334</v>
      </c>
      <c r="IPA105" s="33" t="s">
        <v>334</v>
      </c>
      <c r="IPB105" s="33" t="s">
        <v>334</v>
      </c>
      <c r="IPC105" s="33" t="s">
        <v>334</v>
      </c>
      <c r="IPD105" s="33" t="s">
        <v>334</v>
      </c>
      <c r="IPE105" s="33" t="s">
        <v>334</v>
      </c>
      <c r="IPF105" s="33" t="s">
        <v>334</v>
      </c>
      <c r="IPG105" s="33" t="s">
        <v>334</v>
      </c>
      <c r="IPH105" s="33" t="s">
        <v>334</v>
      </c>
      <c r="IPI105" s="33" t="s">
        <v>334</v>
      </c>
      <c r="IPJ105" s="33" t="s">
        <v>334</v>
      </c>
      <c r="IPK105" s="33" t="s">
        <v>334</v>
      </c>
      <c r="IPL105" s="33" t="s">
        <v>334</v>
      </c>
      <c r="IPM105" s="33" t="s">
        <v>334</v>
      </c>
      <c r="IPN105" s="33" t="s">
        <v>334</v>
      </c>
      <c r="IPO105" s="33" t="s">
        <v>334</v>
      </c>
      <c r="IPP105" s="33" t="s">
        <v>334</v>
      </c>
      <c r="IPQ105" s="33" t="s">
        <v>334</v>
      </c>
      <c r="IPR105" s="33" t="s">
        <v>334</v>
      </c>
      <c r="IPS105" s="33" t="s">
        <v>334</v>
      </c>
      <c r="IPT105" s="33" t="s">
        <v>334</v>
      </c>
      <c r="IPU105" s="33" t="s">
        <v>334</v>
      </c>
      <c r="IPV105" s="33" t="s">
        <v>334</v>
      </c>
      <c r="IPW105" s="33" t="s">
        <v>334</v>
      </c>
      <c r="IPX105" s="33" t="s">
        <v>334</v>
      </c>
      <c r="IPY105" s="33" t="s">
        <v>334</v>
      </c>
      <c r="IPZ105" s="33" t="s">
        <v>334</v>
      </c>
      <c r="IQA105" s="33" t="s">
        <v>334</v>
      </c>
      <c r="IQB105" s="33" t="s">
        <v>334</v>
      </c>
      <c r="IQC105" s="33" t="s">
        <v>334</v>
      </c>
      <c r="IQD105" s="33" t="s">
        <v>334</v>
      </c>
      <c r="IQE105" s="33" t="s">
        <v>334</v>
      </c>
      <c r="IQF105" s="33" t="s">
        <v>334</v>
      </c>
      <c r="IQG105" s="33" t="s">
        <v>334</v>
      </c>
      <c r="IQH105" s="33" t="s">
        <v>334</v>
      </c>
      <c r="IQI105" s="33" t="s">
        <v>334</v>
      </c>
      <c r="IQJ105" s="33" t="s">
        <v>334</v>
      </c>
      <c r="IQK105" s="33" t="s">
        <v>334</v>
      </c>
      <c r="IQL105" s="33" t="s">
        <v>334</v>
      </c>
      <c r="IQM105" s="33" t="s">
        <v>334</v>
      </c>
      <c r="IQN105" s="33" t="s">
        <v>334</v>
      </c>
      <c r="IQO105" s="33" t="s">
        <v>334</v>
      </c>
      <c r="IQP105" s="33" t="s">
        <v>334</v>
      </c>
      <c r="IQQ105" s="33" t="s">
        <v>334</v>
      </c>
      <c r="IQR105" s="33" t="s">
        <v>334</v>
      </c>
      <c r="IQS105" s="33" t="s">
        <v>334</v>
      </c>
      <c r="IQT105" s="33" t="s">
        <v>334</v>
      </c>
      <c r="IQU105" s="33" t="s">
        <v>334</v>
      </c>
      <c r="IQV105" s="33" t="s">
        <v>334</v>
      </c>
      <c r="IQW105" s="33" t="s">
        <v>334</v>
      </c>
      <c r="IQX105" s="33" t="s">
        <v>334</v>
      </c>
      <c r="IQY105" s="33" t="s">
        <v>334</v>
      </c>
      <c r="IQZ105" s="33" t="s">
        <v>334</v>
      </c>
      <c r="IRA105" s="33" t="s">
        <v>334</v>
      </c>
      <c r="IRB105" s="33" t="s">
        <v>334</v>
      </c>
      <c r="IRC105" s="33" t="s">
        <v>334</v>
      </c>
      <c r="IRD105" s="33" t="s">
        <v>334</v>
      </c>
      <c r="IRE105" s="33" t="s">
        <v>334</v>
      </c>
      <c r="IRF105" s="33" t="s">
        <v>334</v>
      </c>
      <c r="IRG105" s="33" t="s">
        <v>334</v>
      </c>
      <c r="IRH105" s="33" t="s">
        <v>334</v>
      </c>
      <c r="IRI105" s="33" t="s">
        <v>334</v>
      </c>
      <c r="IRJ105" s="33" t="s">
        <v>334</v>
      </c>
      <c r="IRK105" s="33" t="s">
        <v>334</v>
      </c>
      <c r="IRL105" s="33" t="s">
        <v>334</v>
      </c>
      <c r="IRM105" s="33" t="s">
        <v>334</v>
      </c>
      <c r="IRN105" s="33" t="s">
        <v>334</v>
      </c>
      <c r="IRO105" s="33" t="s">
        <v>334</v>
      </c>
      <c r="IRP105" s="33" t="s">
        <v>334</v>
      </c>
      <c r="IRQ105" s="33" t="s">
        <v>334</v>
      </c>
      <c r="IRR105" s="33" t="s">
        <v>334</v>
      </c>
      <c r="IRS105" s="33" t="s">
        <v>334</v>
      </c>
      <c r="IRT105" s="33" t="s">
        <v>334</v>
      </c>
      <c r="IRU105" s="33" t="s">
        <v>334</v>
      </c>
      <c r="IRV105" s="33" t="s">
        <v>334</v>
      </c>
      <c r="IRW105" s="33" t="s">
        <v>334</v>
      </c>
      <c r="IRX105" s="33" t="s">
        <v>334</v>
      </c>
      <c r="IRY105" s="33" t="s">
        <v>334</v>
      </c>
      <c r="IRZ105" s="33" t="s">
        <v>334</v>
      </c>
      <c r="ISA105" s="33" t="s">
        <v>334</v>
      </c>
      <c r="ISB105" s="33" t="s">
        <v>334</v>
      </c>
      <c r="ISC105" s="33" t="s">
        <v>334</v>
      </c>
      <c r="ISD105" s="33" t="s">
        <v>334</v>
      </c>
      <c r="ISE105" s="33" t="s">
        <v>334</v>
      </c>
      <c r="ISF105" s="33" t="s">
        <v>334</v>
      </c>
      <c r="ISG105" s="33" t="s">
        <v>334</v>
      </c>
      <c r="ISH105" s="33" t="s">
        <v>334</v>
      </c>
      <c r="ISI105" s="33" t="s">
        <v>334</v>
      </c>
      <c r="ISJ105" s="33" t="s">
        <v>334</v>
      </c>
      <c r="ISK105" s="33" t="s">
        <v>334</v>
      </c>
      <c r="ISL105" s="33" t="s">
        <v>334</v>
      </c>
      <c r="ISM105" s="33" t="s">
        <v>334</v>
      </c>
      <c r="ISN105" s="33" t="s">
        <v>334</v>
      </c>
      <c r="ISO105" s="33" t="s">
        <v>334</v>
      </c>
      <c r="ISP105" s="33" t="s">
        <v>334</v>
      </c>
      <c r="ISQ105" s="33" t="s">
        <v>334</v>
      </c>
      <c r="ISR105" s="33" t="s">
        <v>334</v>
      </c>
      <c r="ISS105" s="33" t="s">
        <v>334</v>
      </c>
      <c r="IST105" s="33" t="s">
        <v>334</v>
      </c>
      <c r="ISU105" s="33" t="s">
        <v>334</v>
      </c>
      <c r="ISV105" s="33" t="s">
        <v>334</v>
      </c>
      <c r="ISW105" s="33" t="s">
        <v>334</v>
      </c>
      <c r="ISX105" s="33" t="s">
        <v>334</v>
      </c>
      <c r="ISY105" s="33" t="s">
        <v>334</v>
      </c>
      <c r="ISZ105" s="33" t="s">
        <v>334</v>
      </c>
      <c r="ITA105" s="33" t="s">
        <v>334</v>
      </c>
      <c r="ITB105" s="33" t="s">
        <v>334</v>
      </c>
      <c r="ITC105" s="33" t="s">
        <v>334</v>
      </c>
      <c r="ITD105" s="33" t="s">
        <v>334</v>
      </c>
      <c r="ITE105" s="33" t="s">
        <v>334</v>
      </c>
      <c r="ITF105" s="33" t="s">
        <v>334</v>
      </c>
      <c r="ITG105" s="33" t="s">
        <v>334</v>
      </c>
      <c r="ITH105" s="33" t="s">
        <v>334</v>
      </c>
      <c r="ITI105" s="33" t="s">
        <v>334</v>
      </c>
      <c r="ITJ105" s="33" t="s">
        <v>334</v>
      </c>
      <c r="ITK105" s="33" t="s">
        <v>334</v>
      </c>
      <c r="ITL105" s="33" t="s">
        <v>334</v>
      </c>
      <c r="ITM105" s="33" t="s">
        <v>334</v>
      </c>
      <c r="ITN105" s="33" t="s">
        <v>334</v>
      </c>
      <c r="ITO105" s="33" t="s">
        <v>334</v>
      </c>
      <c r="ITP105" s="33" t="s">
        <v>334</v>
      </c>
      <c r="ITQ105" s="33" t="s">
        <v>334</v>
      </c>
      <c r="ITR105" s="33" t="s">
        <v>334</v>
      </c>
      <c r="ITS105" s="33" t="s">
        <v>334</v>
      </c>
      <c r="ITT105" s="33" t="s">
        <v>334</v>
      </c>
      <c r="ITU105" s="33" t="s">
        <v>334</v>
      </c>
      <c r="ITV105" s="33" t="s">
        <v>334</v>
      </c>
      <c r="ITW105" s="33" t="s">
        <v>334</v>
      </c>
      <c r="ITX105" s="33" t="s">
        <v>334</v>
      </c>
      <c r="ITY105" s="33" t="s">
        <v>334</v>
      </c>
      <c r="ITZ105" s="33" t="s">
        <v>334</v>
      </c>
      <c r="IUA105" s="33" t="s">
        <v>334</v>
      </c>
      <c r="IUB105" s="33" t="s">
        <v>334</v>
      </c>
      <c r="IUC105" s="33" t="s">
        <v>334</v>
      </c>
      <c r="IUD105" s="33" t="s">
        <v>334</v>
      </c>
      <c r="IUE105" s="33" t="s">
        <v>334</v>
      </c>
      <c r="IUF105" s="33" t="s">
        <v>334</v>
      </c>
      <c r="IUG105" s="33" t="s">
        <v>334</v>
      </c>
      <c r="IUH105" s="33" t="s">
        <v>334</v>
      </c>
      <c r="IUI105" s="33" t="s">
        <v>334</v>
      </c>
      <c r="IUJ105" s="33" t="s">
        <v>334</v>
      </c>
      <c r="IUK105" s="33" t="s">
        <v>334</v>
      </c>
      <c r="IUL105" s="33" t="s">
        <v>334</v>
      </c>
      <c r="IUM105" s="33" t="s">
        <v>334</v>
      </c>
      <c r="IUN105" s="33" t="s">
        <v>334</v>
      </c>
      <c r="IUO105" s="33" t="s">
        <v>334</v>
      </c>
      <c r="IUP105" s="33" t="s">
        <v>334</v>
      </c>
      <c r="IUQ105" s="33" t="s">
        <v>334</v>
      </c>
      <c r="IUR105" s="33" t="s">
        <v>334</v>
      </c>
      <c r="IUS105" s="33" t="s">
        <v>334</v>
      </c>
      <c r="IUT105" s="33" t="s">
        <v>334</v>
      </c>
      <c r="IUU105" s="33" t="s">
        <v>334</v>
      </c>
      <c r="IUV105" s="33" t="s">
        <v>334</v>
      </c>
      <c r="IUW105" s="33" t="s">
        <v>334</v>
      </c>
      <c r="IUX105" s="33" t="s">
        <v>334</v>
      </c>
      <c r="IUY105" s="33" t="s">
        <v>334</v>
      </c>
      <c r="IUZ105" s="33" t="s">
        <v>334</v>
      </c>
      <c r="IVA105" s="33" t="s">
        <v>334</v>
      </c>
      <c r="IVB105" s="33" t="s">
        <v>334</v>
      </c>
      <c r="IVC105" s="33" t="s">
        <v>334</v>
      </c>
      <c r="IVD105" s="33" t="s">
        <v>334</v>
      </c>
      <c r="IVE105" s="33" t="s">
        <v>334</v>
      </c>
      <c r="IVF105" s="33" t="s">
        <v>334</v>
      </c>
      <c r="IVG105" s="33" t="s">
        <v>334</v>
      </c>
      <c r="IVH105" s="33" t="s">
        <v>334</v>
      </c>
      <c r="IVI105" s="33" t="s">
        <v>334</v>
      </c>
      <c r="IVJ105" s="33" t="s">
        <v>334</v>
      </c>
      <c r="IVK105" s="33" t="s">
        <v>334</v>
      </c>
      <c r="IVL105" s="33" t="s">
        <v>334</v>
      </c>
      <c r="IVM105" s="33" t="s">
        <v>334</v>
      </c>
      <c r="IVN105" s="33" t="s">
        <v>334</v>
      </c>
      <c r="IVO105" s="33" t="s">
        <v>334</v>
      </c>
      <c r="IVP105" s="33" t="s">
        <v>334</v>
      </c>
      <c r="IVQ105" s="33" t="s">
        <v>334</v>
      </c>
      <c r="IVR105" s="33" t="s">
        <v>334</v>
      </c>
      <c r="IVS105" s="33" t="s">
        <v>334</v>
      </c>
      <c r="IVT105" s="33" t="s">
        <v>334</v>
      </c>
      <c r="IVU105" s="33" t="s">
        <v>334</v>
      </c>
      <c r="IVV105" s="33" t="s">
        <v>334</v>
      </c>
      <c r="IVW105" s="33" t="s">
        <v>334</v>
      </c>
      <c r="IVX105" s="33" t="s">
        <v>334</v>
      </c>
      <c r="IVY105" s="33" t="s">
        <v>334</v>
      </c>
      <c r="IVZ105" s="33" t="s">
        <v>334</v>
      </c>
      <c r="IWA105" s="33" t="s">
        <v>334</v>
      </c>
      <c r="IWB105" s="33" t="s">
        <v>334</v>
      </c>
      <c r="IWC105" s="33" t="s">
        <v>334</v>
      </c>
      <c r="IWD105" s="33" t="s">
        <v>334</v>
      </c>
      <c r="IWE105" s="33" t="s">
        <v>334</v>
      </c>
      <c r="IWF105" s="33" t="s">
        <v>334</v>
      </c>
      <c r="IWG105" s="33" t="s">
        <v>334</v>
      </c>
      <c r="IWH105" s="33" t="s">
        <v>334</v>
      </c>
      <c r="IWI105" s="33" t="s">
        <v>334</v>
      </c>
      <c r="IWJ105" s="33" t="s">
        <v>334</v>
      </c>
      <c r="IWK105" s="33" t="s">
        <v>334</v>
      </c>
      <c r="IWL105" s="33" t="s">
        <v>334</v>
      </c>
      <c r="IWM105" s="33" t="s">
        <v>334</v>
      </c>
      <c r="IWN105" s="33" t="s">
        <v>334</v>
      </c>
      <c r="IWO105" s="33" t="s">
        <v>334</v>
      </c>
      <c r="IWP105" s="33" t="s">
        <v>334</v>
      </c>
      <c r="IWQ105" s="33" t="s">
        <v>334</v>
      </c>
      <c r="IWR105" s="33" t="s">
        <v>334</v>
      </c>
      <c r="IWS105" s="33" t="s">
        <v>334</v>
      </c>
      <c r="IWT105" s="33" t="s">
        <v>334</v>
      </c>
      <c r="IWU105" s="33" t="s">
        <v>334</v>
      </c>
      <c r="IWV105" s="33" t="s">
        <v>334</v>
      </c>
      <c r="IWW105" s="33" t="s">
        <v>334</v>
      </c>
      <c r="IWX105" s="33" t="s">
        <v>334</v>
      </c>
      <c r="IWY105" s="33" t="s">
        <v>334</v>
      </c>
      <c r="IWZ105" s="33" t="s">
        <v>334</v>
      </c>
      <c r="IXA105" s="33" t="s">
        <v>334</v>
      </c>
      <c r="IXB105" s="33" t="s">
        <v>334</v>
      </c>
      <c r="IXC105" s="33" t="s">
        <v>334</v>
      </c>
      <c r="IXD105" s="33" t="s">
        <v>334</v>
      </c>
      <c r="IXE105" s="33" t="s">
        <v>334</v>
      </c>
      <c r="IXF105" s="33" t="s">
        <v>334</v>
      </c>
      <c r="IXG105" s="33" t="s">
        <v>334</v>
      </c>
      <c r="IXH105" s="33" t="s">
        <v>334</v>
      </c>
      <c r="IXI105" s="33" t="s">
        <v>334</v>
      </c>
      <c r="IXJ105" s="33" t="s">
        <v>334</v>
      </c>
      <c r="IXK105" s="33" t="s">
        <v>334</v>
      </c>
      <c r="IXL105" s="33" t="s">
        <v>334</v>
      </c>
      <c r="IXM105" s="33" t="s">
        <v>334</v>
      </c>
      <c r="IXN105" s="33" t="s">
        <v>334</v>
      </c>
      <c r="IXO105" s="33" t="s">
        <v>334</v>
      </c>
      <c r="IXP105" s="33" t="s">
        <v>334</v>
      </c>
      <c r="IXQ105" s="33" t="s">
        <v>334</v>
      </c>
      <c r="IXR105" s="33" t="s">
        <v>334</v>
      </c>
      <c r="IXS105" s="33" t="s">
        <v>334</v>
      </c>
      <c r="IXT105" s="33" t="s">
        <v>334</v>
      </c>
      <c r="IXU105" s="33" t="s">
        <v>334</v>
      </c>
      <c r="IXV105" s="33" t="s">
        <v>334</v>
      </c>
      <c r="IXW105" s="33" t="s">
        <v>334</v>
      </c>
      <c r="IXX105" s="33" t="s">
        <v>334</v>
      </c>
      <c r="IXY105" s="33" t="s">
        <v>334</v>
      </c>
      <c r="IXZ105" s="33" t="s">
        <v>334</v>
      </c>
      <c r="IYA105" s="33" t="s">
        <v>334</v>
      </c>
      <c r="IYB105" s="33" t="s">
        <v>334</v>
      </c>
      <c r="IYC105" s="33" t="s">
        <v>334</v>
      </c>
      <c r="IYD105" s="33" t="s">
        <v>334</v>
      </c>
      <c r="IYE105" s="33" t="s">
        <v>334</v>
      </c>
      <c r="IYF105" s="33" t="s">
        <v>334</v>
      </c>
      <c r="IYG105" s="33" t="s">
        <v>334</v>
      </c>
      <c r="IYH105" s="33" t="s">
        <v>334</v>
      </c>
      <c r="IYI105" s="33" t="s">
        <v>334</v>
      </c>
      <c r="IYJ105" s="33" t="s">
        <v>334</v>
      </c>
      <c r="IYK105" s="33" t="s">
        <v>334</v>
      </c>
      <c r="IYL105" s="33" t="s">
        <v>334</v>
      </c>
      <c r="IYM105" s="33" t="s">
        <v>334</v>
      </c>
      <c r="IYN105" s="33" t="s">
        <v>334</v>
      </c>
      <c r="IYO105" s="33" t="s">
        <v>334</v>
      </c>
      <c r="IYP105" s="33" t="s">
        <v>334</v>
      </c>
      <c r="IYQ105" s="33" t="s">
        <v>334</v>
      </c>
      <c r="IYR105" s="33" t="s">
        <v>334</v>
      </c>
      <c r="IYS105" s="33" t="s">
        <v>334</v>
      </c>
      <c r="IYT105" s="33" t="s">
        <v>334</v>
      </c>
      <c r="IYU105" s="33" t="s">
        <v>334</v>
      </c>
      <c r="IYV105" s="33" t="s">
        <v>334</v>
      </c>
      <c r="IYW105" s="33" t="s">
        <v>334</v>
      </c>
      <c r="IYX105" s="33" t="s">
        <v>334</v>
      </c>
      <c r="IYY105" s="33" t="s">
        <v>334</v>
      </c>
      <c r="IYZ105" s="33" t="s">
        <v>334</v>
      </c>
      <c r="IZA105" s="33" t="s">
        <v>334</v>
      </c>
      <c r="IZB105" s="33" t="s">
        <v>334</v>
      </c>
      <c r="IZC105" s="33" t="s">
        <v>334</v>
      </c>
      <c r="IZD105" s="33" t="s">
        <v>334</v>
      </c>
      <c r="IZE105" s="33" t="s">
        <v>334</v>
      </c>
      <c r="IZF105" s="33" t="s">
        <v>334</v>
      </c>
      <c r="IZG105" s="33" t="s">
        <v>334</v>
      </c>
      <c r="IZH105" s="33" t="s">
        <v>334</v>
      </c>
      <c r="IZI105" s="33" t="s">
        <v>334</v>
      </c>
      <c r="IZJ105" s="33" t="s">
        <v>334</v>
      </c>
      <c r="IZK105" s="33" t="s">
        <v>334</v>
      </c>
      <c r="IZL105" s="33" t="s">
        <v>334</v>
      </c>
      <c r="IZM105" s="33" t="s">
        <v>334</v>
      </c>
      <c r="IZN105" s="33" t="s">
        <v>334</v>
      </c>
      <c r="IZO105" s="33" t="s">
        <v>334</v>
      </c>
      <c r="IZP105" s="33" t="s">
        <v>334</v>
      </c>
      <c r="IZQ105" s="33" t="s">
        <v>334</v>
      </c>
      <c r="IZR105" s="33" t="s">
        <v>334</v>
      </c>
      <c r="IZS105" s="33" t="s">
        <v>334</v>
      </c>
      <c r="IZT105" s="33" t="s">
        <v>334</v>
      </c>
      <c r="IZU105" s="33" t="s">
        <v>334</v>
      </c>
      <c r="IZV105" s="33" t="s">
        <v>334</v>
      </c>
      <c r="IZW105" s="33" t="s">
        <v>334</v>
      </c>
      <c r="IZX105" s="33" t="s">
        <v>334</v>
      </c>
      <c r="IZY105" s="33" t="s">
        <v>334</v>
      </c>
      <c r="IZZ105" s="33" t="s">
        <v>334</v>
      </c>
      <c r="JAA105" s="33" t="s">
        <v>334</v>
      </c>
      <c r="JAB105" s="33" t="s">
        <v>334</v>
      </c>
      <c r="JAC105" s="33" t="s">
        <v>334</v>
      </c>
      <c r="JAD105" s="33" t="s">
        <v>334</v>
      </c>
      <c r="JAE105" s="33" t="s">
        <v>334</v>
      </c>
      <c r="JAF105" s="33" t="s">
        <v>334</v>
      </c>
      <c r="JAG105" s="33" t="s">
        <v>334</v>
      </c>
      <c r="JAH105" s="33" t="s">
        <v>334</v>
      </c>
      <c r="JAI105" s="33" t="s">
        <v>334</v>
      </c>
      <c r="JAJ105" s="33" t="s">
        <v>334</v>
      </c>
      <c r="JAK105" s="33" t="s">
        <v>334</v>
      </c>
      <c r="JAL105" s="33" t="s">
        <v>334</v>
      </c>
      <c r="JAM105" s="33" t="s">
        <v>334</v>
      </c>
      <c r="JAN105" s="33" t="s">
        <v>334</v>
      </c>
      <c r="JAO105" s="33" t="s">
        <v>334</v>
      </c>
      <c r="JAP105" s="33" t="s">
        <v>334</v>
      </c>
      <c r="JAQ105" s="33" t="s">
        <v>334</v>
      </c>
      <c r="JAR105" s="33" t="s">
        <v>334</v>
      </c>
      <c r="JAS105" s="33" t="s">
        <v>334</v>
      </c>
      <c r="JAT105" s="33" t="s">
        <v>334</v>
      </c>
      <c r="JAU105" s="33" t="s">
        <v>334</v>
      </c>
      <c r="JAV105" s="33" t="s">
        <v>334</v>
      </c>
      <c r="JAW105" s="33" t="s">
        <v>334</v>
      </c>
      <c r="JAX105" s="33" t="s">
        <v>334</v>
      </c>
      <c r="JAY105" s="33" t="s">
        <v>334</v>
      </c>
      <c r="JAZ105" s="33" t="s">
        <v>334</v>
      </c>
      <c r="JBA105" s="33" t="s">
        <v>334</v>
      </c>
      <c r="JBB105" s="33" t="s">
        <v>334</v>
      </c>
      <c r="JBC105" s="33" t="s">
        <v>334</v>
      </c>
      <c r="JBD105" s="33" t="s">
        <v>334</v>
      </c>
      <c r="JBE105" s="33" t="s">
        <v>334</v>
      </c>
      <c r="JBF105" s="33" t="s">
        <v>334</v>
      </c>
      <c r="JBG105" s="33" t="s">
        <v>334</v>
      </c>
      <c r="JBH105" s="33" t="s">
        <v>334</v>
      </c>
      <c r="JBI105" s="33" t="s">
        <v>334</v>
      </c>
      <c r="JBJ105" s="33" t="s">
        <v>334</v>
      </c>
      <c r="JBK105" s="33" t="s">
        <v>334</v>
      </c>
      <c r="JBL105" s="33" t="s">
        <v>334</v>
      </c>
      <c r="JBM105" s="33" t="s">
        <v>334</v>
      </c>
      <c r="JBN105" s="33" t="s">
        <v>334</v>
      </c>
      <c r="JBO105" s="33" t="s">
        <v>334</v>
      </c>
      <c r="JBP105" s="33" t="s">
        <v>334</v>
      </c>
      <c r="JBQ105" s="33" t="s">
        <v>334</v>
      </c>
      <c r="JBR105" s="33" t="s">
        <v>334</v>
      </c>
      <c r="JBS105" s="33" t="s">
        <v>334</v>
      </c>
      <c r="JBT105" s="33" t="s">
        <v>334</v>
      </c>
      <c r="JBU105" s="33" t="s">
        <v>334</v>
      </c>
      <c r="JBV105" s="33" t="s">
        <v>334</v>
      </c>
      <c r="JBW105" s="33" t="s">
        <v>334</v>
      </c>
      <c r="JBX105" s="33" t="s">
        <v>334</v>
      </c>
      <c r="JBY105" s="33" t="s">
        <v>334</v>
      </c>
      <c r="JBZ105" s="33" t="s">
        <v>334</v>
      </c>
      <c r="JCA105" s="33" t="s">
        <v>334</v>
      </c>
      <c r="JCB105" s="33" t="s">
        <v>334</v>
      </c>
      <c r="JCC105" s="33" t="s">
        <v>334</v>
      </c>
      <c r="JCD105" s="33" t="s">
        <v>334</v>
      </c>
      <c r="JCE105" s="33" t="s">
        <v>334</v>
      </c>
      <c r="JCF105" s="33" t="s">
        <v>334</v>
      </c>
      <c r="JCG105" s="33" t="s">
        <v>334</v>
      </c>
      <c r="JCH105" s="33" t="s">
        <v>334</v>
      </c>
      <c r="JCI105" s="33" t="s">
        <v>334</v>
      </c>
      <c r="JCJ105" s="33" t="s">
        <v>334</v>
      </c>
      <c r="JCK105" s="33" t="s">
        <v>334</v>
      </c>
      <c r="JCL105" s="33" t="s">
        <v>334</v>
      </c>
      <c r="JCM105" s="33" t="s">
        <v>334</v>
      </c>
      <c r="JCN105" s="33" t="s">
        <v>334</v>
      </c>
      <c r="JCO105" s="33" t="s">
        <v>334</v>
      </c>
      <c r="JCP105" s="33" t="s">
        <v>334</v>
      </c>
      <c r="JCQ105" s="33" t="s">
        <v>334</v>
      </c>
      <c r="JCR105" s="33" t="s">
        <v>334</v>
      </c>
      <c r="JCS105" s="33" t="s">
        <v>334</v>
      </c>
      <c r="JCT105" s="33" t="s">
        <v>334</v>
      </c>
      <c r="JCU105" s="33" t="s">
        <v>334</v>
      </c>
      <c r="JCV105" s="33" t="s">
        <v>334</v>
      </c>
      <c r="JCW105" s="33" t="s">
        <v>334</v>
      </c>
      <c r="JCX105" s="33" t="s">
        <v>334</v>
      </c>
      <c r="JCY105" s="33" t="s">
        <v>334</v>
      </c>
      <c r="JCZ105" s="33" t="s">
        <v>334</v>
      </c>
      <c r="JDA105" s="33" t="s">
        <v>334</v>
      </c>
      <c r="JDB105" s="33" t="s">
        <v>334</v>
      </c>
      <c r="JDC105" s="33" t="s">
        <v>334</v>
      </c>
      <c r="JDD105" s="33" t="s">
        <v>334</v>
      </c>
      <c r="JDE105" s="33" t="s">
        <v>334</v>
      </c>
      <c r="JDF105" s="33" t="s">
        <v>334</v>
      </c>
      <c r="JDG105" s="33" t="s">
        <v>334</v>
      </c>
      <c r="JDH105" s="33" t="s">
        <v>334</v>
      </c>
      <c r="JDI105" s="33" t="s">
        <v>334</v>
      </c>
      <c r="JDJ105" s="33" t="s">
        <v>334</v>
      </c>
      <c r="JDK105" s="33" t="s">
        <v>334</v>
      </c>
      <c r="JDL105" s="33" t="s">
        <v>334</v>
      </c>
      <c r="JDM105" s="33" t="s">
        <v>334</v>
      </c>
      <c r="JDN105" s="33" t="s">
        <v>334</v>
      </c>
      <c r="JDO105" s="33" t="s">
        <v>334</v>
      </c>
      <c r="JDP105" s="33" t="s">
        <v>334</v>
      </c>
      <c r="JDQ105" s="33" t="s">
        <v>334</v>
      </c>
      <c r="JDR105" s="33" t="s">
        <v>334</v>
      </c>
      <c r="JDS105" s="33" t="s">
        <v>334</v>
      </c>
      <c r="JDT105" s="33" t="s">
        <v>334</v>
      </c>
      <c r="JDU105" s="33" t="s">
        <v>334</v>
      </c>
      <c r="JDV105" s="33" t="s">
        <v>334</v>
      </c>
      <c r="JDW105" s="33" t="s">
        <v>334</v>
      </c>
      <c r="JDX105" s="33" t="s">
        <v>334</v>
      </c>
      <c r="JDY105" s="33" t="s">
        <v>334</v>
      </c>
      <c r="JDZ105" s="33" t="s">
        <v>334</v>
      </c>
      <c r="JEA105" s="33" t="s">
        <v>334</v>
      </c>
      <c r="JEB105" s="33" t="s">
        <v>334</v>
      </c>
      <c r="JEC105" s="33" t="s">
        <v>334</v>
      </c>
      <c r="JED105" s="33" t="s">
        <v>334</v>
      </c>
      <c r="JEE105" s="33" t="s">
        <v>334</v>
      </c>
      <c r="JEF105" s="33" t="s">
        <v>334</v>
      </c>
      <c r="JEG105" s="33" t="s">
        <v>334</v>
      </c>
      <c r="JEH105" s="33" t="s">
        <v>334</v>
      </c>
      <c r="JEI105" s="33" t="s">
        <v>334</v>
      </c>
      <c r="JEJ105" s="33" t="s">
        <v>334</v>
      </c>
      <c r="JEK105" s="33" t="s">
        <v>334</v>
      </c>
      <c r="JEL105" s="33" t="s">
        <v>334</v>
      </c>
      <c r="JEM105" s="33" t="s">
        <v>334</v>
      </c>
      <c r="JEN105" s="33" t="s">
        <v>334</v>
      </c>
      <c r="JEO105" s="33" t="s">
        <v>334</v>
      </c>
      <c r="JEP105" s="33" t="s">
        <v>334</v>
      </c>
      <c r="JEQ105" s="33" t="s">
        <v>334</v>
      </c>
      <c r="JER105" s="33" t="s">
        <v>334</v>
      </c>
      <c r="JES105" s="33" t="s">
        <v>334</v>
      </c>
      <c r="JET105" s="33" t="s">
        <v>334</v>
      </c>
      <c r="JEU105" s="33" t="s">
        <v>334</v>
      </c>
      <c r="JEV105" s="33" t="s">
        <v>334</v>
      </c>
      <c r="JEW105" s="33" t="s">
        <v>334</v>
      </c>
      <c r="JEX105" s="33" t="s">
        <v>334</v>
      </c>
      <c r="JEY105" s="33" t="s">
        <v>334</v>
      </c>
      <c r="JEZ105" s="33" t="s">
        <v>334</v>
      </c>
      <c r="JFA105" s="33" t="s">
        <v>334</v>
      </c>
      <c r="JFB105" s="33" t="s">
        <v>334</v>
      </c>
      <c r="JFC105" s="33" t="s">
        <v>334</v>
      </c>
      <c r="JFD105" s="33" t="s">
        <v>334</v>
      </c>
      <c r="JFE105" s="33" t="s">
        <v>334</v>
      </c>
      <c r="JFF105" s="33" t="s">
        <v>334</v>
      </c>
      <c r="JFG105" s="33" t="s">
        <v>334</v>
      </c>
      <c r="JFH105" s="33" t="s">
        <v>334</v>
      </c>
      <c r="JFI105" s="33" t="s">
        <v>334</v>
      </c>
      <c r="JFJ105" s="33" t="s">
        <v>334</v>
      </c>
      <c r="JFK105" s="33" t="s">
        <v>334</v>
      </c>
      <c r="JFL105" s="33" t="s">
        <v>334</v>
      </c>
      <c r="JFM105" s="33" t="s">
        <v>334</v>
      </c>
      <c r="JFN105" s="33" t="s">
        <v>334</v>
      </c>
      <c r="JFO105" s="33" t="s">
        <v>334</v>
      </c>
      <c r="JFP105" s="33" t="s">
        <v>334</v>
      </c>
      <c r="JFQ105" s="33" t="s">
        <v>334</v>
      </c>
      <c r="JFR105" s="33" t="s">
        <v>334</v>
      </c>
      <c r="JFS105" s="33" t="s">
        <v>334</v>
      </c>
      <c r="JFT105" s="33" t="s">
        <v>334</v>
      </c>
      <c r="JFU105" s="33" t="s">
        <v>334</v>
      </c>
      <c r="JFV105" s="33" t="s">
        <v>334</v>
      </c>
      <c r="JFW105" s="33" t="s">
        <v>334</v>
      </c>
      <c r="JFX105" s="33" t="s">
        <v>334</v>
      </c>
      <c r="JFY105" s="33" t="s">
        <v>334</v>
      </c>
      <c r="JFZ105" s="33" t="s">
        <v>334</v>
      </c>
      <c r="JGA105" s="33" t="s">
        <v>334</v>
      </c>
      <c r="JGB105" s="33" t="s">
        <v>334</v>
      </c>
      <c r="JGC105" s="33" t="s">
        <v>334</v>
      </c>
      <c r="JGD105" s="33" t="s">
        <v>334</v>
      </c>
      <c r="JGE105" s="33" t="s">
        <v>334</v>
      </c>
      <c r="JGF105" s="33" t="s">
        <v>334</v>
      </c>
      <c r="JGG105" s="33" t="s">
        <v>334</v>
      </c>
      <c r="JGH105" s="33" t="s">
        <v>334</v>
      </c>
      <c r="JGI105" s="33" t="s">
        <v>334</v>
      </c>
      <c r="JGJ105" s="33" t="s">
        <v>334</v>
      </c>
      <c r="JGK105" s="33" t="s">
        <v>334</v>
      </c>
      <c r="JGL105" s="33" t="s">
        <v>334</v>
      </c>
      <c r="JGM105" s="33" t="s">
        <v>334</v>
      </c>
      <c r="JGN105" s="33" t="s">
        <v>334</v>
      </c>
      <c r="JGO105" s="33" t="s">
        <v>334</v>
      </c>
      <c r="JGP105" s="33" t="s">
        <v>334</v>
      </c>
      <c r="JGQ105" s="33" t="s">
        <v>334</v>
      </c>
      <c r="JGR105" s="33" t="s">
        <v>334</v>
      </c>
      <c r="JGS105" s="33" t="s">
        <v>334</v>
      </c>
      <c r="JGT105" s="33" t="s">
        <v>334</v>
      </c>
      <c r="JGU105" s="33" t="s">
        <v>334</v>
      </c>
      <c r="JGV105" s="33" t="s">
        <v>334</v>
      </c>
      <c r="JGW105" s="33" t="s">
        <v>334</v>
      </c>
      <c r="JGX105" s="33" t="s">
        <v>334</v>
      </c>
      <c r="JGY105" s="33" t="s">
        <v>334</v>
      </c>
      <c r="JGZ105" s="33" t="s">
        <v>334</v>
      </c>
      <c r="JHA105" s="33" t="s">
        <v>334</v>
      </c>
      <c r="JHB105" s="33" t="s">
        <v>334</v>
      </c>
      <c r="JHC105" s="33" t="s">
        <v>334</v>
      </c>
      <c r="JHD105" s="33" t="s">
        <v>334</v>
      </c>
      <c r="JHE105" s="33" t="s">
        <v>334</v>
      </c>
      <c r="JHF105" s="33" t="s">
        <v>334</v>
      </c>
      <c r="JHG105" s="33" t="s">
        <v>334</v>
      </c>
      <c r="JHH105" s="33" t="s">
        <v>334</v>
      </c>
      <c r="JHI105" s="33" t="s">
        <v>334</v>
      </c>
      <c r="JHJ105" s="33" t="s">
        <v>334</v>
      </c>
      <c r="JHK105" s="33" t="s">
        <v>334</v>
      </c>
      <c r="JHL105" s="33" t="s">
        <v>334</v>
      </c>
      <c r="JHM105" s="33" t="s">
        <v>334</v>
      </c>
      <c r="JHN105" s="33" t="s">
        <v>334</v>
      </c>
      <c r="JHO105" s="33" t="s">
        <v>334</v>
      </c>
      <c r="JHP105" s="33" t="s">
        <v>334</v>
      </c>
      <c r="JHQ105" s="33" t="s">
        <v>334</v>
      </c>
      <c r="JHR105" s="33" t="s">
        <v>334</v>
      </c>
      <c r="JHS105" s="33" t="s">
        <v>334</v>
      </c>
      <c r="JHT105" s="33" t="s">
        <v>334</v>
      </c>
      <c r="JHU105" s="33" t="s">
        <v>334</v>
      </c>
      <c r="JHV105" s="33" t="s">
        <v>334</v>
      </c>
      <c r="JHW105" s="33" t="s">
        <v>334</v>
      </c>
      <c r="JHX105" s="33" t="s">
        <v>334</v>
      </c>
      <c r="JHY105" s="33" t="s">
        <v>334</v>
      </c>
      <c r="JHZ105" s="33" t="s">
        <v>334</v>
      </c>
      <c r="JIA105" s="33" t="s">
        <v>334</v>
      </c>
      <c r="JIB105" s="33" t="s">
        <v>334</v>
      </c>
      <c r="JIC105" s="33" t="s">
        <v>334</v>
      </c>
      <c r="JID105" s="33" t="s">
        <v>334</v>
      </c>
      <c r="JIE105" s="33" t="s">
        <v>334</v>
      </c>
      <c r="JIF105" s="33" t="s">
        <v>334</v>
      </c>
      <c r="JIG105" s="33" t="s">
        <v>334</v>
      </c>
      <c r="JIH105" s="33" t="s">
        <v>334</v>
      </c>
      <c r="JII105" s="33" t="s">
        <v>334</v>
      </c>
      <c r="JIJ105" s="33" t="s">
        <v>334</v>
      </c>
      <c r="JIK105" s="33" t="s">
        <v>334</v>
      </c>
      <c r="JIL105" s="33" t="s">
        <v>334</v>
      </c>
      <c r="JIM105" s="33" t="s">
        <v>334</v>
      </c>
      <c r="JIN105" s="33" t="s">
        <v>334</v>
      </c>
      <c r="JIO105" s="33" t="s">
        <v>334</v>
      </c>
      <c r="JIP105" s="33" t="s">
        <v>334</v>
      </c>
      <c r="JIQ105" s="33" t="s">
        <v>334</v>
      </c>
      <c r="JIR105" s="33" t="s">
        <v>334</v>
      </c>
      <c r="JIS105" s="33" t="s">
        <v>334</v>
      </c>
      <c r="JIT105" s="33" t="s">
        <v>334</v>
      </c>
      <c r="JIU105" s="33" t="s">
        <v>334</v>
      </c>
      <c r="JIV105" s="33" t="s">
        <v>334</v>
      </c>
      <c r="JIW105" s="33" t="s">
        <v>334</v>
      </c>
      <c r="JIX105" s="33" t="s">
        <v>334</v>
      </c>
      <c r="JIY105" s="33" t="s">
        <v>334</v>
      </c>
      <c r="JIZ105" s="33" t="s">
        <v>334</v>
      </c>
      <c r="JJA105" s="33" t="s">
        <v>334</v>
      </c>
      <c r="JJB105" s="33" t="s">
        <v>334</v>
      </c>
      <c r="JJC105" s="33" t="s">
        <v>334</v>
      </c>
      <c r="JJD105" s="33" t="s">
        <v>334</v>
      </c>
      <c r="JJE105" s="33" t="s">
        <v>334</v>
      </c>
      <c r="JJF105" s="33" t="s">
        <v>334</v>
      </c>
      <c r="JJG105" s="33" t="s">
        <v>334</v>
      </c>
      <c r="JJH105" s="33" t="s">
        <v>334</v>
      </c>
      <c r="JJI105" s="33" t="s">
        <v>334</v>
      </c>
      <c r="JJJ105" s="33" t="s">
        <v>334</v>
      </c>
      <c r="JJK105" s="33" t="s">
        <v>334</v>
      </c>
      <c r="JJL105" s="33" t="s">
        <v>334</v>
      </c>
      <c r="JJM105" s="33" t="s">
        <v>334</v>
      </c>
      <c r="JJN105" s="33" t="s">
        <v>334</v>
      </c>
      <c r="JJO105" s="33" t="s">
        <v>334</v>
      </c>
      <c r="JJP105" s="33" t="s">
        <v>334</v>
      </c>
      <c r="JJQ105" s="33" t="s">
        <v>334</v>
      </c>
      <c r="JJR105" s="33" t="s">
        <v>334</v>
      </c>
      <c r="JJS105" s="33" t="s">
        <v>334</v>
      </c>
      <c r="JJT105" s="33" t="s">
        <v>334</v>
      </c>
      <c r="JJU105" s="33" t="s">
        <v>334</v>
      </c>
      <c r="JJV105" s="33" t="s">
        <v>334</v>
      </c>
      <c r="JJW105" s="33" t="s">
        <v>334</v>
      </c>
      <c r="JJX105" s="33" t="s">
        <v>334</v>
      </c>
      <c r="JJY105" s="33" t="s">
        <v>334</v>
      </c>
      <c r="JJZ105" s="33" t="s">
        <v>334</v>
      </c>
      <c r="JKA105" s="33" t="s">
        <v>334</v>
      </c>
      <c r="JKB105" s="33" t="s">
        <v>334</v>
      </c>
      <c r="JKC105" s="33" t="s">
        <v>334</v>
      </c>
      <c r="JKD105" s="33" t="s">
        <v>334</v>
      </c>
      <c r="JKE105" s="33" t="s">
        <v>334</v>
      </c>
      <c r="JKF105" s="33" t="s">
        <v>334</v>
      </c>
      <c r="JKG105" s="33" t="s">
        <v>334</v>
      </c>
      <c r="JKH105" s="33" t="s">
        <v>334</v>
      </c>
      <c r="JKI105" s="33" t="s">
        <v>334</v>
      </c>
      <c r="JKJ105" s="33" t="s">
        <v>334</v>
      </c>
      <c r="JKK105" s="33" t="s">
        <v>334</v>
      </c>
      <c r="JKL105" s="33" t="s">
        <v>334</v>
      </c>
      <c r="JKM105" s="33" t="s">
        <v>334</v>
      </c>
      <c r="JKN105" s="33" t="s">
        <v>334</v>
      </c>
      <c r="JKO105" s="33" t="s">
        <v>334</v>
      </c>
      <c r="JKP105" s="33" t="s">
        <v>334</v>
      </c>
      <c r="JKQ105" s="33" t="s">
        <v>334</v>
      </c>
      <c r="JKR105" s="33" t="s">
        <v>334</v>
      </c>
      <c r="JKS105" s="33" t="s">
        <v>334</v>
      </c>
      <c r="JKT105" s="33" t="s">
        <v>334</v>
      </c>
      <c r="JKU105" s="33" t="s">
        <v>334</v>
      </c>
      <c r="JKV105" s="33" t="s">
        <v>334</v>
      </c>
      <c r="JKW105" s="33" t="s">
        <v>334</v>
      </c>
      <c r="JKX105" s="33" t="s">
        <v>334</v>
      </c>
      <c r="JKY105" s="33" t="s">
        <v>334</v>
      </c>
      <c r="JKZ105" s="33" t="s">
        <v>334</v>
      </c>
      <c r="JLA105" s="33" t="s">
        <v>334</v>
      </c>
      <c r="JLB105" s="33" t="s">
        <v>334</v>
      </c>
      <c r="JLC105" s="33" t="s">
        <v>334</v>
      </c>
      <c r="JLD105" s="33" t="s">
        <v>334</v>
      </c>
      <c r="JLE105" s="33" t="s">
        <v>334</v>
      </c>
      <c r="JLF105" s="33" t="s">
        <v>334</v>
      </c>
      <c r="JLG105" s="33" t="s">
        <v>334</v>
      </c>
      <c r="JLH105" s="33" t="s">
        <v>334</v>
      </c>
      <c r="JLI105" s="33" t="s">
        <v>334</v>
      </c>
      <c r="JLJ105" s="33" t="s">
        <v>334</v>
      </c>
      <c r="JLK105" s="33" t="s">
        <v>334</v>
      </c>
      <c r="JLL105" s="33" t="s">
        <v>334</v>
      </c>
      <c r="JLM105" s="33" t="s">
        <v>334</v>
      </c>
      <c r="JLN105" s="33" t="s">
        <v>334</v>
      </c>
      <c r="JLO105" s="33" t="s">
        <v>334</v>
      </c>
      <c r="JLP105" s="33" t="s">
        <v>334</v>
      </c>
      <c r="JLQ105" s="33" t="s">
        <v>334</v>
      </c>
      <c r="JLR105" s="33" t="s">
        <v>334</v>
      </c>
      <c r="JLS105" s="33" t="s">
        <v>334</v>
      </c>
      <c r="JLT105" s="33" t="s">
        <v>334</v>
      </c>
      <c r="JLU105" s="33" t="s">
        <v>334</v>
      </c>
      <c r="JLV105" s="33" t="s">
        <v>334</v>
      </c>
      <c r="JLW105" s="33" t="s">
        <v>334</v>
      </c>
      <c r="JLX105" s="33" t="s">
        <v>334</v>
      </c>
      <c r="JLY105" s="33" t="s">
        <v>334</v>
      </c>
      <c r="JLZ105" s="33" t="s">
        <v>334</v>
      </c>
      <c r="JMA105" s="33" t="s">
        <v>334</v>
      </c>
      <c r="JMB105" s="33" t="s">
        <v>334</v>
      </c>
      <c r="JMC105" s="33" t="s">
        <v>334</v>
      </c>
      <c r="JMD105" s="33" t="s">
        <v>334</v>
      </c>
      <c r="JME105" s="33" t="s">
        <v>334</v>
      </c>
      <c r="JMF105" s="33" t="s">
        <v>334</v>
      </c>
      <c r="JMG105" s="33" t="s">
        <v>334</v>
      </c>
      <c r="JMH105" s="33" t="s">
        <v>334</v>
      </c>
      <c r="JMI105" s="33" t="s">
        <v>334</v>
      </c>
      <c r="JMJ105" s="33" t="s">
        <v>334</v>
      </c>
      <c r="JMK105" s="33" t="s">
        <v>334</v>
      </c>
      <c r="JML105" s="33" t="s">
        <v>334</v>
      </c>
      <c r="JMM105" s="33" t="s">
        <v>334</v>
      </c>
      <c r="JMN105" s="33" t="s">
        <v>334</v>
      </c>
      <c r="JMO105" s="33" t="s">
        <v>334</v>
      </c>
      <c r="JMP105" s="33" t="s">
        <v>334</v>
      </c>
      <c r="JMQ105" s="33" t="s">
        <v>334</v>
      </c>
      <c r="JMR105" s="33" t="s">
        <v>334</v>
      </c>
      <c r="JMS105" s="33" t="s">
        <v>334</v>
      </c>
      <c r="JMT105" s="33" t="s">
        <v>334</v>
      </c>
      <c r="JMU105" s="33" t="s">
        <v>334</v>
      </c>
      <c r="JMV105" s="33" t="s">
        <v>334</v>
      </c>
      <c r="JMW105" s="33" t="s">
        <v>334</v>
      </c>
      <c r="JMX105" s="33" t="s">
        <v>334</v>
      </c>
      <c r="JMY105" s="33" t="s">
        <v>334</v>
      </c>
      <c r="JMZ105" s="33" t="s">
        <v>334</v>
      </c>
      <c r="JNA105" s="33" t="s">
        <v>334</v>
      </c>
      <c r="JNB105" s="33" t="s">
        <v>334</v>
      </c>
      <c r="JNC105" s="33" t="s">
        <v>334</v>
      </c>
      <c r="JND105" s="33" t="s">
        <v>334</v>
      </c>
      <c r="JNE105" s="33" t="s">
        <v>334</v>
      </c>
      <c r="JNF105" s="33" t="s">
        <v>334</v>
      </c>
      <c r="JNG105" s="33" t="s">
        <v>334</v>
      </c>
      <c r="JNH105" s="33" t="s">
        <v>334</v>
      </c>
      <c r="JNI105" s="33" t="s">
        <v>334</v>
      </c>
      <c r="JNJ105" s="33" t="s">
        <v>334</v>
      </c>
      <c r="JNK105" s="33" t="s">
        <v>334</v>
      </c>
      <c r="JNL105" s="33" t="s">
        <v>334</v>
      </c>
      <c r="JNM105" s="33" t="s">
        <v>334</v>
      </c>
      <c r="JNN105" s="33" t="s">
        <v>334</v>
      </c>
      <c r="JNO105" s="33" t="s">
        <v>334</v>
      </c>
      <c r="JNP105" s="33" t="s">
        <v>334</v>
      </c>
      <c r="JNQ105" s="33" t="s">
        <v>334</v>
      </c>
      <c r="JNR105" s="33" t="s">
        <v>334</v>
      </c>
      <c r="JNS105" s="33" t="s">
        <v>334</v>
      </c>
      <c r="JNT105" s="33" t="s">
        <v>334</v>
      </c>
      <c r="JNU105" s="33" t="s">
        <v>334</v>
      </c>
      <c r="JNV105" s="33" t="s">
        <v>334</v>
      </c>
      <c r="JNW105" s="33" t="s">
        <v>334</v>
      </c>
      <c r="JNX105" s="33" t="s">
        <v>334</v>
      </c>
      <c r="JNY105" s="33" t="s">
        <v>334</v>
      </c>
      <c r="JNZ105" s="33" t="s">
        <v>334</v>
      </c>
      <c r="JOA105" s="33" t="s">
        <v>334</v>
      </c>
      <c r="JOB105" s="33" t="s">
        <v>334</v>
      </c>
      <c r="JOC105" s="33" t="s">
        <v>334</v>
      </c>
      <c r="JOD105" s="33" t="s">
        <v>334</v>
      </c>
      <c r="JOE105" s="33" t="s">
        <v>334</v>
      </c>
      <c r="JOF105" s="33" t="s">
        <v>334</v>
      </c>
      <c r="JOG105" s="33" t="s">
        <v>334</v>
      </c>
      <c r="JOH105" s="33" t="s">
        <v>334</v>
      </c>
      <c r="JOI105" s="33" t="s">
        <v>334</v>
      </c>
      <c r="JOJ105" s="33" t="s">
        <v>334</v>
      </c>
      <c r="JOK105" s="33" t="s">
        <v>334</v>
      </c>
      <c r="JOL105" s="33" t="s">
        <v>334</v>
      </c>
      <c r="JOM105" s="33" t="s">
        <v>334</v>
      </c>
      <c r="JON105" s="33" t="s">
        <v>334</v>
      </c>
      <c r="JOO105" s="33" t="s">
        <v>334</v>
      </c>
      <c r="JOP105" s="33" t="s">
        <v>334</v>
      </c>
      <c r="JOQ105" s="33" t="s">
        <v>334</v>
      </c>
      <c r="JOR105" s="33" t="s">
        <v>334</v>
      </c>
      <c r="JOS105" s="33" t="s">
        <v>334</v>
      </c>
      <c r="JOT105" s="33" t="s">
        <v>334</v>
      </c>
      <c r="JOU105" s="33" t="s">
        <v>334</v>
      </c>
      <c r="JOV105" s="33" t="s">
        <v>334</v>
      </c>
      <c r="JOW105" s="33" t="s">
        <v>334</v>
      </c>
      <c r="JOX105" s="33" t="s">
        <v>334</v>
      </c>
      <c r="JOY105" s="33" t="s">
        <v>334</v>
      </c>
      <c r="JOZ105" s="33" t="s">
        <v>334</v>
      </c>
      <c r="JPA105" s="33" t="s">
        <v>334</v>
      </c>
      <c r="JPB105" s="33" t="s">
        <v>334</v>
      </c>
      <c r="JPC105" s="33" t="s">
        <v>334</v>
      </c>
      <c r="JPD105" s="33" t="s">
        <v>334</v>
      </c>
      <c r="JPE105" s="33" t="s">
        <v>334</v>
      </c>
      <c r="JPF105" s="33" t="s">
        <v>334</v>
      </c>
      <c r="JPG105" s="33" t="s">
        <v>334</v>
      </c>
      <c r="JPH105" s="33" t="s">
        <v>334</v>
      </c>
      <c r="JPI105" s="33" t="s">
        <v>334</v>
      </c>
      <c r="JPJ105" s="33" t="s">
        <v>334</v>
      </c>
      <c r="JPK105" s="33" t="s">
        <v>334</v>
      </c>
      <c r="JPL105" s="33" t="s">
        <v>334</v>
      </c>
      <c r="JPM105" s="33" t="s">
        <v>334</v>
      </c>
      <c r="JPN105" s="33" t="s">
        <v>334</v>
      </c>
      <c r="JPO105" s="33" t="s">
        <v>334</v>
      </c>
      <c r="JPP105" s="33" t="s">
        <v>334</v>
      </c>
      <c r="JPQ105" s="33" t="s">
        <v>334</v>
      </c>
      <c r="JPR105" s="33" t="s">
        <v>334</v>
      </c>
      <c r="JPS105" s="33" t="s">
        <v>334</v>
      </c>
      <c r="JPT105" s="33" t="s">
        <v>334</v>
      </c>
      <c r="JPU105" s="33" t="s">
        <v>334</v>
      </c>
      <c r="JPV105" s="33" t="s">
        <v>334</v>
      </c>
      <c r="JPW105" s="33" t="s">
        <v>334</v>
      </c>
      <c r="JPX105" s="33" t="s">
        <v>334</v>
      </c>
      <c r="JPY105" s="33" t="s">
        <v>334</v>
      </c>
      <c r="JPZ105" s="33" t="s">
        <v>334</v>
      </c>
      <c r="JQA105" s="33" t="s">
        <v>334</v>
      </c>
      <c r="JQB105" s="33" t="s">
        <v>334</v>
      </c>
      <c r="JQC105" s="33" t="s">
        <v>334</v>
      </c>
      <c r="JQD105" s="33" t="s">
        <v>334</v>
      </c>
      <c r="JQE105" s="33" t="s">
        <v>334</v>
      </c>
      <c r="JQF105" s="33" t="s">
        <v>334</v>
      </c>
      <c r="JQG105" s="33" t="s">
        <v>334</v>
      </c>
      <c r="JQH105" s="33" t="s">
        <v>334</v>
      </c>
      <c r="JQI105" s="33" t="s">
        <v>334</v>
      </c>
      <c r="JQJ105" s="33" t="s">
        <v>334</v>
      </c>
      <c r="JQK105" s="33" t="s">
        <v>334</v>
      </c>
      <c r="JQL105" s="33" t="s">
        <v>334</v>
      </c>
      <c r="JQM105" s="33" t="s">
        <v>334</v>
      </c>
      <c r="JQN105" s="33" t="s">
        <v>334</v>
      </c>
      <c r="JQO105" s="33" t="s">
        <v>334</v>
      </c>
      <c r="JQP105" s="33" t="s">
        <v>334</v>
      </c>
      <c r="JQQ105" s="33" t="s">
        <v>334</v>
      </c>
      <c r="JQR105" s="33" t="s">
        <v>334</v>
      </c>
      <c r="JQS105" s="33" t="s">
        <v>334</v>
      </c>
      <c r="JQT105" s="33" t="s">
        <v>334</v>
      </c>
      <c r="JQU105" s="33" t="s">
        <v>334</v>
      </c>
      <c r="JQV105" s="33" t="s">
        <v>334</v>
      </c>
      <c r="JQW105" s="33" t="s">
        <v>334</v>
      </c>
      <c r="JQX105" s="33" t="s">
        <v>334</v>
      </c>
      <c r="JQY105" s="33" t="s">
        <v>334</v>
      </c>
      <c r="JQZ105" s="33" t="s">
        <v>334</v>
      </c>
      <c r="JRA105" s="33" t="s">
        <v>334</v>
      </c>
      <c r="JRB105" s="33" t="s">
        <v>334</v>
      </c>
      <c r="JRC105" s="33" t="s">
        <v>334</v>
      </c>
      <c r="JRD105" s="33" t="s">
        <v>334</v>
      </c>
      <c r="JRE105" s="33" t="s">
        <v>334</v>
      </c>
      <c r="JRF105" s="33" t="s">
        <v>334</v>
      </c>
      <c r="JRG105" s="33" t="s">
        <v>334</v>
      </c>
      <c r="JRH105" s="33" t="s">
        <v>334</v>
      </c>
      <c r="JRI105" s="33" t="s">
        <v>334</v>
      </c>
      <c r="JRJ105" s="33" t="s">
        <v>334</v>
      </c>
      <c r="JRK105" s="33" t="s">
        <v>334</v>
      </c>
      <c r="JRL105" s="33" t="s">
        <v>334</v>
      </c>
      <c r="JRM105" s="33" t="s">
        <v>334</v>
      </c>
      <c r="JRN105" s="33" t="s">
        <v>334</v>
      </c>
      <c r="JRO105" s="33" t="s">
        <v>334</v>
      </c>
      <c r="JRP105" s="33" t="s">
        <v>334</v>
      </c>
      <c r="JRQ105" s="33" t="s">
        <v>334</v>
      </c>
      <c r="JRR105" s="33" t="s">
        <v>334</v>
      </c>
      <c r="JRS105" s="33" t="s">
        <v>334</v>
      </c>
      <c r="JRT105" s="33" t="s">
        <v>334</v>
      </c>
      <c r="JRU105" s="33" t="s">
        <v>334</v>
      </c>
      <c r="JRV105" s="33" t="s">
        <v>334</v>
      </c>
      <c r="JRW105" s="33" t="s">
        <v>334</v>
      </c>
      <c r="JRX105" s="33" t="s">
        <v>334</v>
      </c>
      <c r="JRY105" s="33" t="s">
        <v>334</v>
      </c>
      <c r="JRZ105" s="33" t="s">
        <v>334</v>
      </c>
      <c r="JSA105" s="33" t="s">
        <v>334</v>
      </c>
      <c r="JSB105" s="33" t="s">
        <v>334</v>
      </c>
      <c r="JSC105" s="33" t="s">
        <v>334</v>
      </c>
      <c r="JSD105" s="33" t="s">
        <v>334</v>
      </c>
      <c r="JSE105" s="33" t="s">
        <v>334</v>
      </c>
      <c r="JSF105" s="33" t="s">
        <v>334</v>
      </c>
      <c r="JSG105" s="33" t="s">
        <v>334</v>
      </c>
      <c r="JSH105" s="33" t="s">
        <v>334</v>
      </c>
      <c r="JSI105" s="33" t="s">
        <v>334</v>
      </c>
      <c r="JSJ105" s="33" t="s">
        <v>334</v>
      </c>
      <c r="JSK105" s="33" t="s">
        <v>334</v>
      </c>
      <c r="JSL105" s="33" t="s">
        <v>334</v>
      </c>
      <c r="JSM105" s="33" t="s">
        <v>334</v>
      </c>
      <c r="JSN105" s="33" t="s">
        <v>334</v>
      </c>
      <c r="JSO105" s="33" t="s">
        <v>334</v>
      </c>
      <c r="JSP105" s="33" t="s">
        <v>334</v>
      </c>
      <c r="JSQ105" s="33" t="s">
        <v>334</v>
      </c>
      <c r="JSR105" s="33" t="s">
        <v>334</v>
      </c>
      <c r="JSS105" s="33" t="s">
        <v>334</v>
      </c>
      <c r="JST105" s="33" t="s">
        <v>334</v>
      </c>
      <c r="JSU105" s="33" t="s">
        <v>334</v>
      </c>
      <c r="JSV105" s="33" t="s">
        <v>334</v>
      </c>
      <c r="JSW105" s="33" t="s">
        <v>334</v>
      </c>
      <c r="JSX105" s="33" t="s">
        <v>334</v>
      </c>
      <c r="JSY105" s="33" t="s">
        <v>334</v>
      </c>
      <c r="JSZ105" s="33" t="s">
        <v>334</v>
      </c>
      <c r="JTA105" s="33" t="s">
        <v>334</v>
      </c>
      <c r="JTB105" s="33" t="s">
        <v>334</v>
      </c>
      <c r="JTC105" s="33" t="s">
        <v>334</v>
      </c>
      <c r="JTD105" s="33" t="s">
        <v>334</v>
      </c>
      <c r="JTE105" s="33" t="s">
        <v>334</v>
      </c>
      <c r="JTF105" s="33" t="s">
        <v>334</v>
      </c>
      <c r="JTG105" s="33" t="s">
        <v>334</v>
      </c>
      <c r="JTH105" s="33" t="s">
        <v>334</v>
      </c>
      <c r="JTI105" s="33" t="s">
        <v>334</v>
      </c>
      <c r="JTJ105" s="33" t="s">
        <v>334</v>
      </c>
      <c r="JTK105" s="33" t="s">
        <v>334</v>
      </c>
      <c r="JTL105" s="33" t="s">
        <v>334</v>
      </c>
      <c r="JTM105" s="33" t="s">
        <v>334</v>
      </c>
      <c r="JTN105" s="33" t="s">
        <v>334</v>
      </c>
      <c r="JTO105" s="33" t="s">
        <v>334</v>
      </c>
      <c r="JTP105" s="33" t="s">
        <v>334</v>
      </c>
      <c r="JTQ105" s="33" t="s">
        <v>334</v>
      </c>
      <c r="JTR105" s="33" t="s">
        <v>334</v>
      </c>
      <c r="JTS105" s="33" t="s">
        <v>334</v>
      </c>
      <c r="JTT105" s="33" t="s">
        <v>334</v>
      </c>
      <c r="JTU105" s="33" t="s">
        <v>334</v>
      </c>
      <c r="JTV105" s="33" t="s">
        <v>334</v>
      </c>
      <c r="JTW105" s="33" t="s">
        <v>334</v>
      </c>
      <c r="JTX105" s="33" t="s">
        <v>334</v>
      </c>
      <c r="JTY105" s="33" t="s">
        <v>334</v>
      </c>
      <c r="JTZ105" s="33" t="s">
        <v>334</v>
      </c>
      <c r="JUA105" s="33" t="s">
        <v>334</v>
      </c>
      <c r="JUB105" s="33" t="s">
        <v>334</v>
      </c>
      <c r="JUC105" s="33" t="s">
        <v>334</v>
      </c>
      <c r="JUD105" s="33" t="s">
        <v>334</v>
      </c>
      <c r="JUE105" s="33" t="s">
        <v>334</v>
      </c>
      <c r="JUF105" s="33" t="s">
        <v>334</v>
      </c>
      <c r="JUG105" s="33" t="s">
        <v>334</v>
      </c>
      <c r="JUH105" s="33" t="s">
        <v>334</v>
      </c>
      <c r="JUI105" s="33" t="s">
        <v>334</v>
      </c>
      <c r="JUJ105" s="33" t="s">
        <v>334</v>
      </c>
      <c r="JUK105" s="33" t="s">
        <v>334</v>
      </c>
      <c r="JUL105" s="33" t="s">
        <v>334</v>
      </c>
      <c r="JUM105" s="33" t="s">
        <v>334</v>
      </c>
      <c r="JUN105" s="33" t="s">
        <v>334</v>
      </c>
      <c r="JUO105" s="33" t="s">
        <v>334</v>
      </c>
      <c r="JUP105" s="33" t="s">
        <v>334</v>
      </c>
      <c r="JUQ105" s="33" t="s">
        <v>334</v>
      </c>
      <c r="JUR105" s="33" t="s">
        <v>334</v>
      </c>
      <c r="JUS105" s="33" t="s">
        <v>334</v>
      </c>
      <c r="JUT105" s="33" t="s">
        <v>334</v>
      </c>
      <c r="JUU105" s="33" t="s">
        <v>334</v>
      </c>
      <c r="JUV105" s="33" t="s">
        <v>334</v>
      </c>
      <c r="JUW105" s="33" t="s">
        <v>334</v>
      </c>
      <c r="JUX105" s="33" t="s">
        <v>334</v>
      </c>
      <c r="JUY105" s="33" t="s">
        <v>334</v>
      </c>
      <c r="JUZ105" s="33" t="s">
        <v>334</v>
      </c>
      <c r="JVA105" s="33" t="s">
        <v>334</v>
      </c>
      <c r="JVB105" s="33" t="s">
        <v>334</v>
      </c>
      <c r="JVC105" s="33" t="s">
        <v>334</v>
      </c>
      <c r="JVD105" s="33" t="s">
        <v>334</v>
      </c>
      <c r="JVE105" s="33" t="s">
        <v>334</v>
      </c>
      <c r="JVF105" s="33" t="s">
        <v>334</v>
      </c>
      <c r="JVG105" s="33" t="s">
        <v>334</v>
      </c>
      <c r="JVH105" s="33" t="s">
        <v>334</v>
      </c>
      <c r="JVI105" s="33" t="s">
        <v>334</v>
      </c>
      <c r="JVJ105" s="33" t="s">
        <v>334</v>
      </c>
      <c r="JVK105" s="33" t="s">
        <v>334</v>
      </c>
      <c r="JVL105" s="33" t="s">
        <v>334</v>
      </c>
      <c r="JVM105" s="33" t="s">
        <v>334</v>
      </c>
      <c r="JVN105" s="33" t="s">
        <v>334</v>
      </c>
      <c r="JVO105" s="33" t="s">
        <v>334</v>
      </c>
      <c r="JVP105" s="33" t="s">
        <v>334</v>
      </c>
      <c r="JVQ105" s="33" t="s">
        <v>334</v>
      </c>
      <c r="JVR105" s="33" t="s">
        <v>334</v>
      </c>
      <c r="JVS105" s="33" t="s">
        <v>334</v>
      </c>
      <c r="JVT105" s="33" t="s">
        <v>334</v>
      </c>
      <c r="JVU105" s="33" t="s">
        <v>334</v>
      </c>
      <c r="JVV105" s="33" t="s">
        <v>334</v>
      </c>
      <c r="JVW105" s="33" t="s">
        <v>334</v>
      </c>
      <c r="JVX105" s="33" t="s">
        <v>334</v>
      </c>
      <c r="JVY105" s="33" t="s">
        <v>334</v>
      </c>
      <c r="JVZ105" s="33" t="s">
        <v>334</v>
      </c>
      <c r="JWA105" s="33" t="s">
        <v>334</v>
      </c>
      <c r="JWB105" s="33" t="s">
        <v>334</v>
      </c>
      <c r="JWC105" s="33" t="s">
        <v>334</v>
      </c>
      <c r="JWD105" s="33" t="s">
        <v>334</v>
      </c>
      <c r="JWE105" s="33" t="s">
        <v>334</v>
      </c>
      <c r="JWF105" s="33" t="s">
        <v>334</v>
      </c>
      <c r="JWG105" s="33" t="s">
        <v>334</v>
      </c>
      <c r="JWH105" s="33" t="s">
        <v>334</v>
      </c>
      <c r="JWI105" s="33" t="s">
        <v>334</v>
      </c>
      <c r="JWJ105" s="33" t="s">
        <v>334</v>
      </c>
      <c r="JWK105" s="33" t="s">
        <v>334</v>
      </c>
      <c r="JWL105" s="33" t="s">
        <v>334</v>
      </c>
      <c r="JWM105" s="33" t="s">
        <v>334</v>
      </c>
      <c r="JWN105" s="33" t="s">
        <v>334</v>
      </c>
      <c r="JWO105" s="33" t="s">
        <v>334</v>
      </c>
      <c r="JWP105" s="33" t="s">
        <v>334</v>
      </c>
      <c r="JWQ105" s="33" t="s">
        <v>334</v>
      </c>
      <c r="JWR105" s="33" t="s">
        <v>334</v>
      </c>
      <c r="JWS105" s="33" t="s">
        <v>334</v>
      </c>
      <c r="JWT105" s="33" t="s">
        <v>334</v>
      </c>
      <c r="JWU105" s="33" t="s">
        <v>334</v>
      </c>
      <c r="JWV105" s="33" t="s">
        <v>334</v>
      </c>
      <c r="JWW105" s="33" t="s">
        <v>334</v>
      </c>
      <c r="JWX105" s="33" t="s">
        <v>334</v>
      </c>
      <c r="JWY105" s="33" t="s">
        <v>334</v>
      </c>
      <c r="JWZ105" s="33" t="s">
        <v>334</v>
      </c>
      <c r="JXA105" s="33" t="s">
        <v>334</v>
      </c>
      <c r="JXB105" s="33" t="s">
        <v>334</v>
      </c>
      <c r="JXC105" s="33" t="s">
        <v>334</v>
      </c>
      <c r="JXD105" s="33" t="s">
        <v>334</v>
      </c>
      <c r="JXE105" s="33" t="s">
        <v>334</v>
      </c>
      <c r="JXF105" s="33" t="s">
        <v>334</v>
      </c>
      <c r="JXG105" s="33" t="s">
        <v>334</v>
      </c>
      <c r="JXH105" s="33" t="s">
        <v>334</v>
      </c>
      <c r="JXI105" s="33" t="s">
        <v>334</v>
      </c>
      <c r="JXJ105" s="33" t="s">
        <v>334</v>
      </c>
      <c r="JXK105" s="33" t="s">
        <v>334</v>
      </c>
      <c r="JXL105" s="33" t="s">
        <v>334</v>
      </c>
      <c r="JXM105" s="33" t="s">
        <v>334</v>
      </c>
      <c r="JXN105" s="33" t="s">
        <v>334</v>
      </c>
      <c r="JXO105" s="33" t="s">
        <v>334</v>
      </c>
      <c r="JXP105" s="33" t="s">
        <v>334</v>
      </c>
      <c r="JXQ105" s="33" t="s">
        <v>334</v>
      </c>
      <c r="JXR105" s="33" t="s">
        <v>334</v>
      </c>
      <c r="JXS105" s="33" t="s">
        <v>334</v>
      </c>
      <c r="JXT105" s="33" t="s">
        <v>334</v>
      </c>
      <c r="JXU105" s="33" t="s">
        <v>334</v>
      </c>
      <c r="JXV105" s="33" t="s">
        <v>334</v>
      </c>
      <c r="JXW105" s="33" t="s">
        <v>334</v>
      </c>
      <c r="JXX105" s="33" t="s">
        <v>334</v>
      </c>
      <c r="JXY105" s="33" t="s">
        <v>334</v>
      </c>
      <c r="JXZ105" s="33" t="s">
        <v>334</v>
      </c>
      <c r="JYA105" s="33" t="s">
        <v>334</v>
      </c>
      <c r="JYB105" s="33" t="s">
        <v>334</v>
      </c>
      <c r="JYC105" s="33" t="s">
        <v>334</v>
      </c>
      <c r="JYD105" s="33" t="s">
        <v>334</v>
      </c>
      <c r="JYE105" s="33" t="s">
        <v>334</v>
      </c>
      <c r="JYF105" s="33" t="s">
        <v>334</v>
      </c>
      <c r="JYG105" s="33" t="s">
        <v>334</v>
      </c>
      <c r="JYH105" s="33" t="s">
        <v>334</v>
      </c>
      <c r="JYI105" s="33" t="s">
        <v>334</v>
      </c>
      <c r="JYJ105" s="33" t="s">
        <v>334</v>
      </c>
      <c r="JYK105" s="33" t="s">
        <v>334</v>
      </c>
      <c r="JYL105" s="33" t="s">
        <v>334</v>
      </c>
      <c r="JYM105" s="33" t="s">
        <v>334</v>
      </c>
      <c r="JYN105" s="33" t="s">
        <v>334</v>
      </c>
      <c r="JYO105" s="33" t="s">
        <v>334</v>
      </c>
      <c r="JYP105" s="33" t="s">
        <v>334</v>
      </c>
      <c r="JYQ105" s="33" t="s">
        <v>334</v>
      </c>
      <c r="JYR105" s="33" t="s">
        <v>334</v>
      </c>
      <c r="JYS105" s="33" t="s">
        <v>334</v>
      </c>
      <c r="JYT105" s="33" t="s">
        <v>334</v>
      </c>
      <c r="JYU105" s="33" t="s">
        <v>334</v>
      </c>
      <c r="JYV105" s="33" t="s">
        <v>334</v>
      </c>
      <c r="JYW105" s="33" t="s">
        <v>334</v>
      </c>
      <c r="JYX105" s="33" t="s">
        <v>334</v>
      </c>
      <c r="JYY105" s="33" t="s">
        <v>334</v>
      </c>
      <c r="JYZ105" s="33" t="s">
        <v>334</v>
      </c>
      <c r="JZA105" s="33" t="s">
        <v>334</v>
      </c>
      <c r="JZB105" s="33" t="s">
        <v>334</v>
      </c>
      <c r="JZC105" s="33" t="s">
        <v>334</v>
      </c>
      <c r="JZD105" s="33" t="s">
        <v>334</v>
      </c>
      <c r="JZE105" s="33" t="s">
        <v>334</v>
      </c>
      <c r="JZF105" s="33" t="s">
        <v>334</v>
      </c>
      <c r="JZG105" s="33" t="s">
        <v>334</v>
      </c>
      <c r="JZH105" s="33" t="s">
        <v>334</v>
      </c>
      <c r="JZI105" s="33" t="s">
        <v>334</v>
      </c>
      <c r="JZJ105" s="33" t="s">
        <v>334</v>
      </c>
      <c r="JZK105" s="33" t="s">
        <v>334</v>
      </c>
      <c r="JZL105" s="33" t="s">
        <v>334</v>
      </c>
      <c r="JZM105" s="33" t="s">
        <v>334</v>
      </c>
      <c r="JZN105" s="33" t="s">
        <v>334</v>
      </c>
      <c r="JZO105" s="33" t="s">
        <v>334</v>
      </c>
      <c r="JZP105" s="33" t="s">
        <v>334</v>
      </c>
      <c r="JZQ105" s="33" t="s">
        <v>334</v>
      </c>
      <c r="JZR105" s="33" t="s">
        <v>334</v>
      </c>
      <c r="JZS105" s="33" t="s">
        <v>334</v>
      </c>
      <c r="JZT105" s="33" t="s">
        <v>334</v>
      </c>
      <c r="JZU105" s="33" t="s">
        <v>334</v>
      </c>
      <c r="JZV105" s="33" t="s">
        <v>334</v>
      </c>
      <c r="JZW105" s="33" t="s">
        <v>334</v>
      </c>
      <c r="JZX105" s="33" t="s">
        <v>334</v>
      </c>
      <c r="JZY105" s="33" t="s">
        <v>334</v>
      </c>
      <c r="JZZ105" s="33" t="s">
        <v>334</v>
      </c>
      <c r="KAA105" s="33" t="s">
        <v>334</v>
      </c>
      <c r="KAB105" s="33" t="s">
        <v>334</v>
      </c>
      <c r="KAC105" s="33" t="s">
        <v>334</v>
      </c>
      <c r="KAD105" s="33" t="s">
        <v>334</v>
      </c>
      <c r="KAE105" s="33" t="s">
        <v>334</v>
      </c>
      <c r="KAF105" s="33" t="s">
        <v>334</v>
      </c>
      <c r="KAG105" s="33" t="s">
        <v>334</v>
      </c>
      <c r="KAH105" s="33" t="s">
        <v>334</v>
      </c>
      <c r="KAI105" s="33" t="s">
        <v>334</v>
      </c>
      <c r="KAJ105" s="33" t="s">
        <v>334</v>
      </c>
      <c r="KAK105" s="33" t="s">
        <v>334</v>
      </c>
      <c r="KAL105" s="33" t="s">
        <v>334</v>
      </c>
      <c r="KAM105" s="33" t="s">
        <v>334</v>
      </c>
      <c r="KAN105" s="33" t="s">
        <v>334</v>
      </c>
      <c r="KAO105" s="33" t="s">
        <v>334</v>
      </c>
      <c r="KAP105" s="33" t="s">
        <v>334</v>
      </c>
      <c r="KAQ105" s="33" t="s">
        <v>334</v>
      </c>
      <c r="KAR105" s="33" t="s">
        <v>334</v>
      </c>
      <c r="KAS105" s="33" t="s">
        <v>334</v>
      </c>
      <c r="KAT105" s="33" t="s">
        <v>334</v>
      </c>
      <c r="KAU105" s="33" t="s">
        <v>334</v>
      </c>
      <c r="KAV105" s="33" t="s">
        <v>334</v>
      </c>
      <c r="KAW105" s="33" t="s">
        <v>334</v>
      </c>
      <c r="KAX105" s="33" t="s">
        <v>334</v>
      </c>
      <c r="KAY105" s="33" t="s">
        <v>334</v>
      </c>
      <c r="KAZ105" s="33" t="s">
        <v>334</v>
      </c>
      <c r="KBA105" s="33" t="s">
        <v>334</v>
      </c>
      <c r="KBB105" s="33" t="s">
        <v>334</v>
      </c>
      <c r="KBC105" s="33" t="s">
        <v>334</v>
      </c>
      <c r="KBD105" s="33" t="s">
        <v>334</v>
      </c>
      <c r="KBE105" s="33" t="s">
        <v>334</v>
      </c>
      <c r="KBF105" s="33" t="s">
        <v>334</v>
      </c>
      <c r="KBG105" s="33" t="s">
        <v>334</v>
      </c>
      <c r="KBH105" s="33" t="s">
        <v>334</v>
      </c>
      <c r="KBI105" s="33" t="s">
        <v>334</v>
      </c>
      <c r="KBJ105" s="33" t="s">
        <v>334</v>
      </c>
      <c r="KBK105" s="33" t="s">
        <v>334</v>
      </c>
      <c r="KBL105" s="33" t="s">
        <v>334</v>
      </c>
      <c r="KBM105" s="33" t="s">
        <v>334</v>
      </c>
      <c r="KBN105" s="33" t="s">
        <v>334</v>
      </c>
      <c r="KBO105" s="33" t="s">
        <v>334</v>
      </c>
      <c r="KBP105" s="33" t="s">
        <v>334</v>
      </c>
      <c r="KBQ105" s="33" t="s">
        <v>334</v>
      </c>
      <c r="KBR105" s="33" t="s">
        <v>334</v>
      </c>
      <c r="KBS105" s="33" t="s">
        <v>334</v>
      </c>
      <c r="KBT105" s="33" t="s">
        <v>334</v>
      </c>
      <c r="KBU105" s="33" t="s">
        <v>334</v>
      </c>
      <c r="KBV105" s="33" t="s">
        <v>334</v>
      </c>
      <c r="KBW105" s="33" t="s">
        <v>334</v>
      </c>
      <c r="KBX105" s="33" t="s">
        <v>334</v>
      </c>
      <c r="KBY105" s="33" t="s">
        <v>334</v>
      </c>
      <c r="KBZ105" s="33" t="s">
        <v>334</v>
      </c>
      <c r="KCA105" s="33" t="s">
        <v>334</v>
      </c>
      <c r="KCB105" s="33" t="s">
        <v>334</v>
      </c>
      <c r="KCC105" s="33" t="s">
        <v>334</v>
      </c>
      <c r="KCD105" s="33" t="s">
        <v>334</v>
      </c>
      <c r="KCE105" s="33" t="s">
        <v>334</v>
      </c>
      <c r="KCF105" s="33" t="s">
        <v>334</v>
      </c>
      <c r="KCG105" s="33" t="s">
        <v>334</v>
      </c>
      <c r="KCH105" s="33" t="s">
        <v>334</v>
      </c>
      <c r="KCI105" s="33" t="s">
        <v>334</v>
      </c>
      <c r="KCJ105" s="33" t="s">
        <v>334</v>
      </c>
      <c r="KCK105" s="33" t="s">
        <v>334</v>
      </c>
      <c r="KCL105" s="33" t="s">
        <v>334</v>
      </c>
      <c r="KCM105" s="33" t="s">
        <v>334</v>
      </c>
      <c r="KCN105" s="33" t="s">
        <v>334</v>
      </c>
      <c r="KCO105" s="33" t="s">
        <v>334</v>
      </c>
      <c r="KCP105" s="33" t="s">
        <v>334</v>
      </c>
      <c r="KCQ105" s="33" t="s">
        <v>334</v>
      </c>
      <c r="KCR105" s="33" t="s">
        <v>334</v>
      </c>
      <c r="KCS105" s="33" t="s">
        <v>334</v>
      </c>
      <c r="KCT105" s="33" t="s">
        <v>334</v>
      </c>
      <c r="KCU105" s="33" t="s">
        <v>334</v>
      </c>
      <c r="KCV105" s="33" t="s">
        <v>334</v>
      </c>
      <c r="KCW105" s="33" t="s">
        <v>334</v>
      </c>
      <c r="KCX105" s="33" t="s">
        <v>334</v>
      </c>
      <c r="KCY105" s="33" t="s">
        <v>334</v>
      </c>
      <c r="KCZ105" s="33" t="s">
        <v>334</v>
      </c>
      <c r="KDA105" s="33" t="s">
        <v>334</v>
      </c>
      <c r="KDB105" s="33" t="s">
        <v>334</v>
      </c>
      <c r="KDC105" s="33" t="s">
        <v>334</v>
      </c>
      <c r="KDD105" s="33" t="s">
        <v>334</v>
      </c>
      <c r="KDE105" s="33" t="s">
        <v>334</v>
      </c>
      <c r="KDF105" s="33" t="s">
        <v>334</v>
      </c>
      <c r="KDG105" s="33" t="s">
        <v>334</v>
      </c>
      <c r="KDH105" s="33" t="s">
        <v>334</v>
      </c>
      <c r="KDI105" s="33" t="s">
        <v>334</v>
      </c>
      <c r="KDJ105" s="33" t="s">
        <v>334</v>
      </c>
      <c r="KDK105" s="33" t="s">
        <v>334</v>
      </c>
      <c r="KDL105" s="33" t="s">
        <v>334</v>
      </c>
      <c r="KDM105" s="33" t="s">
        <v>334</v>
      </c>
      <c r="KDN105" s="33" t="s">
        <v>334</v>
      </c>
      <c r="KDO105" s="33" t="s">
        <v>334</v>
      </c>
      <c r="KDP105" s="33" t="s">
        <v>334</v>
      </c>
      <c r="KDQ105" s="33" t="s">
        <v>334</v>
      </c>
      <c r="KDR105" s="33" t="s">
        <v>334</v>
      </c>
      <c r="KDS105" s="33" t="s">
        <v>334</v>
      </c>
      <c r="KDT105" s="33" t="s">
        <v>334</v>
      </c>
      <c r="KDU105" s="33" t="s">
        <v>334</v>
      </c>
      <c r="KDV105" s="33" t="s">
        <v>334</v>
      </c>
      <c r="KDW105" s="33" t="s">
        <v>334</v>
      </c>
      <c r="KDX105" s="33" t="s">
        <v>334</v>
      </c>
      <c r="KDY105" s="33" t="s">
        <v>334</v>
      </c>
      <c r="KDZ105" s="33" t="s">
        <v>334</v>
      </c>
      <c r="KEA105" s="33" t="s">
        <v>334</v>
      </c>
      <c r="KEB105" s="33" t="s">
        <v>334</v>
      </c>
      <c r="KEC105" s="33" t="s">
        <v>334</v>
      </c>
      <c r="KED105" s="33" t="s">
        <v>334</v>
      </c>
      <c r="KEE105" s="33" t="s">
        <v>334</v>
      </c>
      <c r="KEF105" s="33" t="s">
        <v>334</v>
      </c>
      <c r="KEG105" s="33" t="s">
        <v>334</v>
      </c>
      <c r="KEH105" s="33" t="s">
        <v>334</v>
      </c>
      <c r="KEI105" s="33" t="s">
        <v>334</v>
      </c>
      <c r="KEJ105" s="33" t="s">
        <v>334</v>
      </c>
      <c r="KEK105" s="33" t="s">
        <v>334</v>
      </c>
      <c r="KEL105" s="33" t="s">
        <v>334</v>
      </c>
      <c r="KEM105" s="33" t="s">
        <v>334</v>
      </c>
      <c r="KEN105" s="33" t="s">
        <v>334</v>
      </c>
      <c r="KEO105" s="33" t="s">
        <v>334</v>
      </c>
      <c r="KEP105" s="33" t="s">
        <v>334</v>
      </c>
      <c r="KEQ105" s="33" t="s">
        <v>334</v>
      </c>
      <c r="KER105" s="33" t="s">
        <v>334</v>
      </c>
      <c r="KES105" s="33" t="s">
        <v>334</v>
      </c>
      <c r="KET105" s="33" t="s">
        <v>334</v>
      </c>
      <c r="KEU105" s="33" t="s">
        <v>334</v>
      </c>
      <c r="KEV105" s="33" t="s">
        <v>334</v>
      </c>
      <c r="KEW105" s="33" t="s">
        <v>334</v>
      </c>
      <c r="KEX105" s="33" t="s">
        <v>334</v>
      </c>
      <c r="KEY105" s="33" t="s">
        <v>334</v>
      </c>
      <c r="KEZ105" s="33" t="s">
        <v>334</v>
      </c>
      <c r="KFA105" s="33" t="s">
        <v>334</v>
      </c>
      <c r="KFB105" s="33" t="s">
        <v>334</v>
      </c>
      <c r="KFC105" s="33" t="s">
        <v>334</v>
      </c>
      <c r="KFD105" s="33" t="s">
        <v>334</v>
      </c>
      <c r="KFE105" s="33" t="s">
        <v>334</v>
      </c>
      <c r="KFF105" s="33" t="s">
        <v>334</v>
      </c>
      <c r="KFG105" s="33" t="s">
        <v>334</v>
      </c>
      <c r="KFH105" s="33" t="s">
        <v>334</v>
      </c>
      <c r="KFI105" s="33" t="s">
        <v>334</v>
      </c>
      <c r="KFJ105" s="33" t="s">
        <v>334</v>
      </c>
      <c r="KFK105" s="33" t="s">
        <v>334</v>
      </c>
      <c r="KFL105" s="33" t="s">
        <v>334</v>
      </c>
      <c r="KFM105" s="33" t="s">
        <v>334</v>
      </c>
      <c r="KFN105" s="33" t="s">
        <v>334</v>
      </c>
      <c r="KFO105" s="33" t="s">
        <v>334</v>
      </c>
      <c r="KFP105" s="33" t="s">
        <v>334</v>
      </c>
      <c r="KFQ105" s="33" t="s">
        <v>334</v>
      </c>
      <c r="KFR105" s="33" t="s">
        <v>334</v>
      </c>
      <c r="KFS105" s="33" t="s">
        <v>334</v>
      </c>
      <c r="KFT105" s="33" t="s">
        <v>334</v>
      </c>
      <c r="KFU105" s="33" t="s">
        <v>334</v>
      </c>
      <c r="KFV105" s="33" t="s">
        <v>334</v>
      </c>
      <c r="KFW105" s="33" t="s">
        <v>334</v>
      </c>
      <c r="KFX105" s="33" t="s">
        <v>334</v>
      </c>
      <c r="KFY105" s="33" t="s">
        <v>334</v>
      </c>
      <c r="KFZ105" s="33" t="s">
        <v>334</v>
      </c>
      <c r="KGA105" s="33" t="s">
        <v>334</v>
      </c>
      <c r="KGB105" s="33" t="s">
        <v>334</v>
      </c>
      <c r="KGC105" s="33" t="s">
        <v>334</v>
      </c>
      <c r="KGD105" s="33" t="s">
        <v>334</v>
      </c>
      <c r="KGE105" s="33" t="s">
        <v>334</v>
      </c>
      <c r="KGF105" s="33" t="s">
        <v>334</v>
      </c>
      <c r="KGG105" s="33" t="s">
        <v>334</v>
      </c>
      <c r="KGH105" s="33" t="s">
        <v>334</v>
      </c>
      <c r="KGI105" s="33" t="s">
        <v>334</v>
      </c>
      <c r="KGJ105" s="33" t="s">
        <v>334</v>
      </c>
      <c r="KGK105" s="33" t="s">
        <v>334</v>
      </c>
      <c r="KGL105" s="33" t="s">
        <v>334</v>
      </c>
      <c r="KGM105" s="33" t="s">
        <v>334</v>
      </c>
      <c r="KGN105" s="33" t="s">
        <v>334</v>
      </c>
      <c r="KGO105" s="33" t="s">
        <v>334</v>
      </c>
      <c r="KGP105" s="33" t="s">
        <v>334</v>
      </c>
      <c r="KGQ105" s="33" t="s">
        <v>334</v>
      </c>
      <c r="KGR105" s="33" t="s">
        <v>334</v>
      </c>
      <c r="KGS105" s="33" t="s">
        <v>334</v>
      </c>
      <c r="KGT105" s="33" t="s">
        <v>334</v>
      </c>
      <c r="KGU105" s="33" t="s">
        <v>334</v>
      </c>
      <c r="KGV105" s="33" t="s">
        <v>334</v>
      </c>
      <c r="KGW105" s="33" t="s">
        <v>334</v>
      </c>
      <c r="KGX105" s="33" t="s">
        <v>334</v>
      </c>
      <c r="KGY105" s="33" t="s">
        <v>334</v>
      </c>
      <c r="KGZ105" s="33" t="s">
        <v>334</v>
      </c>
      <c r="KHA105" s="33" t="s">
        <v>334</v>
      </c>
      <c r="KHB105" s="33" t="s">
        <v>334</v>
      </c>
      <c r="KHC105" s="33" t="s">
        <v>334</v>
      </c>
      <c r="KHD105" s="33" t="s">
        <v>334</v>
      </c>
      <c r="KHE105" s="33" t="s">
        <v>334</v>
      </c>
      <c r="KHF105" s="33" t="s">
        <v>334</v>
      </c>
      <c r="KHG105" s="33" t="s">
        <v>334</v>
      </c>
      <c r="KHH105" s="33" t="s">
        <v>334</v>
      </c>
      <c r="KHI105" s="33" t="s">
        <v>334</v>
      </c>
      <c r="KHJ105" s="33" t="s">
        <v>334</v>
      </c>
      <c r="KHK105" s="33" t="s">
        <v>334</v>
      </c>
      <c r="KHL105" s="33" t="s">
        <v>334</v>
      </c>
      <c r="KHM105" s="33" t="s">
        <v>334</v>
      </c>
      <c r="KHN105" s="33" t="s">
        <v>334</v>
      </c>
      <c r="KHO105" s="33" t="s">
        <v>334</v>
      </c>
      <c r="KHP105" s="33" t="s">
        <v>334</v>
      </c>
      <c r="KHQ105" s="33" t="s">
        <v>334</v>
      </c>
      <c r="KHR105" s="33" t="s">
        <v>334</v>
      </c>
      <c r="KHS105" s="33" t="s">
        <v>334</v>
      </c>
      <c r="KHT105" s="33" t="s">
        <v>334</v>
      </c>
      <c r="KHU105" s="33" t="s">
        <v>334</v>
      </c>
      <c r="KHV105" s="33" t="s">
        <v>334</v>
      </c>
      <c r="KHW105" s="33" t="s">
        <v>334</v>
      </c>
      <c r="KHX105" s="33" t="s">
        <v>334</v>
      </c>
      <c r="KHY105" s="33" t="s">
        <v>334</v>
      </c>
      <c r="KHZ105" s="33" t="s">
        <v>334</v>
      </c>
      <c r="KIA105" s="33" t="s">
        <v>334</v>
      </c>
      <c r="KIB105" s="33" t="s">
        <v>334</v>
      </c>
      <c r="KIC105" s="33" t="s">
        <v>334</v>
      </c>
      <c r="KID105" s="33" t="s">
        <v>334</v>
      </c>
      <c r="KIE105" s="33" t="s">
        <v>334</v>
      </c>
      <c r="KIF105" s="33" t="s">
        <v>334</v>
      </c>
      <c r="KIG105" s="33" t="s">
        <v>334</v>
      </c>
      <c r="KIH105" s="33" t="s">
        <v>334</v>
      </c>
      <c r="KII105" s="33" t="s">
        <v>334</v>
      </c>
      <c r="KIJ105" s="33" t="s">
        <v>334</v>
      </c>
      <c r="KIK105" s="33" t="s">
        <v>334</v>
      </c>
      <c r="KIL105" s="33" t="s">
        <v>334</v>
      </c>
      <c r="KIM105" s="33" t="s">
        <v>334</v>
      </c>
      <c r="KIN105" s="33" t="s">
        <v>334</v>
      </c>
      <c r="KIO105" s="33" t="s">
        <v>334</v>
      </c>
      <c r="KIP105" s="33" t="s">
        <v>334</v>
      </c>
      <c r="KIQ105" s="33" t="s">
        <v>334</v>
      </c>
      <c r="KIR105" s="33" t="s">
        <v>334</v>
      </c>
      <c r="KIS105" s="33" t="s">
        <v>334</v>
      </c>
      <c r="KIT105" s="33" t="s">
        <v>334</v>
      </c>
      <c r="KIU105" s="33" t="s">
        <v>334</v>
      </c>
      <c r="KIV105" s="33" t="s">
        <v>334</v>
      </c>
      <c r="KIW105" s="33" t="s">
        <v>334</v>
      </c>
      <c r="KIX105" s="33" t="s">
        <v>334</v>
      </c>
      <c r="KIY105" s="33" t="s">
        <v>334</v>
      </c>
      <c r="KIZ105" s="33" t="s">
        <v>334</v>
      </c>
      <c r="KJA105" s="33" t="s">
        <v>334</v>
      </c>
      <c r="KJB105" s="33" t="s">
        <v>334</v>
      </c>
      <c r="KJC105" s="33" t="s">
        <v>334</v>
      </c>
      <c r="KJD105" s="33" t="s">
        <v>334</v>
      </c>
      <c r="KJE105" s="33" t="s">
        <v>334</v>
      </c>
      <c r="KJF105" s="33" t="s">
        <v>334</v>
      </c>
      <c r="KJG105" s="33" t="s">
        <v>334</v>
      </c>
      <c r="KJH105" s="33" t="s">
        <v>334</v>
      </c>
      <c r="KJI105" s="33" t="s">
        <v>334</v>
      </c>
      <c r="KJJ105" s="33" t="s">
        <v>334</v>
      </c>
      <c r="KJK105" s="33" t="s">
        <v>334</v>
      </c>
      <c r="KJL105" s="33" t="s">
        <v>334</v>
      </c>
      <c r="KJM105" s="33" t="s">
        <v>334</v>
      </c>
      <c r="KJN105" s="33" t="s">
        <v>334</v>
      </c>
      <c r="KJO105" s="33" t="s">
        <v>334</v>
      </c>
      <c r="KJP105" s="33" t="s">
        <v>334</v>
      </c>
      <c r="KJQ105" s="33" t="s">
        <v>334</v>
      </c>
      <c r="KJR105" s="33" t="s">
        <v>334</v>
      </c>
      <c r="KJS105" s="33" t="s">
        <v>334</v>
      </c>
      <c r="KJT105" s="33" t="s">
        <v>334</v>
      </c>
      <c r="KJU105" s="33" t="s">
        <v>334</v>
      </c>
      <c r="KJV105" s="33" t="s">
        <v>334</v>
      </c>
      <c r="KJW105" s="33" t="s">
        <v>334</v>
      </c>
      <c r="KJX105" s="33" t="s">
        <v>334</v>
      </c>
      <c r="KJY105" s="33" t="s">
        <v>334</v>
      </c>
      <c r="KJZ105" s="33" t="s">
        <v>334</v>
      </c>
      <c r="KKA105" s="33" t="s">
        <v>334</v>
      </c>
      <c r="KKB105" s="33" t="s">
        <v>334</v>
      </c>
      <c r="KKC105" s="33" t="s">
        <v>334</v>
      </c>
      <c r="KKD105" s="33" t="s">
        <v>334</v>
      </c>
      <c r="KKE105" s="33" t="s">
        <v>334</v>
      </c>
      <c r="KKF105" s="33" t="s">
        <v>334</v>
      </c>
      <c r="KKG105" s="33" t="s">
        <v>334</v>
      </c>
      <c r="KKH105" s="33" t="s">
        <v>334</v>
      </c>
      <c r="KKI105" s="33" t="s">
        <v>334</v>
      </c>
      <c r="KKJ105" s="33" t="s">
        <v>334</v>
      </c>
      <c r="KKK105" s="33" t="s">
        <v>334</v>
      </c>
      <c r="KKL105" s="33" t="s">
        <v>334</v>
      </c>
      <c r="KKM105" s="33" t="s">
        <v>334</v>
      </c>
      <c r="KKN105" s="33" t="s">
        <v>334</v>
      </c>
      <c r="KKO105" s="33" t="s">
        <v>334</v>
      </c>
      <c r="KKP105" s="33" t="s">
        <v>334</v>
      </c>
      <c r="KKQ105" s="33" t="s">
        <v>334</v>
      </c>
      <c r="KKR105" s="33" t="s">
        <v>334</v>
      </c>
      <c r="KKS105" s="33" t="s">
        <v>334</v>
      </c>
      <c r="KKT105" s="33" t="s">
        <v>334</v>
      </c>
      <c r="KKU105" s="33" t="s">
        <v>334</v>
      </c>
      <c r="KKV105" s="33" t="s">
        <v>334</v>
      </c>
      <c r="KKW105" s="33" t="s">
        <v>334</v>
      </c>
      <c r="KKX105" s="33" t="s">
        <v>334</v>
      </c>
      <c r="KKY105" s="33" t="s">
        <v>334</v>
      </c>
      <c r="KKZ105" s="33" t="s">
        <v>334</v>
      </c>
      <c r="KLA105" s="33" t="s">
        <v>334</v>
      </c>
      <c r="KLB105" s="33" t="s">
        <v>334</v>
      </c>
      <c r="KLC105" s="33" t="s">
        <v>334</v>
      </c>
      <c r="KLD105" s="33" t="s">
        <v>334</v>
      </c>
      <c r="KLE105" s="33" t="s">
        <v>334</v>
      </c>
      <c r="KLF105" s="33" t="s">
        <v>334</v>
      </c>
      <c r="KLG105" s="33" t="s">
        <v>334</v>
      </c>
      <c r="KLH105" s="33" t="s">
        <v>334</v>
      </c>
      <c r="KLI105" s="33" t="s">
        <v>334</v>
      </c>
      <c r="KLJ105" s="33" t="s">
        <v>334</v>
      </c>
      <c r="KLK105" s="33" t="s">
        <v>334</v>
      </c>
      <c r="KLL105" s="33" t="s">
        <v>334</v>
      </c>
      <c r="KLM105" s="33" t="s">
        <v>334</v>
      </c>
      <c r="KLN105" s="33" t="s">
        <v>334</v>
      </c>
      <c r="KLO105" s="33" t="s">
        <v>334</v>
      </c>
      <c r="KLP105" s="33" t="s">
        <v>334</v>
      </c>
      <c r="KLQ105" s="33" t="s">
        <v>334</v>
      </c>
      <c r="KLR105" s="33" t="s">
        <v>334</v>
      </c>
      <c r="KLS105" s="33" t="s">
        <v>334</v>
      </c>
      <c r="KLT105" s="33" t="s">
        <v>334</v>
      </c>
      <c r="KLU105" s="33" t="s">
        <v>334</v>
      </c>
      <c r="KLV105" s="33" t="s">
        <v>334</v>
      </c>
      <c r="KLW105" s="33" t="s">
        <v>334</v>
      </c>
      <c r="KLX105" s="33" t="s">
        <v>334</v>
      </c>
      <c r="KLY105" s="33" t="s">
        <v>334</v>
      </c>
      <c r="KLZ105" s="33" t="s">
        <v>334</v>
      </c>
      <c r="KMA105" s="33" t="s">
        <v>334</v>
      </c>
      <c r="KMB105" s="33" t="s">
        <v>334</v>
      </c>
      <c r="KMC105" s="33" t="s">
        <v>334</v>
      </c>
      <c r="KMD105" s="33" t="s">
        <v>334</v>
      </c>
      <c r="KME105" s="33" t="s">
        <v>334</v>
      </c>
      <c r="KMF105" s="33" t="s">
        <v>334</v>
      </c>
      <c r="KMG105" s="33" t="s">
        <v>334</v>
      </c>
      <c r="KMH105" s="33" t="s">
        <v>334</v>
      </c>
      <c r="KMI105" s="33" t="s">
        <v>334</v>
      </c>
      <c r="KMJ105" s="33" t="s">
        <v>334</v>
      </c>
      <c r="KMK105" s="33" t="s">
        <v>334</v>
      </c>
      <c r="KML105" s="33" t="s">
        <v>334</v>
      </c>
      <c r="KMM105" s="33" t="s">
        <v>334</v>
      </c>
      <c r="KMN105" s="33" t="s">
        <v>334</v>
      </c>
      <c r="KMO105" s="33" t="s">
        <v>334</v>
      </c>
      <c r="KMP105" s="33" t="s">
        <v>334</v>
      </c>
      <c r="KMQ105" s="33" t="s">
        <v>334</v>
      </c>
      <c r="KMR105" s="33" t="s">
        <v>334</v>
      </c>
      <c r="KMS105" s="33" t="s">
        <v>334</v>
      </c>
      <c r="KMT105" s="33" t="s">
        <v>334</v>
      </c>
      <c r="KMU105" s="33" t="s">
        <v>334</v>
      </c>
      <c r="KMV105" s="33" t="s">
        <v>334</v>
      </c>
      <c r="KMW105" s="33" t="s">
        <v>334</v>
      </c>
      <c r="KMX105" s="33" t="s">
        <v>334</v>
      </c>
      <c r="KMY105" s="33" t="s">
        <v>334</v>
      </c>
      <c r="KMZ105" s="33" t="s">
        <v>334</v>
      </c>
      <c r="KNA105" s="33" t="s">
        <v>334</v>
      </c>
      <c r="KNB105" s="33" t="s">
        <v>334</v>
      </c>
      <c r="KNC105" s="33" t="s">
        <v>334</v>
      </c>
      <c r="KND105" s="33" t="s">
        <v>334</v>
      </c>
      <c r="KNE105" s="33" t="s">
        <v>334</v>
      </c>
      <c r="KNF105" s="33" t="s">
        <v>334</v>
      </c>
      <c r="KNG105" s="33" t="s">
        <v>334</v>
      </c>
      <c r="KNH105" s="33" t="s">
        <v>334</v>
      </c>
      <c r="KNI105" s="33" t="s">
        <v>334</v>
      </c>
      <c r="KNJ105" s="33" t="s">
        <v>334</v>
      </c>
      <c r="KNK105" s="33" t="s">
        <v>334</v>
      </c>
      <c r="KNL105" s="33" t="s">
        <v>334</v>
      </c>
      <c r="KNM105" s="33" t="s">
        <v>334</v>
      </c>
      <c r="KNN105" s="33" t="s">
        <v>334</v>
      </c>
      <c r="KNO105" s="33" t="s">
        <v>334</v>
      </c>
      <c r="KNP105" s="33" t="s">
        <v>334</v>
      </c>
      <c r="KNQ105" s="33" t="s">
        <v>334</v>
      </c>
      <c r="KNR105" s="33" t="s">
        <v>334</v>
      </c>
      <c r="KNS105" s="33" t="s">
        <v>334</v>
      </c>
      <c r="KNT105" s="33" t="s">
        <v>334</v>
      </c>
      <c r="KNU105" s="33" t="s">
        <v>334</v>
      </c>
      <c r="KNV105" s="33" t="s">
        <v>334</v>
      </c>
      <c r="KNW105" s="33" t="s">
        <v>334</v>
      </c>
      <c r="KNX105" s="33" t="s">
        <v>334</v>
      </c>
      <c r="KNY105" s="33" t="s">
        <v>334</v>
      </c>
      <c r="KNZ105" s="33" t="s">
        <v>334</v>
      </c>
      <c r="KOA105" s="33" t="s">
        <v>334</v>
      </c>
      <c r="KOB105" s="33" t="s">
        <v>334</v>
      </c>
      <c r="KOC105" s="33" t="s">
        <v>334</v>
      </c>
      <c r="KOD105" s="33" t="s">
        <v>334</v>
      </c>
      <c r="KOE105" s="33" t="s">
        <v>334</v>
      </c>
      <c r="KOF105" s="33" t="s">
        <v>334</v>
      </c>
      <c r="KOG105" s="33" t="s">
        <v>334</v>
      </c>
      <c r="KOH105" s="33" t="s">
        <v>334</v>
      </c>
      <c r="KOI105" s="33" t="s">
        <v>334</v>
      </c>
      <c r="KOJ105" s="33" t="s">
        <v>334</v>
      </c>
      <c r="KOK105" s="33" t="s">
        <v>334</v>
      </c>
      <c r="KOL105" s="33" t="s">
        <v>334</v>
      </c>
      <c r="KOM105" s="33" t="s">
        <v>334</v>
      </c>
      <c r="KON105" s="33" t="s">
        <v>334</v>
      </c>
      <c r="KOO105" s="33" t="s">
        <v>334</v>
      </c>
      <c r="KOP105" s="33" t="s">
        <v>334</v>
      </c>
      <c r="KOQ105" s="33" t="s">
        <v>334</v>
      </c>
      <c r="KOR105" s="33" t="s">
        <v>334</v>
      </c>
      <c r="KOS105" s="33" t="s">
        <v>334</v>
      </c>
      <c r="KOT105" s="33" t="s">
        <v>334</v>
      </c>
      <c r="KOU105" s="33" t="s">
        <v>334</v>
      </c>
      <c r="KOV105" s="33" t="s">
        <v>334</v>
      </c>
      <c r="KOW105" s="33" t="s">
        <v>334</v>
      </c>
      <c r="KOX105" s="33" t="s">
        <v>334</v>
      </c>
      <c r="KOY105" s="33" t="s">
        <v>334</v>
      </c>
      <c r="KOZ105" s="33" t="s">
        <v>334</v>
      </c>
      <c r="KPA105" s="33" t="s">
        <v>334</v>
      </c>
      <c r="KPB105" s="33" t="s">
        <v>334</v>
      </c>
      <c r="KPC105" s="33" t="s">
        <v>334</v>
      </c>
      <c r="KPD105" s="33" t="s">
        <v>334</v>
      </c>
      <c r="KPE105" s="33" t="s">
        <v>334</v>
      </c>
      <c r="KPF105" s="33" t="s">
        <v>334</v>
      </c>
      <c r="KPG105" s="33" t="s">
        <v>334</v>
      </c>
      <c r="KPH105" s="33" t="s">
        <v>334</v>
      </c>
      <c r="KPI105" s="33" t="s">
        <v>334</v>
      </c>
      <c r="KPJ105" s="33" t="s">
        <v>334</v>
      </c>
      <c r="KPK105" s="33" t="s">
        <v>334</v>
      </c>
      <c r="KPL105" s="33" t="s">
        <v>334</v>
      </c>
      <c r="KPM105" s="33" t="s">
        <v>334</v>
      </c>
      <c r="KPN105" s="33" t="s">
        <v>334</v>
      </c>
      <c r="KPO105" s="33" t="s">
        <v>334</v>
      </c>
      <c r="KPP105" s="33" t="s">
        <v>334</v>
      </c>
      <c r="KPQ105" s="33" t="s">
        <v>334</v>
      </c>
      <c r="KPR105" s="33" t="s">
        <v>334</v>
      </c>
      <c r="KPS105" s="33" t="s">
        <v>334</v>
      </c>
      <c r="KPT105" s="33" t="s">
        <v>334</v>
      </c>
      <c r="KPU105" s="33" t="s">
        <v>334</v>
      </c>
      <c r="KPV105" s="33" t="s">
        <v>334</v>
      </c>
      <c r="KPW105" s="33" t="s">
        <v>334</v>
      </c>
      <c r="KPX105" s="33" t="s">
        <v>334</v>
      </c>
      <c r="KPY105" s="33" t="s">
        <v>334</v>
      </c>
      <c r="KPZ105" s="33" t="s">
        <v>334</v>
      </c>
      <c r="KQA105" s="33" t="s">
        <v>334</v>
      </c>
      <c r="KQB105" s="33" t="s">
        <v>334</v>
      </c>
      <c r="KQC105" s="33" t="s">
        <v>334</v>
      </c>
      <c r="KQD105" s="33" t="s">
        <v>334</v>
      </c>
      <c r="KQE105" s="33" t="s">
        <v>334</v>
      </c>
      <c r="KQF105" s="33" t="s">
        <v>334</v>
      </c>
      <c r="KQG105" s="33" t="s">
        <v>334</v>
      </c>
      <c r="KQH105" s="33" t="s">
        <v>334</v>
      </c>
      <c r="KQI105" s="33" t="s">
        <v>334</v>
      </c>
      <c r="KQJ105" s="33" t="s">
        <v>334</v>
      </c>
      <c r="KQK105" s="33" t="s">
        <v>334</v>
      </c>
      <c r="KQL105" s="33" t="s">
        <v>334</v>
      </c>
      <c r="KQM105" s="33" t="s">
        <v>334</v>
      </c>
      <c r="KQN105" s="33" t="s">
        <v>334</v>
      </c>
      <c r="KQO105" s="33" t="s">
        <v>334</v>
      </c>
      <c r="KQP105" s="33" t="s">
        <v>334</v>
      </c>
      <c r="KQQ105" s="33" t="s">
        <v>334</v>
      </c>
      <c r="KQR105" s="33" t="s">
        <v>334</v>
      </c>
      <c r="KQS105" s="33" t="s">
        <v>334</v>
      </c>
      <c r="KQT105" s="33" t="s">
        <v>334</v>
      </c>
      <c r="KQU105" s="33" t="s">
        <v>334</v>
      </c>
      <c r="KQV105" s="33" t="s">
        <v>334</v>
      </c>
      <c r="KQW105" s="33" t="s">
        <v>334</v>
      </c>
      <c r="KQX105" s="33" t="s">
        <v>334</v>
      </c>
      <c r="KQY105" s="33" t="s">
        <v>334</v>
      </c>
      <c r="KQZ105" s="33" t="s">
        <v>334</v>
      </c>
      <c r="KRA105" s="33" t="s">
        <v>334</v>
      </c>
      <c r="KRB105" s="33" t="s">
        <v>334</v>
      </c>
      <c r="KRC105" s="33" t="s">
        <v>334</v>
      </c>
      <c r="KRD105" s="33" t="s">
        <v>334</v>
      </c>
      <c r="KRE105" s="33" t="s">
        <v>334</v>
      </c>
      <c r="KRF105" s="33" t="s">
        <v>334</v>
      </c>
      <c r="KRG105" s="33" t="s">
        <v>334</v>
      </c>
      <c r="KRH105" s="33" t="s">
        <v>334</v>
      </c>
      <c r="KRI105" s="33" t="s">
        <v>334</v>
      </c>
      <c r="KRJ105" s="33" t="s">
        <v>334</v>
      </c>
      <c r="KRK105" s="33" t="s">
        <v>334</v>
      </c>
      <c r="KRL105" s="33" t="s">
        <v>334</v>
      </c>
      <c r="KRM105" s="33" t="s">
        <v>334</v>
      </c>
      <c r="KRN105" s="33" t="s">
        <v>334</v>
      </c>
      <c r="KRO105" s="33" t="s">
        <v>334</v>
      </c>
      <c r="KRP105" s="33" t="s">
        <v>334</v>
      </c>
      <c r="KRQ105" s="33" t="s">
        <v>334</v>
      </c>
      <c r="KRR105" s="33" t="s">
        <v>334</v>
      </c>
      <c r="KRS105" s="33" t="s">
        <v>334</v>
      </c>
      <c r="KRT105" s="33" t="s">
        <v>334</v>
      </c>
      <c r="KRU105" s="33" t="s">
        <v>334</v>
      </c>
      <c r="KRV105" s="33" t="s">
        <v>334</v>
      </c>
      <c r="KRW105" s="33" t="s">
        <v>334</v>
      </c>
      <c r="KRX105" s="33" t="s">
        <v>334</v>
      </c>
      <c r="KRY105" s="33" t="s">
        <v>334</v>
      </c>
      <c r="KRZ105" s="33" t="s">
        <v>334</v>
      </c>
      <c r="KSA105" s="33" t="s">
        <v>334</v>
      </c>
      <c r="KSB105" s="33" t="s">
        <v>334</v>
      </c>
      <c r="KSC105" s="33" t="s">
        <v>334</v>
      </c>
      <c r="KSD105" s="33" t="s">
        <v>334</v>
      </c>
      <c r="KSE105" s="33" t="s">
        <v>334</v>
      </c>
      <c r="KSF105" s="33" t="s">
        <v>334</v>
      </c>
      <c r="KSG105" s="33" t="s">
        <v>334</v>
      </c>
      <c r="KSH105" s="33" t="s">
        <v>334</v>
      </c>
      <c r="KSI105" s="33" t="s">
        <v>334</v>
      </c>
      <c r="KSJ105" s="33" t="s">
        <v>334</v>
      </c>
      <c r="KSK105" s="33" t="s">
        <v>334</v>
      </c>
      <c r="KSL105" s="33" t="s">
        <v>334</v>
      </c>
      <c r="KSM105" s="33" t="s">
        <v>334</v>
      </c>
      <c r="KSN105" s="33" t="s">
        <v>334</v>
      </c>
      <c r="KSO105" s="33" t="s">
        <v>334</v>
      </c>
      <c r="KSP105" s="33" t="s">
        <v>334</v>
      </c>
      <c r="KSQ105" s="33" t="s">
        <v>334</v>
      </c>
      <c r="KSR105" s="33" t="s">
        <v>334</v>
      </c>
      <c r="KSS105" s="33" t="s">
        <v>334</v>
      </c>
      <c r="KST105" s="33" t="s">
        <v>334</v>
      </c>
      <c r="KSU105" s="33" t="s">
        <v>334</v>
      </c>
      <c r="KSV105" s="33" t="s">
        <v>334</v>
      </c>
      <c r="KSW105" s="33" t="s">
        <v>334</v>
      </c>
      <c r="KSX105" s="33" t="s">
        <v>334</v>
      </c>
      <c r="KSY105" s="33" t="s">
        <v>334</v>
      </c>
      <c r="KSZ105" s="33" t="s">
        <v>334</v>
      </c>
      <c r="KTA105" s="33" t="s">
        <v>334</v>
      </c>
      <c r="KTB105" s="33" t="s">
        <v>334</v>
      </c>
      <c r="KTC105" s="33" t="s">
        <v>334</v>
      </c>
      <c r="KTD105" s="33" t="s">
        <v>334</v>
      </c>
      <c r="KTE105" s="33" t="s">
        <v>334</v>
      </c>
      <c r="KTF105" s="33" t="s">
        <v>334</v>
      </c>
      <c r="KTG105" s="33" t="s">
        <v>334</v>
      </c>
      <c r="KTH105" s="33" t="s">
        <v>334</v>
      </c>
      <c r="KTI105" s="33" t="s">
        <v>334</v>
      </c>
      <c r="KTJ105" s="33" t="s">
        <v>334</v>
      </c>
      <c r="KTK105" s="33" t="s">
        <v>334</v>
      </c>
      <c r="KTL105" s="33" t="s">
        <v>334</v>
      </c>
      <c r="KTM105" s="33" t="s">
        <v>334</v>
      </c>
      <c r="KTN105" s="33" t="s">
        <v>334</v>
      </c>
      <c r="KTO105" s="33" t="s">
        <v>334</v>
      </c>
      <c r="KTP105" s="33" t="s">
        <v>334</v>
      </c>
      <c r="KTQ105" s="33" t="s">
        <v>334</v>
      </c>
      <c r="KTR105" s="33" t="s">
        <v>334</v>
      </c>
      <c r="KTS105" s="33" t="s">
        <v>334</v>
      </c>
      <c r="KTT105" s="33" t="s">
        <v>334</v>
      </c>
      <c r="KTU105" s="33" t="s">
        <v>334</v>
      </c>
      <c r="KTV105" s="33" t="s">
        <v>334</v>
      </c>
      <c r="KTW105" s="33" t="s">
        <v>334</v>
      </c>
      <c r="KTX105" s="33" t="s">
        <v>334</v>
      </c>
      <c r="KTY105" s="33" t="s">
        <v>334</v>
      </c>
      <c r="KTZ105" s="33" t="s">
        <v>334</v>
      </c>
      <c r="KUA105" s="33" t="s">
        <v>334</v>
      </c>
      <c r="KUB105" s="33" t="s">
        <v>334</v>
      </c>
      <c r="KUC105" s="33" t="s">
        <v>334</v>
      </c>
      <c r="KUD105" s="33" t="s">
        <v>334</v>
      </c>
      <c r="KUE105" s="33" t="s">
        <v>334</v>
      </c>
      <c r="KUF105" s="33" t="s">
        <v>334</v>
      </c>
      <c r="KUG105" s="33" t="s">
        <v>334</v>
      </c>
      <c r="KUH105" s="33" t="s">
        <v>334</v>
      </c>
      <c r="KUI105" s="33" t="s">
        <v>334</v>
      </c>
      <c r="KUJ105" s="33" t="s">
        <v>334</v>
      </c>
      <c r="KUK105" s="33" t="s">
        <v>334</v>
      </c>
      <c r="KUL105" s="33" t="s">
        <v>334</v>
      </c>
      <c r="KUM105" s="33" t="s">
        <v>334</v>
      </c>
      <c r="KUN105" s="33" t="s">
        <v>334</v>
      </c>
      <c r="KUO105" s="33" t="s">
        <v>334</v>
      </c>
      <c r="KUP105" s="33" t="s">
        <v>334</v>
      </c>
      <c r="KUQ105" s="33" t="s">
        <v>334</v>
      </c>
      <c r="KUR105" s="33" t="s">
        <v>334</v>
      </c>
      <c r="KUS105" s="33" t="s">
        <v>334</v>
      </c>
      <c r="KUT105" s="33" t="s">
        <v>334</v>
      </c>
      <c r="KUU105" s="33" t="s">
        <v>334</v>
      </c>
      <c r="KUV105" s="33" t="s">
        <v>334</v>
      </c>
      <c r="KUW105" s="33" t="s">
        <v>334</v>
      </c>
      <c r="KUX105" s="33" t="s">
        <v>334</v>
      </c>
      <c r="KUY105" s="33" t="s">
        <v>334</v>
      </c>
      <c r="KUZ105" s="33" t="s">
        <v>334</v>
      </c>
      <c r="KVA105" s="33" t="s">
        <v>334</v>
      </c>
      <c r="KVB105" s="33" t="s">
        <v>334</v>
      </c>
      <c r="KVC105" s="33" t="s">
        <v>334</v>
      </c>
      <c r="KVD105" s="33" t="s">
        <v>334</v>
      </c>
      <c r="KVE105" s="33" t="s">
        <v>334</v>
      </c>
      <c r="KVF105" s="33" t="s">
        <v>334</v>
      </c>
      <c r="KVG105" s="33" t="s">
        <v>334</v>
      </c>
      <c r="KVH105" s="33" t="s">
        <v>334</v>
      </c>
      <c r="KVI105" s="33" t="s">
        <v>334</v>
      </c>
      <c r="KVJ105" s="33" t="s">
        <v>334</v>
      </c>
      <c r="KVK105" s="33" t="s">
        <v>334</v>
      </c>
      <c r="KVL105" s="33" t="s">
        <v>334</v>
      </c>
      <c r="KVM105" s="33" t="s">
        <v>334</v>
      </c>
      <c r="KVN105" s="33" t="s">
        <v>334</v>
      </c>
      <c r="KVO105" s="33" t="s">
        <v>334</v>
      </c>
      <c r="KVP105" s="33" t="s">
        <v>334</v>
      </c>
      <c r="KVQ105" s="33" t="s">
        <v>334</v>
      </c>
      <c r="KVR105" s="33" t="s">
        <v>334</v>
      </c>
      <c r="KVS105" s="33" t="s">
        <v>334</v>
      </c>
      <c r="KVT105" s="33" t="s">
        <v>334</v>
      </c>
      <c r="KVU105" s="33" t="s">
        <v>334</v>
      </c>
      <c r="KVV105" s="33" t="s">
        <v>334</v>
      </c>
      <c r="KVW105" s="33" t="s">
        <v>334</v>
      </c>
      <c r="KVX105" s="33" t="s">
        <v>334</v>
      </c>
      <c r="KVY105" s="33" t="s">
        <v>334</v>
      </c>
      <c r="KVZ105" s="33" t="s">
        <v>334</v>
      </c>
      <c r="KWA105" s="33" t="s">
        <v>334</v>
      </c>
      <c r="KWB105" s="33" t="s">
        <v>334</v>
      </c>
      <c r="KWC105" s="33" t="s">
        <v>334</v>
      </c>
      <c r="KWD105" s="33" t="s">
        <v>334</v>
      </c>
      <c r="KWE105" s="33" t="s">
        <v>334</v>
      </c>
      <c r="KWF105" s="33" t="s">
        <v>334</v>
      </c>
      <c r="KWG105" s="33" t="s">
        <v>334</v>
      </c>
      <c r="KWH105" s="33" t="s">
        <v>334</v>
      </c>
      <c r="KWI105" s="33" t="s">
        <v>334</v>
      </c>
      <c r="KWJ105" s="33" t="s">
        <v>334</v>
      </c>
      <c r="KWK105" s="33" t="s">
        <v>334</v>
      </c>
      <c r="KWL105" s="33" t="s">
        <v>334</v>
      </c>
      <c r="KWM105" s="33" t="s">
        <v>334</v>
      </c>
      <c r="KWN105" s="33" t="s">
        <v>334</v>
      </c>
      <c r="KWO105" s="33" t="s">
        <v>334</v>
      </c>
      <c r="KWP105" s="33" t="s">
        <v>334</v>
      </c>
      <c r="KWQ105" s="33" t="s">
        <v>334</v>
      </c>
      <c r="KWR105" s="33" t="s">
        <v>334</v>
      </c>
      <c r="KWS105" s="33" t="s">
        <v>334</v>
      </c>
      <c r="KWT105" s="33" t="s">
        <v>334</v>
      </c>
      <c r="KWU105" s="33" t="s">
        <v>334</v>
      </c>
      <c r="KWV105" s="33" t="s">
        <v>334</v>
      </c>
      <c r="KWW105" s="33" t="s">
        <v>334</v>
      </c>
      <c r="KWX105" s="33" t="s">
        <v>334</v>
      </c>
      <c r="KWY105" s="33" t="s">
        <v>334</v>
      </c>
      <c r="KWZ105" s="33" t="s">
        <v>334</v>
      </c>
      <c r="KXA105" s="33" t="s">
        <v>334</v>
      </c>
      <c r="KXB105" s="33" t="s">
        <v>334</v>
      </c>
      <c r="KXC105" s="33" t="s">
        <v>334</v>
      </c>
      <c r="KXD105" s="33" t="s">
        <v>334</v>
      </c>
      <c r="KXE105" s="33" t="s">
        <v>334</v>
      </c>
      <c r="KXF105" s="33" t="s">
        <v>334</v>
      </c>
      <c r="KXG105" s="33" t="s">
        <v>334</v>
      </c>
      <c r="KXH105" s="33" t="s">
        <v>334</v>
      </c>
      <c r="KXI105" s="33" t="s">
        <v>334</v>
      </c>
      <c r="KXJ105" s="33" t="s">
        <v>334</v>
      </c>
      <c r="KXK105" s="33" t="s">
        <v>334</v>
      </c>
      <c r="KXL105" s="33" t="s">
        <v>334</v>
      </c>
      <c r="KXM105" s="33" t="s">
        <v>334</v>
      </c>
      <c r="KXN105" s="33" t="s">
        <v>334</v>
      </c>
      <c r="KXO105" s="33" t="s">
        <v>334</v>
      </c>
      <c r="KXP105" s="33" t="s">
        <v>334</v>
      </c>
      <c r="KXQ105" s="33" t="s">
        <v>334</v>
      </c>
      <c r="KXR105" s="33" t="s">
        <v>334</v>
      </c>
      <c r="KXS105" s="33" t="s">
        <v>334</v>
      </c>
      <c r="KXT105" s="33" t="s">
        <v>334</v>
      </c>
      <c r="KXU105" s="33" t="s">
        <v>334</v>
      </c>
      <c r="KXV105" s="33" t="s">
        <v>334</v>
      </c>
      <c r="KXW105" s="33" t="s">
        <v>334</v>
      </c>
      <c r="KXX105" s="33" t="s">
        <v>334</v>
      </c>
      <c r="KXY105" s="33" t="s">
        <v>334</v>
      </c>
      <c r="KXZ105" s="33" t="s">
        <v>334</v>
      </c>
      <c r="KYA105" s="33" t="s">
        <v>334</v>
      </c>
      <c r="KYB105" s="33" t="s">
        <v>334</v>
      </c>
      <c r="KYC105" s="33" t="s">
        <v>334</v>
      </c>
      <c r="KYD105" s="33" t="s">
        <v>334</v>
      </c>
      <c r="KYE105" s="33" t="s">
        <v>334</v>
      </c>
      <c r="KYF105" s="33" t="s">
        <v>334</v>
      </c>
      <c r="KYG105" s="33" t="s">
        <v>334</v>
      </c>
      <c r="KYH105" s="33" t="s">
        <v>334</v>
      </c>
      <c r="KYI105" s="33" t="s">
        <v>334</v>
      </c>
      <c r="KYJ105" s="33" t="s">
        <v>334</v>
      </c>
      <c r="KYK105" s="33" t="s">
        <v>334</v>
      </c>
      <c r="KYL105" s="33" t="s">
        <v>334</v>
      </c>
      <c r="KYM105" s="33" t="s">
        <v>334</v>
      </c>
      <c r="KYN105" s="33" t="s">
        <v>334</v>
      </c>
      <c r="KYO105" s="33" t="s">
        <v>334</v>
      </c>
      <c r="KYP105" s="33" t="s">
        <v>334</v>
      </c>
      <c r="KYQ105" s="33" t="s">
        <v>334</v>
      </c>
      <c r="KYR105" s="33" t="s">
        <v>334</v>
      </c>
      <c r="KYS105" s="33" t="s">
        <v>334</v>
      </c>
      <c r="KYT105" s="33" t="s">
        <v>334</v>
      </c>
      <c r="KYU105" s="33" t="s">
        <v>334</v>
      </c>
      <c r="KYV105" s="33" t="s">
        <v>334</v>
      </c>
      <c r="KYW105" s="33" t="s">
        <v>334</v>
      </c>
      <c r="KYX105" s="33" t="s">
        <v>334</v>
      </c>
      <c r="KYY105" s="33" t="s">
        <v>334</v>
      </c>
      <c r="KYZ105" s="33" t="s">
        <v>334</v>
      </c>
      <c r="KZA105" s="33" t="s">
        <v>334</v>
      </c>
      <c r="KZB105" s="33" t="s">
        <v>334</v>
      </c>
      <c r="KZC105" s="33" t="s">
        <v>334</v>
      </c>
      <c r="KZD105" s="33" t="s">
        <v>334</v>
      </c>
      <c r="KZE105" s="33" t="s">
        <v>334</v>
      </c>
      <c r="KZF105" s="33" t="s">
        <v>334</v>
      </c>
      <c r="KZG105" s="33" t="s">
        <v>334</v>
      </c>
      <c r="KZH105" s="33" t="s">
        <v>334</v>
      </c>
      <c r="KZI105" s="33" t="s">
        <v>334</v>
      </c>
      <c r="KZJ105" s="33" t="s">
        <v>334</v>
      </c>
      <c r="KZK105" s="33" t="s">
        <v>334</v>
      </c>
      <c r="KZL105" s="33" t="s">
        <v>334</v>
      </c>
      <c r="KZM105" s="33" t="s">
        <v>334</v>
      </c>
      <c r="KZN105" s="33" t="s">
        <v>334</v>
      </c>
      <c r="KZO105" s="33" t="s">
        <v>334</v>
      </c>
      <c r="KZP105" s="33" t="s">
        <v>334</v>
      </c>
      <c r="KZQ105" s="33" t="s">
        <v>334</v>
      </c>
      <c r="KZR105" s="33" t="s">
        <v>334</v>
      </c>
      <c r="KZS105" s="33" t="s">
        <v>334</v>
      </c>
      <c r="KZT105" s="33" t="s">
        <v>334</v>
      </c>
      <c r="KZU105" s="33" t="s">
        <v>334</v>
      </c>
      <c r="KZV105" s="33" t="s">
        <v>334</v>
      </c>
      <c r="KZW105" s="33" t="s">
        <v>334</v>
      </c>
      <c r="KZX105" s="33" t="s">
        <v>334</v>
      </c>
      <c r="KZY105" s="33" t="s">
        <v>334</v>
      </c>
      <c r="KZZ105" s="33" t="s">
        <v>334</v>
      </c>
      <c r="LAA105" s="33" t="s">
        <v>334</v>
      </c>
      <c r="LAB105" s="33" t="s">
        <v>334</v>
      </c>
      <c r="LAC105" s="33" t="s">
        <v>334</v>
      </c>
      <c r="LAD105" s="33" t="s">
        <v>334</v>
      </c>
      <c r="LAE105" s="33" t="s">
        <v>334</v>
      </c>
      <c r="LAF105" s="33" t="s">
        <v>334</v>
      </c>
      <c r="LAG105" s="33" t="s">
        <v>334</v>
      </c>
      <c r="LAH105" s="33" t="s">
        <v>334</v>
      </c>
      <c r="LAI105" s="33" t="s">
        <v>334</v>
      </c>
      <c r="LAJ105" s="33" t="s">
        <v>334</v>
      </c>
      <c r="LAK105" s="33" t="s">
        <v>334</v>
      </c>
      <c r="LAL105" s="33" t="s">
        <v>334</v>
      </c>
      <c r="LAM105" s="33" t="s">
        <v>334</v>
      </c>
      <c r="LAN105" s="33" t="s">
        <v>334</v>
      </c>
      <c r="LAO105" s="33" t="s">
        <v>334</v>
      </c>
      <c r="LAP105" s="33" t="s">
        <v>334</v>
      </c>
      <c r="LAQ105" s="33" t="s">
        <v>334</v>
      </c>
      <c r="LAR105" s="33" t="s">
        <v>334</v>
      </c>
      <c r="LAS105" s="33" t="s">
        <v>334</v>
      </c>
      <c r="LAT105" s="33" t="s">
        <v>334</v>
      </c>
      <c r="LAU105" s="33" t="s">
        <v>334</v>
      </c>
      <c r="LAV105" s="33" t="s">
        <v>334</v>
      </c>
      <c r="LAW105" s="33" t="s">
        <v>334</v>
      </c>
      <c r="LAX105" s="33" t="s">
        <v>334</v>
      </c>
      <c r="LAY105" s="33" t="s">
        <v>334</v>
      </c>
      <c r="LAZ105" s="33" t="s">
        <v>334</v>
      </c>
      <c r="LBA105" s="33" t="s">
        <v>334</v>
      </c>
      <c r="LBB105" s="33" t="s">
        <v>334</v>
      </c>
      <c r="LBC105" s="33" t="s">
        <v>334</v>
      </c>
      <c r="LBD105" s="33" t="s">
        <v>334</v>
      </c>
      <c r="LBE105" s="33" t="s">
        <v>334</v>
      </c>
      <c r="LBF105" s="33" t="s">
        <v>334</v>
      </c>
      <c r="LBG105" s="33" t="s">
        <v>334</v>
      </c>
      <c r="LBH105" s="33" t="s">
        <v>334</v>
      </c>
      <c r="LBI105" s="33" t="s">
        <v>334</v>
      </c>
      <c r="LBJ105" s="33" t="s">
        <v>334</v>
      </c>
      <c r="LBK105" s="33" t="s">
        <v>334</v>
      </c>
      <c r="LBL105" s="33" t="s">
        <v>334</v>
      </c>
      <c r="LBM105" s="33" t="s">
        <v>334</v>
      </c>
      <c r="LBN105" s="33" t="s">
        <v>334</v>
      </c>
      <c r="LBO105" s="33" t="s">
        <v>334</v>
      </c>
      <c r="LBP105" s="33" t="s">
        <v>334</v>
      </c>
      <c r="LBQ105" s="33" t="s">
        <v>334</v>
      </c>
      <c r="LBR105" s="33" t="s">
        <v>334</v>
      </c>
      <c r="LBS105" s="33" t="s">
        <v>334</v>
      </c>
      <c r="LBT105" s="33" t="s">
        <v>334</v>
      </c>
      <c r="LBU105" s="33" t="s">
        <v>334</v>
      </c>
      <c r="LBV105" s="33" t="s">
        <v>334</v>
      </c>
      <c r="LBW105" s="33" t="s">
        <v>334</v>
      </c>
      <c r="LBX105" s="33" t="s">
        <v>334</v>
      </c>
      <c r="LBY105" s="33" t="s">
        <v>334</v>
      </c>
      <c r="LBZ105" s="33" t="s">
        <v>334</v>
      </c>
      <c r="LCA105" s="33" t="s">
        <v>334</v>
      </c>
      <c r="LCB105" s="33" t="s">
        <v>334</v>
      </c>
      <c r="LCC105" s="33" t="s">
        <v>334</v>
      </c>
      <c r="LCD105" s="33" t="s">
        <v>334</v>
      </c>
      <c r="LCE105" s="33" t="s">
        <v>334</v>
      </c>
      <c r="LCF105" s="33" t="s">
        <v>334</v>
      </c>
      <c r="LCG105" s="33" t="s">
        <v>334</v>
      </c>
      <c r="LCH105" s="33" t="s">
        <v>334</v>
      </c>
      <c r="LCI105" s="33" t="s">
        <v>334</v>
      </c>
      <c r="LCJ105" s="33" t="s">
        <v>334</v>
      </c>
      <c r="LCK105" s="33" t="s">
        <v>334</v>
      </c>
      <c r="LCL105" s="33" t="s">
        <v>334</v>
      </c>
      <c r="LCM105" s="33" t="s">
        <v>334</v>
      </c>
      <c r="LCN105" s="33" t="s">
        <v>334</v>
      </c>
      <c r="LCO105" s="33" t="s">
        <v>334</v>
      </c>
      <c r="LCP105" s="33" t="s">
        <v>334</v>
      </c>
      <c r="LCQ105" s="33" t="s">
        <v>334</v>
      </c>
      <c r="LCR105" s="33" t="s">
        <v>334</v>
      </c>
      <c r="LCS105" s="33" t="s">
        <v>334</v>
      </c>
      <c r="LCT105" s="33" t="s">
        <v>334</v>
      </c>
      <c r="LCU105" s="33" t="s">
        <v>334</v>
      </c>
      <c r="LCV105" s="33" t="s">
        <v>334</v>
      </c>
      <c r="LCW105" s="33" t="s">
        <v>334</v>
      </c>
      <c r="LCX105" s="33" t="s">
        <v>334</v>
      </c>
      <c r="LCY105" s="33" t="s">
        <v>334</v>
      </c>
      <c r="LCZ105" s="33" t="s">
        <v>334</v>
      </c>
      <c r="LDA105" s="33" t="s">
        <v>334</v>
      </c>
      <c r="LDB105" s="33" t="s">
        <v>334</v>
      </c>
      <c r="LDC105" s="33" t="s">
        <v>334</v>
      </c>
      <c r="LDD105" s="33" t="s">
        <v>334</v>
      </c>
      <c r="LDE105" s="33" t="s">
        <v>334</v>
      </c>
      <c r="LDF105" s="33" t="s">
        <v>334</v>
      </c>
      <c r="LDG105" s="33" t="s">
        <v>334</v>
      </c>
      <c r="LDH105" s="33" t="s">
        <v>334</v>
      </c>
      <c r="LDI105" s="33" t="s">
        <v>334</v>
      </c>
      <c r="LDJ105" s="33" t="s">
        <v>334</v>
      </c>
      <c r="LDK105" s="33" t="s">
        <v>334</v>
      </c>
      <c r="LDL105" s="33" t="s">
        <v>334</v>
      </c>
      <c r="LDM105" s="33" t="s">
        <v>334</v>
      </c>
      <c r="LDN105" s="33" t="s">
        <v>334</v>
      </c>
      <c r="LDO105" s="33" t="s">
        <v>334</v>
      </c>
      <c r="LDP105" s="33" t="s">
        <v>334</v>
      </c>
      <c r="LDQ105" s="33" t="s">
        <v>334</v>
      </c>
      <c r="LDR105" s="33" t="s">
        <v>334</v>
      </c>
      <c r="LDS105" s="33" t="s">
        <v>334</v>
      </c>
      <c r="LDT105" s="33" t="s">
        <v>334</v>
      </c>
      <c r="LDU105" s="33" t="s">
        <v>334</v>
      </c>
      <c r="LDV105" s="33" t="s">
        <v>334</v>
      </c>
      <c r="LDW105" s="33" t="s">
        <v>334</v>
      </c>
      <c r="LDX105" s="33" t="s">
        <v>334</v>
      </c>
      <c r="LDY105" s="33" t="s">
        <v>334</v>
      </c>
      <c r="LDZ105" s="33" t="s">
        <v>334</v>
      </c>
      <c r="LEA105" s="33" t="s">
        <v>334</v>
      </c>
      <c r="LEB105" s="33" t="s">
        <v>334</v>
      </c>
      <c r="LEC105" s="33" t="s">
        <v>334</v>
      </c>
      <c r="LED105" s="33" t="s">
        <v>334</v>
      </c>
      <c r="LEE105" s="33" t="s">
        <v>334</v>
      </c>
      <c r="LEF105" s="33" t="s">
        <v>334</v>
      </c>
      <c r="LEG105" s="33" t="s">
        <v>334</v>
      </c>
      <c r="LEH105" s="33" t="s">
        <v>334</v>
      </c>
      <c r="LEI105" s="33" t="s">
        <v>334</v>
      </c>
      <c r="LEJ105" s="33" t="s">
        <v>334</v>
      </c>
      <c r="LEK105" s="33" t="s">
        <v>334</v>
      </c>
      <c r="LEL105" s="33" t="s">
        <v>334</v>
      </c>
      <c r="LEM105" s="33" t="s">
        <v>334</v>
      </c>
      <c r="LEN105" s="33" t="s">
        <v>334</v>
      </c>
      <c r="LEO105" s="33" t="s">
        <v>334</v>
      </c>
      <c r="LEP105" s="33" t="s">
        <v>334</v>
      </c>
      <c r="LEQ105" s="33" t="s">
        <v>334</v>
      </c>
      <c r="LER105" s="33" t="s">
        <v>334</v>
      </c>
      <c r="LES105" s="33" t="s">
        <v>334</v>
      </c>
      <c r="LET105" s="33" t="s">
        <v>334</v>
      </c>
      <c r="LEU105" s="33" t="s">
        <v>334</v>
      </c>
      <c r="LEV105" s="33" t="s">
        <v>334</v>
      </c>
      <c r="LEW105" s="33" t="s">
        <v>334</v>
      </c>
      <c r="LEX105" s="33" t="s">
        <v>334</v>
      </c>
      <c r="LEY105" s="33" t="s">
        <v>334</v>
      </c>
      <c r="LEZ105" s="33" t="s">
        <v>334</v>
      </c>
      <c r="LFA105" s="33" t="s">
        <v>334</v>
      </c>
      <c r="LFB105" s="33" t="s">
        <v>334</v>
      </c>
      <c r="LFC105" s="33" t="s">
        <v>334</v>
      </c>
      <c r="LFD105" s="33" t="s">
        <v>334</v>
      </c>
      <c r="LFE105" s="33" t="s">
        <v>334</v>
      </c>
      <c r="LFF105" s="33" t="s">
        <v>334</v>
      </c>
      <c r="LFG105" s="33" t="s">
        <v>334</v>
      </c>
      <c r="LFH105" s="33" t="s">
        <v>334</v>
      </c>
      <c r="LFI105" s="33" t="s">
        <v>334</v>
      </c>
      <c r="LFJ105" s="33" t="s">
        <v>334</v>
      </c>
      <c r="LFK105" s="33" t="s">
        <v>334</v>
      </c>
      <c r="LFL105" s="33" t="s">
        <v>334</v>
      </c>
      <c r="LFM105" s="33" t="s">
        <v>334</v>
      </c>
      <c r="LFN105" s="33" t="s">
        <v>334</v>
      </c>
      <c r="LFO105" s="33" t="s">
        <v>334</v>
      </c>
      <c r="LFP105" s="33" t="s">
        <v>334</v>
      </c>
      <c r="LFQ105" s="33" t="s">
        <v>334</v>
      </c>
      <c r="LFR105" s="33" t="s">
        <v>334</v>
      </c>
      <c r="LFS105" s="33" t="s">
        <v>334</v>
      </c>
      <c r="LFT105" s="33" t="s">
        <v>334</v>
      </c>
      <c r="LFU105" s="33" t="s">
        <v>334</v>
      </c>
      <c r="LFV105" s="33" t="s">
        <v>334</v>
      </c>
      <c r="LFW105" s="33" t="s">
        <v>334</v>
      </c>
      <c r="LFX105" s="33" t="s">
        <v>334</v>
      </c>
      <c r="LFY105" s="33" t="s">
        <v>334</v>
      </c>
      <c r="LFZ105" s="33" t="s">
        <v>334</v>
      </c>
      <c r="LGA105" s="33" t="s">
        <v>334</v>
      </c>
      <c r="LGB105" s="33" t="s">
        <v>334</v>
      </c>
      <c r="LGC105" s="33" t="s">
        <v>334</v>
      </c>
      <c r="LGD105" s="33" t="s">
        <v>334</v>
      </c>
      <c r="LGE105" s="33" t="s">
        <v>334</v>
      </c>
      <c r="LGF105" s="33" t="s">
        <v>334</v>
      </c>
      <c r="LGG105" s="33" t="s">
        <v>334</v>
      </c>
      <c r="LGH105" s="33" t="s">
        <v>334</v>
      </c>
      <c r="LGI105" s="33" t="s">
        <v>334</v>
      </c>
      <c r="LGJ105" s="33" t="s">
        <v>334</v>
      </c>
      <c r="LGK105" s="33" t="s">
        <v>334</v>
      </c>
      <c r="LGL105" s="33" t="s">
        <v>334</v>
      </c>
      <c r="LGM105" s="33" t="s">
        <v>334</v>
      </c>
      <c r="LGN105" s="33" t="s">
        <v>334</v>
      </c>
      <c r="LGO105" s="33" t="s">
        <v>334</v>
      </c>
      <c r="LGP105" s="33" t="s">
        <v>334</v>
      </c>
      <c r="LGQ105" s="33" t="s">
        <v>334</v>
      </c>
      <c r="LGR105" s="33" t="s">
        <v>334</v>
      </c>
      <c r="LGS105" s="33" t="s">
        <v>334</v>
      </c>
      <c r="LGT105" s="33" t="s">
        <v>334</v>
      </c>
      <c r="LGU105" s="33" t="s">
        <v>334</v>
      </c>
      <c r="LGV105" s="33" t="s">
        <v>334</v>
      </c>
      <c r="LGW105" s="33" t="s">
        <v>334</v>
      </c>
      <c r="LGX105" s="33" t="s">
        <v>334</v>
      </c>
      <c r="LGY105" s="33" t="s">
        <v>334</v>
      </c>
      <c r="LGZ105" s="33" t="s">
        <v>334</v>
      </c>
      <c r="LHA105" s="33" t="s">
        <v>334</v>
      </c>
      <c r="LHB105" s="33" t="s">
        <v>334</v>
      </c>
      <c r="LHC105" s="33" t="s">
        <v>334</v>
      </c>
      <c r="LHD105" s="33" t="s">
        <v>334</v>
      </c>
      <c r="LHE105" s="33" t="s">
        <v>334</v>
      </c>
      <c r="LHF105" s="33" t="s">
        <v>334</v>
      </c>
      <c r="LHG105" s="33" t="s">
        <v>334</v>
      </c>
      <c r="LHH105" s="33" t="s">
        <v>334</v>
      </c>
      <c r="LHI105" s="33" t="s">
        <v>334</v>
      </c>
      <c r="LHJ105" s="33" t="s">
        <v>334</v>
      </c>
      <c r="LHK105" s="33" t="s">
        <v>334</v>
      </c>
      <c r="LHL105" s="33" t="s">
        <v>334</v>
      </c>
      <c r="LHM105" s="33" t="s">
        <v>334</v>
      </c>
      <c r="LHN105" s="33" t="s">
        <v>334</v>
      </c>
      <c r="LHO105" s="33" t="s">
        <v>334</v>
      </c>
      <c r="LHP105" s="33" t="s">
        <v>334</v>
      </c>
      <c r="LHQ105" s="33" t="s">
        <v>334</v>
      </c>
      <c r="LHR105" s="33" t="s">
        <v>334</v>
      </c>
      <c r="LHS105" s="33" t="s">
        <v>334</v>
      </c>
      <c r="LHT105" s="33" t="s">
        <v>334</v>
      </c>
      <c r="LHU105" s="33" t="s">
        <v>334</v>
      </c>
      <c r="LHV105" s="33" t="s">
        <v>334</v>
      </c>
      <c r="LHW105" s="33" t="s">
        <v>334</v>
      </c>
      <c r="LHX105" s="33" t="s">
        <v>334</v>
      </c>
      <c r="LHY105" s="33" t="s">
        <v>334</v>
      </c>
      <c r="LHZ105" s="33" t="s">
        <v>334</v>
      </c>
      <c r="LIA105" s="33" t="s">
        <v>334</v>
      </c>
      <c r="LIB105" s="33" t="s">
        <v>334</v>
      </c>
      <c r="LIC105" s="33" t="s">
        <v>334</v>
      </c>
      <c r="LID105" s="33" t="s">
        <v>334</v>
      </c>
      <c r="LIE105" s="33" t="s">
        <v>334</v>
      </c>
      <c r="LIF105" s="33" t="s">
        <v>334</v>
      </c>
      <c r="LIG105" s="33" t="s">
        <v>334</v>
      </c>
      <c r="LIH105" s="33" t="s">
        <v>334</v>
      </c>
      <c r="LII105" s="33" t="s">
        <v>334</v>
      </c>
      <c r="LIJ105" s="33" t="s">
        <v>334</v>
      </c>
      <c r="LIK105" s="33" t="s">
        <v>334</v>
      </c>
      <c r="LIL105" s="33" t="s">
        <v>334</v>
      </c>
      <c r="LIM105" s="33" t="s">
        <v>334</v>
      </c>
      <c r="LIN105" s="33" t="s">
        <v>334</v>
      </c>
      <c r="LIO105" s="33" t="s">
        <v>334</v>
      </c>
      <c r="LIP105" s="33" t="s">
        <v>334</v>
      </c>
      <c r="LIQ105" s="33" t="s">
        <v>334</v>
      </c>
      <c r="LIR105" s="33" t="s">
        <v>334</v>
      </c>
      <c r="LIS105" s="33" t="s">
        <v>334</v>
      </c>
      <c r="LIT105" s="33" t="s">
        <v>334</v>
      </c>
      <c r="LIU105" s="33" t="s">
        <v>334</v>
      </c>
      <c r="LIV105" s="33" t="s">
        <v>334</v>
      </c>
      <c r="LIW105" s="33" t="s">
        <v>334</v>
      </c>
      <c r="LIX105" s="33" t="s">
        <v>334</v>
      </c>
      <c r="LIY105" s="33" t="s">
        <v>334</v>
      </c>
      <c r="LIZ105" s="33" t="s">
        <v>334</v>
      </c>
      <c r="LJA105" s="33" t="s">
        <v>334</v>
      </c>
      <c r="LJB105" s="33" t="s">
        <v>334</v>
      </c>
      <c r="LJC105" s="33" t="s">
        <v>334</v>
      </c>
      <c r="LJD105" s="33" t="s">
        <v>334</v>
      </c>
      <c r="LJE105" s="33" t="s">
        <v>334</v>
      </c>
      <c r="LJF105" s="33" t="s">
        <v>334</v>
      </c>
      <c r="LJG105" s="33" t="s">
        <v>334</v>
      </c>
      <c r="LJH105" s="33" t="s">
        <v>334</v>
      </c>
      <c r="LJI105" s="33" t="s">
        <v>334</v>
      </c>
      <c r="LJJ105" s="33" t="s">
        <v>334</v>
      </c>
      <c r="LJK105" s="33" t="s">
        <v>334</v>
      </c>
      <c r="LJL105" s="33" t="s">
        <v>334</v>
      </c>
      <c r="LJM105" s="33" t="s">
        <v>334</v>
      </c>
      <c r="LJN105" s="33" t="s">
        <v>334</v>
      </c>
      <c r="LJO105" s="33" t="s">
        <v>334</v>
      </c>
      <c r="LJP105" s="33" t="s">
        <v>334</v>
      </c>
      <c r="LJQ105" s="33" t="s">
        <v>334</v>
      </c>
      <c r="LJR105" s="33" t="s">
        <v>334</v>
      </c>
      <c r="LJS105" s="33" t="s">
        <v>334</v>
      </c>
      <c r="LJT105" s="33" t="s">
        <v>334</v>
      </c>
      <c r="LJU105" s="33" t="s">
        <v>334</v>
      </c>
      <c r="LJV105" s="33" t="s">
        <v>334</v>
      </c>
      <c r="LJW105" s="33" t="s">
        <v>334</v>
      </c>
      <c r="LJX105" s="33" t="s">
        <v>334</v>
      </c>
      <c r="LJY105" s="33" t="s">
        <v>334</v>
      </c>
      <c r="LJZ105" s="33" t="s">
        <v>334</v>
      </c>
      <c r="LKA105" s="33" t="s">
        <v>334</v>
      </c>
      <c r="LKB105" s="33" t="s">
        <v>334</v>
      </c>
      <c r="LKC105" s="33" t="s">
        <v>334</v>
      </c>
      <c r="LKD105" s="33" t="s">
        <v>334</v>
      </c>
      <c r="LKE105" s="33" t="s">
        <v>334</v>
      </c>
      <c r="LKF105" s="33" t="s">
        <v>334</v>
      </c>
      <c r="LKG105" s="33" t="s">
        <v>334</v>
      </c>
      <c r="LKH105" s="33" t="s">
        <v>334</v>
      </c>
      <c r="LKI105" s="33" t="s">
        <v>334</v>
      </c>
      <c r="LKJ105" s="33" t="s">
        <v>334</v>
      </c>
      <c r="LKK105" s="33" t="s">
        <v>334</v>
      </c>
      <c r="LKL105" s="33" t="s">
        <v>334</v>
      </c>
      <c r="LKM105" s="33" t="s">
        <v>334</v>
      </c>
      <c r="LKN105" s="33" t="s">
        <v>334</v>
      </c>
      <c r="LKO105" s="33" t="s">
        <v>334</v>
      </c>
      <c r="LKP105" s="33" t="s">
        <v>334</v>
      </c>
      <c r="LKQ105" s="33" t="s">
        <v>334</v>
      </c>
      <c r="LKR105" s="33" t="s">
        <v>334</v>
      </c>
      <c r="LKS105" s="33" t="s">
        <v>334</v>
      </c>
      <c r="LKT105" s="33" t="s">
        <v>334</v>
      </c>
      <c r="LKU105" s="33" t="s">
        <v>334</v>
      </c>
      <c r="LKV105" s="33" t="s">
        <v>334</v>
      </c>
      <c r="LKW105" s="33" t="s">
        <v>334</v>
      </c>
      <c r="LKX105" s="33" t="s">
        <v>334</v>
      </c>
      <c r="LKY105" s="33" t="s">
        <v>334</v>
      </c>
      <c r="LKZ105" s="33" t="s">
        <v>334</v>
      </c>
      <c r="LLA105" s="33" t="s">
        <v>334</v>
      </c>
      <c r="LLB105" s="33" t="s">
        <v>334</v>
      </c>
      <c r="LLC105" s="33" t="s">
        <v>334</v>
      </c>
      <c r="LLD105" s="33" t="s">
        <v>334</v>
      </c>
      <c r="LLE105" s="33" t="s">
        <v>334</v>
      </c>
      <c r="LLF105" s="33" t="s">
        <v>334</v>
      </c>
      <c r="LLG105" s="33" t="s">
        <v>334</v>
      </c>
      <c r="LLH105" s="33" t="s">
        <v>334</v>
      </c>
      <c r="LLI105" s="33" t="s">
        <v>334</v>
      </c>
      <c r="LLJ105" s="33" t="s">
        <v>334</v>
      </c>
      <c r="LLK105" s="33" t="s">
        <v>334</v>
      </c>
      <c r="LLL105" s="33" t="s">
        <v>334</v>
      </c>
      <c r="LLM105" s="33" t="s">
        <v>334</v>
      </c>
      <c r="LLN105" s="33" t="s">
        <v>334</v>
      </c>
      <c r="LLO105" s="33" t="s">
        <v>334</v>
      </c>
      <c r="LLP105" s="33" t="s">
        <v>334</v>
      </c>
      <c r="LLQ105" s="33" t="s">
        <v>334</v>
      </c>
      <c r="LLR105" s="33" t="s">
        <v>334</v>
      </c>
      <c r="LLS105" s="33" t="s">
        <v>334</v>
      </c>
      <c r="LLT105" s="33" t="s">
        <v>334</v>
      </c>
      <c r="LLU105" s="33" t="s">
        <v>334</v>
      </c>
      <c r="LLV105" s="33" t="s">
        <v>334</v>
      </c>
      <c r="LLW105" s="33" t="s">
        <v>334</v>
      </c>
      <c r="LLX105" s="33" t="s">
        <v>334</v>
      </c>
      <c r="LLY105" s="33" t="s">
        <v>334</v>
      </c>
      <c r="LLZ105" s="33" t="s">
        <v>334</v>
      </c>
      <c r="LMA105" s="33" t="s">
        <v>334</v>
      </c>
      <c r="LMB105" s="33" t="s">
        <v>334</v>
      </c>
      <c r="LMC105" s="33" t="s">
        <v>334</v>
      </c>
      <c r="LMD105" s="33" t="s">
        <v>334</v>
      </c>
      <c r="LME105" s="33" t="s">
        <v>334</v>
      </c>
      <c r="LMF105" s="33" t="s">
        <v>334</v>
      </c>
      <c r="LMG105" s="33" t="s">
        <v>334</v>
      </c>
      <c r="LMH105" s="33" t="s">
        <v>334</v>
      </c>
      <c r="LMI105" s="33" t="s">
        <v>334</v>
      </c>
      <c r="LMJ105" s="33" t="s">
        <v>334</v>
      </c>
      <c r="LMK105" s="33" t="s">
        <v>334</v>
      </c>
      <c r="LML105" s="33" t="s">
        <v>334</v>
      </c>
      <c r="LMM105" s="33" t="s">
        <v>334</v>
      </c>
      <c r="LMN105" s="33" t="s">
        <v>334</v>
      </c>
      <c r="LMO105" s="33" t="s">
        <v>334</v>
      </c>
      <c r="LMP105" s="33" t="s">
        <v>334</v>
      </c>
      <c r="LMQ105" s="33" t="s">
        <v>334</v>
      </c>
      <c r="LMR105" s="33" t="s">
        <v>334</v>
      </c>
      <c r="LMS105" s="33" t="s">
        <v>334</v>
      </c>
      <c r="LMT105" s="33" t="s">
        <v>334</v>
      </c>
      <c r="LMU105" s="33" t="s">
        <v>334</v>
      </c>
      <c r="LMV105" s="33" t="s">
        <v>334</v>
      </c>
      <c r="LMW105" s="33" t="s">
        <v>334</v>
      </c>
      <c r="LMX105" s="33" t="s">
        <v>334</v>
      </c>
      <c r="LMY105" s="33" t="s">
        <v>334</v>
      </c>
      <c r="LMZ105" s="33" t="s">
        <v>334</v>
      </c>
      <c r="LNA105" s="33" t="s">
        <v>334</v>
      </c>
      <c r="LNB105" s="33" t="s">
        <v>334</v>
      </c>
      <c r="LNC105" s="33" t="s">
        <v>334</v>
      </c>
      <c r="LND105" s="33" t="s">
        <v>334</v>
      </c>
      <c r="LNE105" s="33" t="s">
        <v>334</v>
      </c>
      <c r="LNF105" s="33" t="s">
        <v>334</v>
      </c>
      <c r="LNG105" s="33" t="s">
        <v>334</v>
      </c>
      <c r="LNH105" s="33" t="s">
        <v>334</v>
      </c>
      <c r="LNI105" s="33" t="s">
        <v>334</v>
      </c>
      <c r="LNJ105" s="33" t="s">
        <v>334</v>
      </c>
      <c r="LNK105" s="33" t="s">
        <v>334</v>
      </c>
      <c r="LNL105" s="33" t="s">
        <v>334</v>
      </c>
      <c r="LNM105" s="33" t="s">
        <v>334</v>
      </c>
      <c r="LNN105" s="33" t="s">
        <v>334</v>
      </c>
      <c r="LNO105" s="33" t="s">
        <v>334</v>
      </c>
      <c r="LNP105" s="33" t="s">
        <v>334</v>
      </c>
      <c r="LNQ105" s="33" t="s">
        <v>334</v>
      </c>
      <c r="LNR105" s="33" t="s">
        <v>334</v>
      </c>
      <c r="LNS105" s="33" t="s">
        <v>334</v>
      </c>
      <c r="LNT105" s="33" t="s">
        <v>334</v>
      </c>
      <c r="LNU105" s="33" t="s">
        <v>334</v>
      </c>
      <c r="LNV105" s="33" t="s">
        <v>334</v>
      </c>
      <c r="LNW105" s="33" t="s">
        <v>334</v>
      </c>
      <c r="LNX105" s="33" t="s">
        <v>334</v>
      </c>
      <c r="LNY105" s="33" t="s">
        <v>334</v>
      </c>
      <c r="LNZ105" s="33" t="s">
        <v>334</v>
      </c>
      <c r="LOA105" s="33" t="s">
        <v>334</v>
      </c>
      <c r="LOB105" s="33" t="s">
        <v>334</v>
      </c>
      <c r="LOC105" s="33" t="s">
        <v>334</v>
      </c>
      <c r="LOD105" s="33" t="s">
        <v>334</v>
      </c>
      <c r="LOE105" s="33" t="s">
        <v>334</v>
      </c>
      <c r="LOF105" s="33" t="s">
        <v>334</v>
      </c>
      <c r="LOG105" s="33" t="s">
        <v>334</v>
      </c>
      <c r="LOH105" s="33" t="s">
        <v>334</v>
      </c>
      <c r="LOI105" s="33" t="s">
        <v>334</v>
      </c>
      <c r="LOJ105" s="33" t="s">
        <v>334</v>
      </c>
      <c r="LOK105" s="33" t="s">
        <v>334</v>
      </c>
      <c r="LOL105" s="33" t="s">
        <v>334</v>
      </c>
      <c r="LOM105" s="33" t="s">
        <v>334</v>
      </c>
      <c r="LON105" s="33" t="s">
        <v>334</v>
      </c>
      <c r="LOO105" s="33" t="s">
        <v>334</v>
      </c>
      <c r="LOP105" s="33" t="s">
        <v>334</v>
      </c>
      <c r="LOQ105" s="33" t="s">
        <v>334</v>
      </c>
      <c r="LOR105" s="33" t="s">
        <v>334</v>
      </c>
      <c r="LOS105" s="33" t="s">
        <v>334</v>
      </c>
      <c r="LOT105" s="33" t="s">
        <v>334</v>
      </c>
      <c r="LOU105" s="33" t="s">
        <v>334</v>
      </c>
      <c r="LOV105" s="33" t="s">
        <v>334</v>
      </c>
      <c r="LOW105" s="33" t="s">
        <v>334</v>
      </c>
      <c r="LOX105" s="33" t="s">
        <v>334</v>
      </c>
      <c r="LOY105" s="33" t="s">
        <v>334</v>
      </c>
      <c r="LOZ105" s="33" t="s">
        <v>334</v>
      </c>
      <c r="LPA105" s="33" t="s">
        <v>334</v>
      </c>
      <c r="LPB105" s="33" t="s">
        <v>334</v>
      </c>
      <c r="LPC105" s="33" t="s">
        <v>334</v>
      </c>
      <c r="LPD105" s="33" t="s">
        <v>334</v>
      </c>
      <c r="LPE105" s="33" t="s">
        <v>334</v>
      </c>
      <c r="LPF105" s="33" t="s">
        <v>334</v>
      </c>
      <c r="LPG105" s="33" t="s">
        <v>334</v>
      </c>
      <c r="LPH105" s="33" t="s">
        <v>334</v>
      </c>
      <c r="LPI105" s="33" t="s">
        <v>334</v>
      </c>
      <c r="LPJ105" s="33" t="s">
        <v>334</v>
      </c>
      <c r="LPK105" s="33" t="s">
        <v>334</v>
      </c>
      <c r="LPL105" s="33" t="s">
        <v>334</v>
      </c>
      <c r="LPM105" s="33" t="s">
        <v>334</v>
      </c>
      <c r="LPN105" s="33" t="s">
        <v>334</v>
      </c>
      <c r="LPO105" s="33" t="s">
        <v>334</v>
      </c>
      <c r="LPP105" s="33" t="s">
        <v>334</v>
      </c>
      <c r="LPQ105" s="33" t="s">
        <v>334</v>
      </c>
      <c r="LPR105" s="33" t="s">
        <v>334</v>
      </c>
      <c r="LPS105" s="33" t="s">
        <v>334</v>
      </c>
      <c r="LPT105" s="33" t="s">
        <v>334</v>
      </c>
      <c r="LPU105" s="33" t="s">
        <v>334</v>
      </c>
      <c r="LPV105" s="33" t="s">
        <v>334</v>
      </c>
      <c r="LPW105" s="33" t="s">
        <v>334</v>
      </c>
      <c r="LPX105" s="33" t="s">
        <v>334</v>
      </c>
      <c r="LPY105" s="33" t="s">
        <v>334</v>
      </c>
      <c r="LPZ105" s="33" t="s">
        <v>334</v>
      </c>
      <c r="LQA105" s="33" t="s">
        <v>334</v>
      </c>
      <c r="LQB105" s="33" t="s">
        <v>334</v>
      </c>
      <c r="LQC105" s="33" t="s">
        <v>334</v>
      </c>
      <c r="LQD105" s="33" t="s">
        <v>334</v>
      </c>
      <c r="LQE105" s="33" t="s">
        <v>334</v>
      </c>
      <c r="LQF105" s="33" t="s">
        <v>334</v>
      </c>
      <c r="LQG105" s="33" t="s">
        <v>334</v>
      </c>
      <c r="LQH105" s="33" t="s">
        <v>334</v>
      </c>
      <c r="LQI105" s="33" t="s">
        <v>334</v>
      </c>
      <c r="LQJ105" s="33" t="s">
        <v>334</v>
      </c>
      <c r="LQK105" s="33" t="s">
        <v>334</v>
      </c>
      <c r="LQL105" s="33" t="s">
        <v>334</v>
      </c>
      <c r="LQM105" s="33" t="s">
        <v>334</v>
      </c>
      <c r="LQN105" s="33" t="s">
        <v>334</v>
      </c>
      <c r="LQO105" s="33" t="s">
        <v>334</v>
      </c>
      <c r="LQP105" s="33" t="s">
        <v>334</v>
      </c>
      <c r="LQQ105" s="33" t="s">
        <v>334</v>
      </c>
      <c r="LQR105" s="33" t="s">
        <v>334</v>
      </c>
      <c r="LQS105" s="33" t="s">
        <v>334</v>
      </c>
      <c r="LQT105" s="33" t="s">
        <v>334</v>
      </c>
      <c r="LQU105" s="33" t="s">
        <v>334</v>
      </c>
      <c r="LQV105" s="33" t="s">
        <v>334</v>
      </c>
      <c r="LQW105" s="33" t="s">
        <v>334</v>
      </c>
      <c r="LQX105" s="33" t="s">
        <v>334</v>
      </c>
      <c r="LQY105" s="33" t="s">
        <v>334</v>
      </c>
      <c r="LQZ105" s="33" t="s">
        <v>334</v>
      </c>
      <c r="LRA105" s="33" t="s">
        <v>334</v>
      </c>
      <c r="LRB105" s="33" t="s">
        <v>334</v>
      </c>
      <c r="LRC105" s="33" t="s">
        <v>334</v>
      </c>
      <c r="LRD105" s="33" t="s">
        <v>334</v>
      </c>
      <c r="LRE105" s="33" t="s">
        <v>334</v>
      </c>
      <c r="LRF105" s="33" t="s">
        <v>334</v>
      </c>
      <c r="LRG105" s="33" t="s">
        <v>334</v>
      </c>
      <c r="LRH105" s="33" t="s">
        <v>334</v>
      </c>
      <c r="LRI105" s="33" t="s">
        <v>334</v>
      </c>
      <c r="LRJ105" s="33" t="s">
        <v>334</v>
      </c>
      <c r="LRK105" s="33" t="s">
        <v>334</v>
      </c>
      <c r="LRL105" s="33" t="s">
        <v>334</v>
      </c>
      <c r="LRM105" s="33" t="s">
        <v>334</v>
      </c>
      <c r="LRN105" s="33" t="s">
        <v>334</v>
      </c>
      <c r="LRO105" s="33" t="s">
        <v>334</v>
      </c>
      <c r="LRP105" s="33" t="s">
        <v>334</v>
      </c>
      <c r="LRQ105" s="33" t="s">
        <v>334</v>
      </c>
      <c r="LRR105" s="33" t="s">
        <v>334</v>
      </c>
      <c r="LRS105" s="33" t="s">
        <v>334</v>
      </c>
      <c r="LRT105" s="33" t="s">
        <v>334</v>
      </c>
      <c r="LRU105" s="33" t="s">
        <v>334</v>
      </c>
      <c r="LRV105" s="33" t="s">
        <v>334</v>
      </c>
      <c r="LRW105" s="33" t="s">
        <v>334</v>
      </c>
      <c r="LRX105" s="33" t="s">
        <v>334</v>
      </c>
      <c r="LRY105" s="33" t="s">
        <v>334</v>
      </c>
      <c r="LRZ105" s="33" t="s">
        <v>334</v>
      </c>
      <c r="LSA105" s="33" t="s">
        <v>334</v>
      </c>
      <c r="LSB105" s="33" t="s">
        <v>334</v>
      </c>
      <c r="LSC105" s="33" t="s">
        <v>334</v>
      </c>
      <c r="LSD105" s="33" t="s">
        <v>334</v>
      </c>
      <c r="LSE105" s="33" t="s">
        <v>334</v>
      </c>
      <c r="LSF105" s="33" t="s">
        <v>334</v>
      </c>
      <c r="LSG105" s="33" t="s">
        <v>334</v>
      </c>
      <c r="LSH105" s="33" t="s">
        <v>334</v>
      </c>
      <c r="LSI105" s="33" t="s">
        <v>334</v>
      </c>
      <c r="LSJ105" s="33" t="s">
        <v>334</v>
      </c>
      <c r="LSK105" s="33" t="s">
        <v>334</v>
      </c>
      <c r="LSL105" s="33" t="s">
        <v>334</v>
      </c>
      <c r="LSM105" s="33" t="s">
        <v>334</v>
      </c>
      <c r="LSN105" s="33" t="s">
        <v>334</v>
      </c>
      <c r="LSO105" s="33" t="s">
        <v>334</v>
      </c>
      <c r="LSP105" s="33" t="s">
        <v>334</v>
      </c>
      <c r="LSQ105" s="33" t="s">
        <v>334</v>
      </c>
      <c r="LSR105" s="33" t="s">
        <v>334</v>
      </c>
      <c r="LSS105" s="33" t="s">
        <v>334</v>
      </c>
      <c r="LST105" s="33" t="s">
        <v>334</v>
      </c>
      <c r="LSU105" s="33" t="s">
        <v>334</v>
      </c>
      <c r="LSV105" s="33" t="s">
        <v>334</v>
      </c>
      <c r="LSW105" s="33" t="s">
        <v>334</v>
      </c>
      <c r="LSX105" s="33" t="s">
        <v>334</v>
      </c>
      <c r="LSY105" s="33" t="s">
        <v>334</v>
      </c>
      <c r="LSZ105" s="33" t="s">
        <v>334</v>
      </c>
      <c r="LTA105" s="33" t="s">
        <v>334</v>
      </c>
      <c r="LTB105" s="33" t="s">
        <v>334</v>
      </c>
      <c r="LTC105" s="33" t="s">
        <v>334</v>
      </c>
      <c r="LTD105" s="33" t="s">
        <v>334</v>
      </c>
      <c r="LTE105" s="33" t="s">
        <v>334</v>
      </c>
      <c r="LTF105" s="33" t="s">
        <v>334</v>
      </c>
      <c r="LTG105" s="33" t="s">
        <v>334</v>
      </c>
      <c r="LTH105" s="33" t="s">
        <v>334</v>
      </c>
      <c r="LTI105" s="33" t="s">
        <v>334</v>
      </c>
      <c r="LTJ105" s="33" t="s">
        <v>334</v>
      </c>
      <c r="LTK105" s="33" t="s">
        <v>334</v>
      </c>
      <c r="LTL105" s="33" t="s">
        <v>334</v>
      </c>
      <c r="LTM105" s="33" t="s">
        <v>334</v>
      </c>
      <c r="LTN105" s="33" t="s">
        <v>334</v>
      </c>
      <c r="LTO105" s="33" t="s">
        <v>334</v>
      </c>
      <c r="LTP105" s="33" t="s">
        <v>334</v>
      </c>
      <c r="LTQ105" s="33" t="s">
        <v>334</v>
      </c>
      <c r="LTR105" s="33" t="s">
        <v>334</v>
      </c>
      <c r="LTS105" s="33" t="s">
        <v>334</v>
      </c>
      <c r="LTT105" s="33" t="s">
        <v>334</v>
      </c>
      <c r="LTU105" s="33" t="s">
        <v>334</v>
      </c>
      <c r="LTV105" s="33" t="s">
        <v>334</v>
      </c>
      <c r="LTW105" s="33" t="s">
        <v>334</v>
      </c>
      <c r="LTX105" s="33" t="s">
        <v>334</v>
      </c>
      <c r="LTY105" s="33" t="s">
        <v>334</v>
      </c>
      <c r="LTZ105" s="33" t="s">
        <v>334</v>
      </c>
      <c r="LUA105" s="33" t="s">
        <v>334</v>
      </c>
      <c r="LUB105" s="33" t="s">
        <v>334</v>
      </c>
      <c r="LUC105" s="33" t="s">
        <v>334</v>
      </c>
      <c r="LUD105" s="33" t="s">
        <v>334</v>
      </c>
      <c r="LUE105" s="33" t="s">
        <v>334</v>
      </c>
      <c r="LUF105" s="33" t="s">
        <v>334</v>
      </c>
      <c r="LUG105" s="33" t="s">
        <v>334</v>
      </c>
      <c r="LUH105" s="33" t="s">
        <v>334</v>
      </c>
      <c r="LUI105" s="33" t="s">
        <v>334</v>
      </c>
      <c r="LUJ105" s="33" t="s">
        <v>334</v>
      </c>
      <c r="LUK105" s="33" t="s">
        <v>334</v>
      </c>
      <c r="LUL105" s="33" t="s">
        <v>334</v>
      </c>
      <c r="LUM105" s="33" t="s">
        <v>334</v>
      </c>
      <c r="LUN105" s="33" t="s">
        <v>334</v>
      </c>
      <c r="LUO105" s="33" t="s">
        <v>334</v>
      </c>
      <c r="LUP105" s="33" t="s">
        <v>334</v>
      </c>
      <c r="LUQ105" s="33" t="s">
        <v>334</v>
      </c>
      <c r="LUR105" s="33" t="s">
        <v>334</v>
      </c>
      <c r="LUS105" s="33" t="s">
        <v>334</v>
      </c>
      <c r="LUT105" s="33" t="s">
        <v>334</v>
      </c>
      <c r="LUU105" s="33" t="s">
        <v>334</v>
      </c>
      <c r="LUV105" s="33" t="s">
        <v>334</v>
      </c>
      <c r="LUW105" s="33" t="s">
        <v>334</v>
      </c>
      <c r="LUX105" s="33" t="s">
        <v>334</v>
      </c>
      <c r="LUY105" s="33" t="s">
        <v>334</v>
      </c>
      <c r="LUZ105" s="33" t="s">
        <v>334</v>
      </c>
      <c r="LVA105" s="33" t="s">
        <v>334</v>
      </c>
      <c r="LVB105" s="33" t="s">
        <v>334</v>
      </c>
      <c r="LVC105" s="33" t="s">
        <v>334</v>
      </c>
      <c r="LVD105" s="33" t="s">
        <v>334</v>
      </c>
      <c r="LVE105" s="33" t="s">
        <v>334</v>
      </c>
      <c r="LVF105" s="33" t="s">
        <v>334</v>
      </c>
      <c r="LVG105" s="33" t="s">
        <v>334</v>
      </c>
      <c r="LVH105" s="33" t="s">
        <v>334</v>
      </c>
      <c r="LVI105" s="33" t="s">
        <v>334</v>
      </c>
      <c r="LVJ105" s="33" t="s">
        <v>334</v>
      </c>
      <c r="LVK105" s="33" t="s">
        <v>334</v>
      </c>
      <c r="LVL105" s="33" t="s">
        <v>334</v>
      </c>
      <c r="LVM105" s="33" t="s">
        <v>334</v>
      </c>
      <c r="LVN105" s="33" t="s">
        <v>334</v>
      </c>
      <c r="LVO105" s="33" t="s">
        <v>334</v>
      </c>
      <c r="LVP105" s="33" t="s">
        <v>334</v>
      </c>
      <c r="LVQ105" s="33" t="s">
        <v>334</v>
      </c>
      <c r="LVR105" s="33" t="s">
        <v>334</v>
      </c>
      <c r="LVS105" s="33" t="s">
        <v>334</v>
      </c>
      <c r="LVT105" s="33" t="s">
        <v>334</v>
      </c>
      <c r="LVU105" s="33" t="s">
        <v>334</v>
      </c>
      <c r="LVV105" s="33" t="s">
        <v>334</v>
      </c>
      <c r="LVW105" s="33" t="s">
        <v>334</v>
      </c>
      <c r="LVX105" s="33" t="s">
        <v>334</v>
      </c>
      <c r="LVY105" s="33" t="s">
        <v>334</v>
      </c>
      <c r="LVZ105" s="33" t="s">
        <v>334</v>
      </c>
      <c r="LWA105" s="33" t="s">
        <v>334</v>
      </c>
      <c r="LWB105" s="33" t="s">
        <v>334</v>
      </c>
      <c r="LWC105" s="33" t="s">
        <v>334</v>
      </c>
      <c r="LWD105" s="33" t="s">
        <v>334</v>
      </c>
      <c r="LWE105" s="33" t="s">
        <v>334</v>
      </c>
      <c r="LWF105" s="33" t="s">
        <v>334</v>
      </c>
      <c r="LWG105" s="33" t="s">
        <v>334</v>
      </c>
      <c r="LWH105" s="33" t="s">
        <v>334</v>
      </c>
      <c r="LWI105" s="33" t="s">
        <v>334</v>
      </c>
      <c r="LWJ105" s="33" t="s">
        <v>334</v>
      </c>
      <c r="LWK105" s="33" t="s">
        <v>334</v>
      </c>
      <c r="LWL105" s="33" t="s">
        <v>334</v>
      </c>
      <c r="LWM105" s="33" t="s">
        <v>334</v>
      </c>
      <c r="LWN105" s="33" t="s">
        <v>334</v>
      </c>
      <c r="LWO105" s="33" t="s">
        <v>334</v>
      </c>
      <c r="LWP105" s="33" t="s">
        <v>334</v>
      </c>
      <c r="LWQ105" s="33" t="s">
        <v>334</v>
      </c>
      <c r="LWR105" s="33" t="s">
        <v>334</v>
      </c>
      <c r="LWS105" s="33" t="s">
        <v>334</v>
      </c>
      <c r="LWT105" s="33" t="s">
        <v>334</v>
      </c>
      <c r="LWU105" s="33" t="s">
        <v>334</v>
      </c>
      <c r="LWV105" s="33" t="s">
        <v>334</v>
      </c>
      <c r="LWW105" s="33" t="s">
        <v>334</v>
      </c>
      <c r="LWX105" s="33" t="s">
        <v>334</v>
      </c>
      <c r="LWY105" s="33" t="s">
        <v>334</v>
      </c>
      <c r="LWZ105" s="33" t="s">
        <v>334</v>
      </c>
      <c r="LXA105" s="33" t="s">
        <v>334</v>
      </c>
      <c r="LXB105" s="33" t="s">
        <v>334</v>
      </c>
      <c r="LXC105" s="33" t="s">
        <v>334</v>
      </c>
      <c r="LXD105" s="33" t="s">
        <v>334</v>
      </c>
      <c r="LXE105" s="33" t="s">
        <v>334</v>
      </c>
      <c r="LXF105" s="33" t="s">
        <v>334</v>
      </c>
      <c r="LXG105" s="33" t="s">
        <v>334</v>
      </c>
      <c r="LXH105" s="33" t="s">
        <v>334</v>
      </c>
      <c r="LXI105" s="33" t="s">
        <v>334</v>
      </c>
      <c r="LXJ105" s="33" t="s">
        <v>334</v>
      </c>
      <c r="LXK105" s="33" t="s">
        <v>334</v>
      </c>
      <c r="LXL105" s="33" t="s">
        <v>334</v>
      </c>
      <c r="LXM105" s="33" t="s">
        <v>334</v>
      </c>
      <c r="LXN105" s="33" t="s">
        <v>334</v>
      </c>
      <c r="LXO105" s="33" t="s">
        <v>334</v>
      </c>
      <c r="LXP105" s="33" t="s">
        <v>334</v>
      </c>
      <c r="LXQ105" s="33" t="s">
        <v>334</v>
      </c>
      <c r="LXR105" s="33" t="s">
        <v>334</v>
      </c>
      <c r="LXS105" s="33" t="s">
        <v>334</v>
      </c>
      <c r="LXT105" s="33" t="s">
        <v>334</v>
      </c>
      <c r="LXU105" s="33" t="s">
        <v>334</v>
      </c>
      <c r="LXV105" s="33" t="s">
        <v>334</v>
      </c>
      <c r="LXW105" s="33" t="s">
        <v>334</v>
      </c>
      <c r="LXX105" s="33" t="s">
        <v>334</v>
      </c>
      <c r="LXY105" s="33" t="s">
        <v>334</v>
      </c>
      <c r="LXZ105" s="33" t="s">
        <v>334</v>
      </c>
      <c r="LYA105" s="33" t="s">
        <v>334</v>
      </c>
      <c r="LYB105" s="33" t="s">
        <v>334</v>
      </c>
      <c r="LYC105" s="33" t="s">
        <v>334</v>
      </c>
      <c r="LYD105" s="33" t="s">
        <v>334</v>
      </c>
      <c r="LYE105" s="33" t="s">
        <v>334</v>
      </c>
      <c r="LYF105" s="33" t="s">
        <v>334</v>
      </c>
      <c r="LYG105" s="33" t="s">
        <v>334</v>
      </c>
      <c r="LYH105" s="33" t="s">
        <v>334</v>
      </c>
      <c r="LYI105" s="33" t="s">
        <v>334</v>
      </c>
      <c r="LYJ105" s="33" t="s">
        <v>334</v>
      </c>
      <c r="LYK105" s="33" t="s">
        <v>334</v>
      </c>
      <c r="LYL105" s="33" t="s">
        <v>334</v>
      </c>
      <c r="LYM105" s="33" t="s">
        <v>334</v>
      </c>
      <c r="LYN105" s="33" t="s">
        <v>334</v>
      </c>
      <c r="LYO105" s="33" t="s">
        <v>334</v>
      </c>
      <c r="LYP105" s="33" t="s">
        <v>334</v>
      </c>
      <c r="LYQ105" s="33" t="s">
        <v>334</v>
      </c>
      <c r="LYR105" s="33" t="s">
        <v>334</v>
      </c>
      <c r="LYS105" s="33" t="s">
        <v>334</v>
      </c>
      <c r="LYT105" s="33" t="s">
        <v>334</v>
      </c>
      <c r="LYU105" s="33" t="s">
        <v>334</v>
      </c>
      <c r="LYV105" s="33" t="s">
        <v>334</v>
      </c>
      <c r="LYW105" s="33" t="s">
        <v>334</v>
      </c>
      <c r="LYX105" s="33" t="s">
        <v>334</v>
      </c>
      <c r="LYY105" s="33" t="s">
        <v>334</v>
      </c>
      <c r="LYZ105" s="33" t="s">
        <v>334</v>
      </c>
      <c r="LZA105" s="33" t="s">
        <v>334</v>
      </c>
      <c r="LZB105" s="33" t="s">
        <v>334</v>
      </c>
      <c r="LZC105" s="33" t="s">
        <v>334</v>
      </c>
      <c r="LZD105" s="33" t="s">
        <v>334</v>
      </c>
      <c r="LZE105" s="33" t="s">
        <v>334</v>
      </c>
      <c r="LZF105" s="33" t="s">
        <v>334</v>
      </c>
      <c r="LZG105" s="33" t="s">
        <v>334</v>
      </c>
      <c r="LZH105" s="33" t="s">
        <v>334</v>
      </c>
      <c r="LZI105" s="33" t="s">
        <v>334</v>
      </c>
      <c r="LZJ105" s="33" t="s">
        <v>334</v>
      </c>
      <c r="LZK105" s="33" t="s">
        <v>334</v>
      </c>
      <c r="LZL105" s="33" t="s">
        <v>334</v>
      </c>
      <c r="LZM105" s="33" t="s">
        <v>334</v>
      </c>
      <c r="LZN105" s="33" t="s">
        <v>334</v>
      </c>
      <c r="LZO105" s="33" t="s">
        <v>334</v>
      </c>
      <c r="LZP105" s="33" t="s">
        <v>334</v>
      </c>
      <c r="LZQ105" s="33" t="s">
        <v>334</v>
      </c>
      <c r="LZR105" s="33" t="s">
        <v>334</v>
      </c>
      <c r="LZS105" s="33" t="s">
        <v>334</v>
      </c>
      <c r="LZT105" s="33" t="s">
        <v>334</v>
      </c>
      <c r="LZU105" s="33" t="s">
        <v>334</v>
      </c>
      <c r="LZV105" s="33" t="s">
        <v>334</v>
      </c>
      <c r="LZW105" s="33" t="s">
        <v>334</v>
      </c>
      <c r="LZX105" s="33" t="s">
        <v>334</v>
      </c>
      <c r="LZY105" s="33" t="s">
        <v>334</v>
      </c>
      <c r="LZZ105" s="33" t="s">
        <v>334</v>
      </c>
      <c r="MAA105" s="33" t="s">
        <v>334</v>
      </c>
      <c r="MAB105" s="33" t="s">
        <v>334</v>
      </c>
      <c r="MAC105" s="33" t="s">
        <v>334</v>
      </c>
      <c r="MAD105" s="33" t="s">
        <v>334</v>
      </c>
      <c r="MAE105" s="33" t="s">
        <v>334</v>
      </c>
      <c r="MAF105" s="33" t="s">
        <v>334</v>
      </c>
      <c r="MAG105" s="33" t="s">
        <v>334</v>
      </c>
      <c r="MAH105" s="33" t="s">
        <v>334</v>
      </c>
      <c r="MAI105" s="33" t="s">
        <v>334</v>
      </c>
      <c r="MAJ105" s="33" t="s">
        <v>334</v>
      </c>
      <c r="MAK105" s="33" t="s">
        <v>334</v>
      </c>
      <c r="MAL105" s="33" t="s">
        <v>334</v>
      </c>
      <c r="MAM105" s="33" t="s">
        <v>334</v>
      </c>
      <c r="MAN105" s="33" t="s">
        <v>334</v>
      </c>
      <c r="MAO105" s="33" t="s">
        <v>334</v>
      </c>
      <c r="MAP105" s="33" t="s">
        <v>334</v>
      </c>
      <c r="MAQ105" s="33" t="s">
        <v>334</v>
      </c>
      <c r="MAR105" s="33" t="s">
        <v>334</v>
      </c>
      <c r="MAS105" s="33" t="s">
        <v>334</v>
      </c>
      <c r="MAT105" s="33" t="s">
        <v>334</v>
      </c>
      <c r="MAU105" s="33" t="s">
        <v>334</v>
      </c>
      <c r="MAV105" s="33" t="s">
        <v>334</v>
      </c>
      <c r="MAW105" s="33" t="s">
        <v>334</v>
      </c>
      <c r="MAX105" s="33" t="s">
        <v>334</v>
      </c>
      <c r="MAY105" s="33" t="s">
        <v>334</v>
      </c>
      <c r="MAZ105" s="33" t="s">
        <v>334</v>
      </c>
      <c r="MBA105" s="33" t="s">
        <v>334</v>
      </c>
      <c r="MBB105" s="33" t="s">
        <v>334</v>
      </c>
      <c r="MBC105" s="33" t="s">
        <v>334</v>
      </c>
      <c r="MBD105" s="33" t="s">
        <v>334</v>
      </c>
      <c r="MBE105" s="33" t="s">
        <v>334</v>
      </c>
      <c r="MBF105" s="33" t="s">
        <v>334</v>
      </c>
      <c r="MBG105" s="33" t="s">
        <v>334</v>
      </c>
      <c r="MBH105" s="33" t="s">
        <v>334</v>
      </c>
      <c r="MBI105" s="33" t="s">
        <v>334</v>
      </c>
      <c r="MBJ105" s="33" t="s">
        <v>334</v>
      </c>
      <c r="MBK105" s="33" t="s">
        <v>334</v>
      </c>
      <c r="MBL105" s="33" t="s">
        <v>334</v>
      </c>
      <c r="MBM105" s="33" t="s">
        <v>334</v>
      </c>
      <c r="MBN105" s="33" t="s">
        <v>334</v>
      </c>
      <c r="MBO105" s="33" t="s">
        <v>334</v>
      </c>
      <c r="MBP105" s="33" t="s">
        <v>334</v>
      </c>
      <c r="MBQ105" s="33" t="s">
        <v>334</v>
      </c>
      <c r="MBR105" s="33" t="s">
        <v>334</v>
      </c>
      <c r="MBS105" s="33" t="s">
        <v>334</v>
      </c>
      <c r="MBT105" s="33" t="s">
        <v>334</v>
      </c>
      <c r="MBU105" s="33" t="s">
        <v>334</v>
      </c>
      <c r="MBV105" s="33" t="s">
        <v>334</v>
      </c>
      <c r="MBW105" s="33" t="s">
        <v>334</v>
      </c>
      <c r="MBX105" s="33" t="s">
        <v>334</v>
      </c>
      <c r="MBY105" s="33" t="s">
        <v>334</v>
      </c>
      <c r="MBZ105" s="33" t="s">
        <v>334</v>
      </c>
      <c r="MCA105" s="33" t="s">
        <v>334</v>
      </c>
      <c r="MCB105" s="33" t="s">
        <v>334</v>
      </c>
      <c r="MCC105" s="33" t="s">
        <v>334</v>
      </c>
      <c r="MCD105" s="33" t="s">
        <v>334</v>
      </c>
      <c r="MCE105" s="33" t="s">
        <v>334</v>
      </c>
      <c r="MCF105" s="33" t="s">
        <v>334</v>
      </c>
      <c r="MCG105" s="33" t="s">
        <v>334</v>
      </c>
      <c r="MCH105" s="33" t="s">
        <v>334</v>
      </c>
      <c r="MCI105" s="33" t="s">
        <v>334</v>
      </c>
      <c r="MCJ105" s="33" t="s">
        <v>334</v>
      </c>
      <c r="MCK105" s="33" t="s">
        <v>334</v>
      </c>
      <c r="MCL105" s="33" t="s">
        <v>334</v>
      </c>
      <c r="MCM105" s="33" t="s">
        <v>334</v>
      </c>
      <c r="MCN105" s="33" t="s">
        <v>334</v>
      </c>
      <c r="MCO105" s="33" t="s">
        <v>334</v>
      </c>
      <c r="MCP105" s="33" t="s">
        <v>334</v>
      </c>
      <c r="MCQ105" s="33" t="s">
        <v>334</v>
      </c>
      <c r="MCR105" s="33" t="s">
        <v>334</v>
      </c>
      <c r="MCS105" s="33" t="s">
        <v>334</v>
      </c>
      <c r="MCT105" s="33" t="s">
        <v>334</v>
      </c>
      <c r="MCU105" s="33" t="s">
        <v>334</v>
      </c>
      <c r="MCV105" s="33" t="s">
        <v>334</v>
      </c>
      <c r="MCW105" s="33" t="s">
        <v>334</v>
      </c>
      <c r="MCX105" s="33" t="s">
        <v>334</v>
      </c>
      <c r="MCY105" s="33" t="s">
        <v>334</v>
      </c>
      <c r="MCZ105" s="33" t="s">
        <v>334</v>
      </c>
      <c r="MDA105" s="33" t="s">
        <v>334</v>
      </c>
      <c r="MDB105" s="33" t="s">
        <v>334</v>
      </c>
      <c r="MDC105" s="33" t="s">
        <v>334</v>
      </c>
      <c r="MDD105" s="33" t="s">
        <v>334</v>
      </c>
      <c r="MDE105" s="33" t="s">
        <v>334</v>
      </c>
      <c r="MDF105" s="33" t="s">
        <v>334</v>
      </c>
      <c r="MDG105" s="33" t="s">
        <v>334</v>
      </c>
      <c r="MDH105" s="33" t="s">
        <v>334</v>
      </c>
      <c r="MDI105" s="33" t="s">
        <v>334</v>
      </c>
      <c r="MDJ105" s="33" t="s">
        <v>334</v>
      </c>
      <c r="MDK105" s="33" t="s">
        <v>334</v>
      </c>
      <c r="MDL105" s="33" t="s">
        <v>334</v>
      </c>
      <c r="MDM105" s="33" t="s">
        <v>334</v>
      </c>
      <c r="MDN105" s="33" t="s">
        <v>334</v>
      </c>
      <c r="MDO105" s="33" t="s">
        <v>334</v>
      </c>
      <c r="MDP105" s="33" t="s">
        <v>334</v>
      </c>
      <c r="MDQ105" s="33" t="s">
        <v>334</v>
      </c>
      <c r="MDR105" s="33" t="s">
        <v>334</v>
      </c>
      <c r="MDS105" s="33" t="s">
        <v>334</v>
      </c>
      <c r="MDT105" s="33" t="s">
        <v>334</v>
      </c>
      <c r="MDU105" s="33" t="s">
        <v>334</v>
      </c>
      <c r="MDV105" s="33" t="s">
        <v>334</v>
      </c>
      <c r="MDW105" s="33" t="s">
        <v>334</v>
      </c>
      <c r="MDX105" s="33" t="s">
        <v>334</v>
      </c>
      <c r="MDY105" s="33" t="s">
        <v>334</v>
      </c>
      <c r="MDZ105" s="33" t="s">
        <v>334</v>
      </c>
      <c r="MEA105" s="33" t="s">
        <v>334</v>
      </c>
      <c r="MEB105" s="33" t="s">
        <v>334</v>
      </c>
      <c r="MEC105" s="33" t="s">
        <v>334</v>
      </c>
      <c r="MED105" s="33" t="s">
        <v>334</v>
      </c>
      <c r="MEE105" s="33" t="s">
        <v>334</v>
      </c>
      <c r="MEF105" s="33" t="s">
        <v>334</v>
      </c>
      <c r="MEG105" s="33" t="s">
        <v>334</v>
      </c>
      <c r="MEH105" s="33" t="s">
        <v>334</v>
      </c>
      <c r="MEI105" s="33" t="s">
        <v>334</v>
      </c>
      <c r="MEJ105" s="33" t="s">
        <v>334</v>
      </c>
      <c r="MEK105" s="33" t="s">
        <v>334</v>
      </c>
      <c r="MEL105" s="33" t="s">
        <v>334</v>
      </c>
      <c r="MEM105" s="33" t="s">
        <v>334</v>
      </c>
      <c r="MEN105" s="33" t="s">
        <v>334</v>
      </c>
      <c r="MEO105" s="33" t="s">
        <v>334</v>
      </c>
      <c r="MEP105" s="33" t="s">
        <v>334</v>
      </c>
      <c r="MEQ105" s="33" t="s">
        <v>334</v>
      </c>
      <c r="MER105" s="33" t="s">
        <v>334</v>
      </c>
      <c r="MES105" s="33" t="s">
        <v>334</v>
      </c>
      <c r="MET105" s="33" t="s">
        <v>334</v>
      </c>
      <c r="MEU105" s="33" t="s">
        <v>334</v>
      </c>
      <c r="MEV105" s="33" t="s">
        <v>334</v>
      </c>
      <c r="MEW105" s="33" t="s">
        <v>334</v>
      </c>
      <c r="MEX105" s="33" t="s">
        <v>334</v>
      </c>
      <c r="MEY105" s="33" t="s">
        <v>334</v>
      </c>
      <c r="MEZ105" s="33" t="s">
        <v>334</v>
      </c>
      <c r="MFA105" s="33" t="s">
        <v>334</v>
      </c>
      <c r="MFB105" s="33" t="s">
        <v>334</v>
      </c>
      <c r="MFC105" s="33" t="s">
        <v>334</v>
      </c>
      <c r="MFD105" s="33" t="s">
        <v>334</v>
      </c>
      <c r="MFE105" s="33" t="s">
        <v>334</v>
      </c>
      <c r="MFF105" s="33" t="s">
        <v>334</v>
      </c>
      <c r="MFG105" s="33" t="s">
        <v>334</v>
      </c>
      <c r="MFH105" s="33" t="s">
        <v>334</v>
      </c>
      <c r="MFI105" s="33" t="s">
        <v>334</v>
      </c>
      <c r="MFJ105" s="33" t="s">
        <v>334</v>
      </c>
      <c r="MFK105" s="33" t="s">
        <v>334</v>
      </c>
      <c r="MFL105" s="33" t="s">
        <v>334</v>
      </c>
      <c r="MFM105" s="33" t="s">
        <v>334</v>
      </c>
      <c r="MFN105" s="33" t="s">
        <v>334</v>
      </c>
      <c r="MFO105" s="33" t="s">
        <v>334</v>
      </c>
      <c r="MFP105" s="33" t="s">
        <v>334</v>
      </c>
      <c r="MFQ105" s="33" t="s">
        <v>334</v>
      </c>
      <c r="MFR105" s="33" t="s">
        <v>334</v>
      </c>
      <c r="MFS105" s="33" t="s">
        <v>334</v>
      </c>
      <c r="MFT105" s="33" t="s">
        <v>334</v>
      </c>
      <c r="MFU105" s="33" t="s">
        <v>334</v>
      </c>
      <c r="MFV105" s="33" t="s">
        <v>334</v>
      </c>
      <c r="MFW105" s="33" t="s">
        <v>334</v>
      </c>
      <c r="MFX105" s="33" t="s">
        <v>334</v>
      </c>
      <c r="MFY105" s="33" t="s">
        <v>334</v>
      </c>
      <c r="MFZ105" s="33" t="s">
        <v>334</v>
      </c>
      <c r="MGA105" s="33" t="s">
        <v>334</v>
      </c>
      <c r="MGB105" s="33" t="s">
        <v>334</v>
      </c>
      <c r="MGC105" s="33" t="s">
        <v>334</v>
      </c>
      <c r="MGD105" s="33" t="s">
        <v>334</v>
      </c>
      <c r="MGE105" s="33" t="s">
        <v>334</v>
      </c>
      <c r="MGF105" s="33" t="s">
        <v>334</v>
      </c>
      <c r="MGG105" s="33" t="s">
        <v>334</v>
      </c>
      <c r="MGH105" s="33" t="s">
        <v>334</v>
      </c>
      <c r="MGI105" s="33" t="s">
        <v>334</v>
      </c>
      <c r="MGJ105" s="33" t="s">
        <v>334</v>
      </c>
      <c r="MGK105" s="33" t="s">
        <v>334</v>
      </c>
      <c r="MGL105" s="33" t="s">
        <v>334</v>
      </c>
      <c r="MGM105" s="33" t="s">
        <v>334</v>
      </c>
      <c r="MGN105" s="33" t="s">
        <v>334</v>
      </c>
      <c r="MGO105" s="33" t="s">
        <v>334</v>
      </c>
      <c r="MGP105" s="33" t="s">
        <v>334</v>
      </c>
      <c r="MGQ105" s="33" t="s">
        <v>334</v>
      </c>
      <c r="MGR105" s="33" t="s">
        <v>334</v>
      </c>
      <c r="MGS105" s="33" t="s">
        <v>334</v>
      </c>
      <c r="MGT105" s="33" t="s">
        <v>334</v>
      </c>
      <c r="MGU105" s="33" t="s">
        <v>334</v>
      </c>
      <c r="MGV105" s="33" t="s">
        <v>334</v>
      </c>
      <c r="MGW105" s="33" t="s">
        <v>334</v>
      </c>
      <c r="MGX105" s="33" t="s">
        <v>334</v>
      </c>
      <c r="MGY105" s="33" t="s">
        <v>334</v>
      </c>
      <c r="MGZ105" s="33" t="s">
        <v>334</v>
      </c>
      <c r="MHA105" s="33" t="s">
        <v>334</v>
      </c>
      <c r="MHB105" s="33" t="s">
        <v>334</v>
      </c>
      <c r="MHC105" s="33" t="s">
        <v>334</v>
      </c>
      <c r="MHD105" s="33" t="s">
        <v>334</v>
      </c>
      <c r="MHE105" s="33" t="s">
        <v>334</v>
      </c>
      <c r="MHF105" s="33" t="s">
        <v>334</v>
      </c>
      <c r="MHG105" s="33" t="s">
        <v>334</v>
      </c>
      <c r="MHH105" s="33" t="s">
        <v>334</v>
      </c>
      <c r="MHI105" s="33" t="s">
        <v>334</v>
      </c>
      <c r="MHJ105" s="33" t="s">
        <v>334</v>
      </c>
      <c r="MHK105" s="33" t="s">
        <v>334</v>
      </c>
      <c r="MHL105" s="33" t="s">
        <v>334</v>
      </c>
      <c r="MHM105" s="33" t="s">
        <v>334</v>
      </c>
      <c r="MHN105" s="33" t="s">
        <v>334</v>
      </c>
      <c r="MHO105" s="33" t="s">
        <v>334</v>
      </c>
      <c r="MHP105" s="33" t="s">
        <v>334</v>
      </c>
      <c r="MHQ105" s="33" t="s">
        <v>334</v>
      </c>
      <c r="MHR105" s="33" t="s">
        <v>334</v>
      </c>
      <c r="MHS105" s="33" t="s">
        <v>334</v>
      </c>
      <c r="MHT105" s="33" t="s">
        <v>334</v>
      </c>
      <c r="MHU105" s="33" t="s">
        <v>334</v>
      </c>
      <c r="MHV105" s="33" t="s">
        <v>334</v>
      </c>
      <c r="MHW105" s="33" t="s">
        <v>334</v>
      </c>
      <c r="MHX105" s="33" t="s">
        <v>334</v>
      </c>
      <c r="MHY105" s="33" t="s">
        <v>334</v>
      </c>
      <c r="MHZ105" s="33" t="s">
        <v>334</v>
      </c>
      <c r="MIA105" s="33" t="s">
        <v>334</v>
      </c>
      <c r="MIB105" s="33" t="s">
        <v>334</v>
      </c>
      <c r="MIC105" s="33" t="s">
        <v>334</v>
      </c>
      <c r="MID105" s="33" t="s">
        <v>334</v>
      </c>
      <c r="MIE105" s="33" t="s">
        <v>334</v>
      </c>
      <c r="MIF105" s="33" t="s">
        <v>334</v>
      </c>
      <c r="MIG105" s="33" t="s">
        <v>334</v>
      </c>
      <c r="MIH105" s="33" t="s">
        <v>334</v>
      </c>
      <c r="MII105" s="33" t="s">
        <v>334</v>
      </c>
      <c r="MIJ105" s="33" t="s">
        <v>334</v>
      </c>
      <c r="MIK105" s="33" t="s">
        <v>334</v>
      </c>
      <c r="MIL105" s="33" t="s">
        <v>334</v>
      </c>
      <c r="MIM105" s="33" t="s">
        <v>334</v>
      </c>
      <c r="MIN105" s="33" t="s">
        <v>334</v>
      </c>
      <c r="MIO105" s="33" t="s">
        <v>334</v>
      </c>
      <c r="MIP105" s="33" t="s">
        <v>334</v>
      </c>
      <c r="MIQ105" s="33" t="s">
        <v>334</v>
      </c>
      <c r="MIR105" s="33" t="s">
        <v>334</v>
      </c>
      <c r="MIS105" s="33" t="s">
        <v>334</v>
      </c>
      <c r="MIT105" s="33" t="s">
        <v>334</v>
      </c>
      <c r="MIU105" s="33" t="s">
        <v>334</v>
      </c>
      <c r="MIV105" s="33" t="s">
        <v>334</v>
      </c>
      <c r="MIW105" s="33" t="s">
        <v>334</v>
      </c>
      <c r="MIX105" s="33" t="s">
        <v>334</v>
      </c>
      <c r="MIY105" s="33" t="s">
        <v>334</v>
      </c>
      <c r="MIZ105" s="33" t="s">
        <v>334</v>
      </c>
      <c r="MJA105" s="33" t="s">
        <v>334</v>
      </c>
      <c r="MJB105" s="33" t="s">
        <v>334</v>
      </c>
      <c r="MJC105" s="33" t="s">
        <v>334</v>
      </c>
      <c r="MJD105" s="33" t="s">
        <v>334</v>
      </c>
      <c r="MJE105" s="33" t="s">
        <v>334</v>
      </c>
      <c r="MJF105" s="33" t="s">
        <v>334</v>
      </c>
      <c r="MJG105" s="33" t="s">
        <v>334</v>
      </c>
      <c r="MJH105" s="33" t="s">
        <v>334</v>
      </c>
      <c r="MJI105" s="33" t="s">
        <v>334</v>
      </c>
      <c r="MJJ105" s="33" t="s">
        <v>334</v>
      </c>
      <c r="MJK105" s="33" t="s">
        <v>334</v>
      </c>
      <c r="MJL105" s="33" t="s">
        <v>334</v>
      </c>
      <c r="MJM105" s="33" t="s">
        <v>334</v>
      </c>
      <c r="MJN105" s="33" t="s">
        <v>334</v>
      </c>
      <c r="MJO105" s="33" t="s">
        <v>334</v>
      </c>
      <c r="MJP105" s="33" t="s">
        <v>334</v>
      </c>
      <c r="MJQ105" s="33" t="s">
        <v>334</v>
      </c>
      <c r="MJR105" s="33" t="s">
        <v>334</v>
      </c>
      <c r="MJS105" s="33" t="s">
        <v>334</v>
      </c>
      <c r="MJT105" s="33" t="s">
        <v>334</v>
      </c>
      <c r="MJU105" s="33" t="s">
        <v>334</v>
      </c>
      <c r="MJV105" s="33" t="s">
        <v>334</v>
      </c>
      <c r="MJW105" s="33" t="s">
        <v>334</v>
      </c>
      <c r="MJX105" s="33" t="s">
        <v>334</v>
      </c>
      <c r="MJY105" s="33" t="s">
        <v>334</v>
      </c>
      <c r="MJZ105" s="33" t="s">
        <v>334</v>
      </c>
      <c r="MKA105" s="33" t="s">
        <v>334</v>
      </c>
      <c r="MKB105" s="33" t="s">
        <v>334</v>
      </c>
      <c r="MKC105" s="33" t="s">
        <v>334</v>
      </c>
      <c r="MKD105" s="33" t="s">
        <v>334</v>
      </c>
      <c r="MKE105" s="33" t="s">
        <v>334</v>
      </c>
      <c r="MKF105" s="33" t="s">
        <v>334</v>
      </c>
      <c r="MKG105" s="33" t="s">
        <v>334</v>
      </c>
      <c r="MKH105" s="33" t="s">
        <v>334</v>
      </c>
      <c r="MKI105" s="33" t="s">
        <v>334</v>
      </c>
      <c r="MKJ105" s="33" t="s">
        <v>334</v>
      </c>
      <c r="MKK105" s="33" t="s">
        <v>334</v>
      </c>
      <c r="MKL105" s="33" t="s">
        <v>334</v>
      </c>
      <c r="MKM105" s="33" t="s">
        <v>334</v>
      </c>
      <c r="MKN105" s="33" t="s">
        <v>334</v>
      </c>
      <c r="MKO105" s="33" t="s">
        <v>334</v>
      </c>
      <c r="MKP105" s="33" t="s">
        <v>334</v>
      </c>
      <c r="MKQ105" s="33" t="s">
        <v>334</v>
      </c>
      <c r="MKR105" s="33" t="s">
        <v>334</v>
      </c>
      <c r="MKS105" s="33" t="s">
        <v>334</v>
      </c>
      <c r="MKT105" s="33" t="s">
        <v>334</v>
      </c>
      <c r="MKU105" s="33" t="s">
        <v>334</v>
      </c>
      <c r="MKV105" s="33" t="s">
        <v>334</v>
      </c>
      <c r="MKW105" s="33" t="s">
        <v>334</v>
      </c>
      <c r="MKX105" s="33" t="s">
        <v>334</v>
      </c>
      <c r="MKY105" s="33" t="s">
        <v>334</v>
      </c>
      <c r="MKZ105" s="33" t="s">
        <v>334</v>
      </c>
      <c r="MLA105" s="33" t="s">
        <v>334</v>
      </c>
      <c r="MLB105" s="33" t="s">
        <v>334</v>
      </c>
      <c r="MLC105" s="33" t="s">
        <v>334</v>
      </c>
      <c r="MLD105" s="33" t="s">
        <v>334</v>
      </c>
      <c r="MLE105" s="33" t="s">
        <v>334</v>
      </c>
      <c r="MLF105" s="33" t="s">
        <v>334</v>
      </c>
      <c r="MLG105" s="33" t="s">
        <v>334</v>
      </c>
      <c r="MLH105" s="33" t="s">
        <v>334</v>
      </c>
      <c r="MLI105" s="33" t="s">
        <v>334</v>
      </c>
      <c r="MLJ105" s="33" t="s">
        <v>334</v>
      </c>
      <c r="MLK105" s="33" t="s">
        <v>334</v>
      </c>
      <c r="MLL105" s="33" t="s">
        <v>334</v>
      </c>
      <c r="MLM105" s="33" t="s">
        <v>334</v>
      </c>
      <c r="MLN105" s="33" t="s">
        <v>334</v>
      </c>
      <c r="MLO105" s="33" t="s">
        <v>334</v>
      </c>
      <c r="MLP105" s="33" t="s">
        <v>334</v>
      </c>
      <c r="MLQ105" s="33" t="s">
        <v>334</v>
      </c>
      <c r="MLR105" s="33" t="s">
        <v>334</v>
      </c>
      <c r="MLS105" s="33" t="s">
        <v>334</v>
      </c>
      <c r="MLT105" s="33" t="s">
        <v>334</v>
      </c>
      <c r="MLU105" s="33" t="s">
        <v>334</v>
      </c>
      <c r="MLV105" s="33" t="s">
        <v>334</v>
      </c>
      <c r="MLW105" s="33" t="s">
        <v>334</v>
      </c>
      <c r="MLX105" s="33" t="s">
        <v>334</v>
      </c>
      <c r="MLY105" s="33" t="s">
        <v>334</v>
      </c>
      <c r="MLZ105" s="33" t="s">
        <v>334</v>
      </c>
      <c r="MMA105" s="33" t="s">
        <v>334</v>
      </c>
      <c r="MMB105" s="33" t="s">
        <v>334</v>
      </c>
      <c r="MMC105" s="33" t="s">
        <v>334</v>
      </c>
      <c r="MMD105" s="33" t="s">
        <v>334</v>
      </c>
      <c r="MME105" s="33" t="s">
        <v>334</v>
      </c>
      <c r="MMF105" s="33" t="s">
        <v>334</v>
      </c>
      <c r="MMG105" s="33" t="s">
        <v>334</v>
      </c>
      <c r="MMH105" s="33" t="s">
        <v>334</v>
      </c>
      <c r="MMI105" s="33" t="s">
        <v>334</v>
      </c>
      <c r="MMJ105" s="33" t="s">
        <v>334</v>
      </c>
      <c r="MMK105" s="33" t="s">
        <v>334</v>
      </c>
      <c r="MML105" s="33" t="s">
        <v>334</v>
      </c>
      <c r="MMM105" s="33" t="s">
        <v>334</v>
      </c>
      <c r="MMN105" s="33" t="s">
        <v>334</v>
      </c>
      <c r="MMO105" s="33" t="s">
        <v>334</v>
      </c>
      <c r="MMP105" s="33" t="s">
        <v>334</v>
      </c>
      <c r="MMQ105" s="33" t="s">
        <v>334</v>
      </c>
      <c r="MMR105" s="33" t="s">
        <v>334</v>
      </c>
      <c r="MMS105" s="33" t="s">
        <v>334</v>
      </c>
      <c r="MMT105" s="33" t="s">
        <v>334</v>
      </c>
      <c r="MMU105" s="33" t="s">
        <v>334</v>
      </c>
      <c r="MMV105" s="33" t="s">
        <v>334</v>
      </c>
      <c r="MMW105" s="33" t="s">
        <v>334</v>
      </c>
      <c r="MMX105" s="33" t="s">
        <v>334</v>
      </c>
      <c r="MMY105" s="33" t="s">
        <v>334</v>
      </c>
      <c r="MMZ105" s="33" t="s">
        <v>334</v>
      </c>
      <c r="MNA105" s="33" t="s">
        <v>334</v>
      </c>
      <c r="MNB105" s="33" t="s">
        <v>334</v>
      </c>
      <c r="MNC105" s="33" t="s">
        <v>334</v>
      </c>
      <c r="MND105" s="33" t="s">
        <v>334</v>
      </c>
      <c r="MNE105" s="33" t="s">
        <v>334</v>
      </c>
      <c r="MNF105" s="33" t="s">
        <v>334</v>
      </c>
      <c r="MNG105" s="33" t="s">
        <v>334</v>
      </c>
      <c r="MNH105" s="33" t="s">
        <v>334</v>
      </c>
      <c r="MNI105" s="33" t="s">
        <v>334</v>
      </c>
      <c r="MNJ105" s="33" t="s">
        <v>334</v>
      </c>
      <c r="MNK105" s="33" t="s">
        <v>334</v>
      </c>
      <c r="MNL105" s="33" t="s">
        <v>334</v>
      </c>
      <c r="MNM105" s="33" t="s">
        <v>334</v>
      </c>
      <c r="MNN105" s="33" t="s">
        <v>334</v>
      </c>
      <c r="MNO105" s="33" t="s">
        <v>334</v>
      </c>
      <c r="MNP105" s="33" t="s">
        <v>334</v>
      </c>
      <c r="MNQ105" s="33" t="s">
        <v>334</v>
      </c>
      <c r="MNR105" s="33" t="s">
        <v>334</v>
      </c>
      <c r="MNS105" s="33" t="s">
        <v>334</v>
      </c>
      <c r="MNT105" s="33" t="s">
        <v>334</v>
      </c>
      <c r="MNU105" s="33" t="s">
        <v>334</v>
      </c>
      <c r="MNV105" s="33" t="s">
        <v>334</v>
      </c>
      <c r="MNW105" s="33" t="s">
        <v>334</v>
      </c>
      <c r="MNX105" s="33" t="s">
        <v>334</v>
      </c>
      <c r="MNY105" s="33" t="s">
        <v>334</v>
      </c>
      <c r="MNZ105" s="33" t="s">
        <v>334</v>
      </c>
      <c r="MOA105" s="33" t="s">
        <v>334</v>
      </c>
      <c r="MOB105" s="33" t="s">
        <v>334</v>
      </c>
      <c r="MOC105" s="33" t="s">
        <v>334</v>
      </c>
      <c r="MOD105" s="33" t="s">
        <v>334</v>
      </c>
      <c r="MOE105" s="33" t="s">
        <v>334</v>
      </c>
      <c r="MOF105" s="33" t="s">
        <v>334</v>
      </c>
      <c r="MOG105" s="33" t="s">
        <v>334</v>
      </c>
      <c r="MOH105" s="33" t="s">
        <v>334</v>
      </c>
      <c r="MOI105" s="33" t="s">
        <v>334</v>
      </c>
      <c r="MOJ105" s="33" t="s">
        <v>334</v>
      </c>
      <c r="MOK105" s="33" t="s">
        <v>334</v>
      </c>
      <c r="MOL105" s="33" t="s">
        <v>334</v>
      </c>
      <c r="MOM105" s="33" t="s">
        <v>334</v>
      </c>
      <c r="MON105" s="33" t="s">
        <v>334</v>
      </c>
      <c r="MOO105" s="33" t="s">
        <v>334</v>
      </c>
      <c r="MOP105" s="33" t="s">
        <v>334</v>
      </c>
      <c r="MOQ105" s="33" t="s">
        <v>334</v>
      </c>
      <c r="MOR105" s="33" t="s">
        <v>334</v>
      </c>
      <c r="MOS105" s="33" t="s">
        <v>334</v>
      </c>
      <c r="MOT105" s="33" t="s">
        <v>334</v>
      </c>
      <c r="MOU105" s="33" t="s">
        <v>334</v>
      </c>
      <c r="MOV105" s="33" t="s">
        <v>334</v>
      </c>
      <c r="MOW105" s="33" t="s">
        <v>334</v>
      </c>
      <c r="MOX105" s="33" t="s">
        <v>334</v>
      </c>
      <c r="MOY105" s="33" t="s">
        <v>334</v>
      </c>
      <c r="MOZ105" s="33" t="s">
        <v>334</v>
      </c>
      <c r="MPA105" s="33" t="s">
        <v>334</v>
      </c>
      <c r="MPB105" s="33" t="s">
        <v>334</v>
      </c>
      <c r="MPC105" s="33" t="s">
        <v>334</v>
      </c>
      <c r="MPD105" s="33" t="s">
        <v>334</v>
      </c>
      <c r="MPE105" s="33" t="s">
        <v>334</v>
      </c>
      <c r="MPF105" s="33" t="s">
        <v>334</v>
      </c>
      <c r="MPG105" s="33" t="s">
        <v>334</v>
      </c>
      <c r="MPH105" s="33" t="s">
        <v>334</v>
      </c>
      <c r="MPI105" s="33" t="s">
        <v>334</v>
      </c>
      <c r="MPJ105" s="33" t="s">
        <v>334</v>
      </c>
      <c r="MPK105" s="33" t="s">
        <v>334</v>
      </c>
      <c r="MPL105" s="33" t="s">
        <v>334</v>
      </c>
      <c r="MPM105" s="33" t="s">
        <v>334</v>
      </c>
      <c r="MPN105" s="33" t="s">
        <v>334</v>
      </c>
      <c r="MPO105" s="33" t="s">
        <v>334</v>
      </c>
      <c r="MPP105" s="33" t="s">
        <v>334</v>
      </c>
      <c r="MPQ105" s="33" t="s">
        <v>334</v>
      </c>
      <c r="MPR105" s="33" t="s">
        <v>334</v>
      </c>
      <c r="MPS105" s="33" t="s">
        <v>334</v>
      </c>
      <c r="MPT105" s="33" t="s">
        <v>334</v>
      </c>
      <c r="MPU105" s="33" t="s">
        <v>334</v>
      </c>
      <c r="MPV105" s="33" t="s">
        <v>334</v>
      </c>
      <c r="MPW105" s="33" t="s">
        <v>334</v>
      </c>
      <c r="MPX105" s="33" t="s">
        <v>334</v>
      </c>
      <c r="MPY105" s="33" t="s">
        <v>334</v>
      </c>
      <c r="MPZ105" s="33" t="s">
        <v>334</v>
      </c>
      <c r="MQA105" s="33" t="s">
        <v>334</v>
      </c>
      <c r="MQB105" s="33" t="s">
        <v>334</v>
      </c>
      <c r="MQC105" s="33" t="s">
        <v>334</v>
      </c>
      <c r="MQD105" s="33" t="s">
        <v>334</v>
      </c>
      <c r="MQE105" s="33" t="s">
        <v>334</v>
      </c>
      <c r="MQF105" s="33" t="s">
        <v>334</v>
      </c>
      <c r="MQG105" s="33" t="s">
        <v>334</v>
      </c>
      <c r="MQH105" s="33" t="s">
        <v>334</v>
      </c>
      <c r="MQI105" s="33" t="s">
        <v>334</v>
      </c>
      <c r="MQJ105" s="33" t="s">
        <v>334</v>
      </c>
      <c r="MQK105" s="33" t="s">
        <v>334</v>
      </c>
      <c r="MQL105" s="33" t="s">
        <v>334</v>
      </c>
      <c r="MQM105" s="33" t="s">
        <v>334</v>
      </c>
      <c r="MQN105" s="33" t="s">
        <v>334</v>
      </c>
      <c r="MQO105" s="33" t="s">
        <v>334</v>
      </c>
      <c r="MQP105" s="33" t="s">
        <v>334</v>
      </c>
      <c r="MQQ105" s="33" t="s">
        <v>334</v>
      </c>
      <c r="MQR105" s="33" t="s">
        <v>334</v>
      </c>
      <c r="MQS105" s="33" t="s">
        <v>334</v>
      </c>
      <c r="MQT105" s="33" t="s">
        <v>334</v>
      </c>
      <c r="MQU105" s="33" t="s">
        <v>334</v>
      </c>
      <c r="MQV105" s="33" t="s">
        <v>334</v>
      </c>
      <c r="MQW105" s="33" t="s">
        <v>334</v>
      </c>
      <c r="MQX105" s="33" t="s">
        <v>334</v>
      </c>
      <c r="MQY105" s="33" t="s">
        <v>334</v>
      </c>
      <c r="MQZ105" s="33" t="s">
        <v>334</v>
      </c>
      <c r="MRA105" s="33" t="s">
        <v>334</v>
      </c>
      <c r="MRB105" s="33" t="s">
        <v>334</v>
      </c>
      <c r="MRC105" s="33" t="s">
        <v>334</v>
      </c>
      <c r="MRD105" s="33" t="s">
        <v>334</v>
      </c>
      <c r="MRE105" s="33" t="s">
        <v>334</v>
      </c>
      <c r="MRF105" s="33" t="s">
        <v>334</v>
      </c>
      <c r="MRG105" s="33" t="s">
        <v>334</v>
      </c>
      <c r="MRH105" s="33" t="s">
        <v>334</v>
      </c>
      <c r="MRI105" s="33" t="s">
        <v>334</v>
      </c>
      <c r="MRJ105" s="33" t="s">
        <v>334</v>
      </c>
      <c r="MRK105" s="33" t="s">
        <v>334</v>
      </c>
      <c r="MRL105" s="33" t="s">
        <v>334</v>
      </c>
      <c r="MRM105" s="33" t="s">
        <v>334</v>
      </c>
      <c r="MRN105" s="33" t="s">
        <v>334</v>
      </c>
      <c r="MRO105" s="33" t="s">
        <v>334</v>
      </c>
      <c r="MRP105" s="33" t="s">
        <v>334</v>
      </c>
      <c r="MRQ105" s="33" t="s">
        <v>334</v>
      </c>
      <c r="MRR105" s="33" t="s">
        <v>334</v>
      </c>
      <c r="MRS105" s="33" t="s">
        <v>334</v>
      </c>
      <c r="MRT105" s="33" t="s">
        <v>334</v>
      </c>
      <c r="MRU105" s="33" t="s">
        <v>334</v>
      </c>
      <c r="MRV105" s="33" t="s">
        <v>334</v>
      </c>
      <c r="MRW105" s="33" t="s">
        <v>334</v>
      </c>
      <c r="MRX105" s="33" t="s">
        <v>334</v>
      </c>
      <c r="MRY105" s="33" t="s">
        <v>334</v>
      </c>
      <c r="MRZ105" s="33" t="s">
        <v>334</v>
      </c>
      <c r="MSA105" s="33" t="s">
        <v>334</v>
      </c>
      <c r="MSB105" s="33" t="s">
        <v>334</v>
      </c>
      <c r="MSC105" s="33" t="s">
        <v>334</v>
      </c>
      <c r="MSD105" s="33" t="s">
        <v>334</v>
      </c>
      <c r="MSE105" s="33" t="s">
        <v>334</v>
      </c>
      <c r="MSF105" s="33" t="s">
        <v>334</v>
      </c>
      <c r="MSG105" s="33" t="s">
        <v>334</v>
      </c>
      <c r="MSH105" s="33" t="s">
        <v>334</v>
      </c>
      <c r="MSI105" s="33" t="s">
        <v>334</v>
      </c>
      <c r="MSJ105" s="33" t="s">
        <v>334</v>
      </c>
      <c r="MSK105" s="33" t="s">
        <v>334</v>
      </c>
      <c r="MSL105" s="33" t="s">
        <v>334</v>
      </c>
      <c r="MSM105" s="33" t="s">
        <v>334</v>
      </c>
      <c r="MSN105" s="33" t="s">
        <v>334</v>
      </c>
      <c r="MSO105" s="33" t="s">
        <v>334</v>
      </c>
      <c r="MSP105" s="33" t="s">
        <v>334</v>
      </c>
      <c r="MSQ105" s="33" t="s">
        <v>334</v>
      </c>
      <c r="MSR105" s="33" t="s">
        <v>334</v>
      </c>
      <c r="MSS105" s="33" t="s">
        <v>334</v>
      </c>
      <c r="MST105" s="33" t="s">
        <v>334</v>
      </c>
      <c r="MSU105" s="33" t="s">
        <v>334</v>
      </c>
      <c r="MSV105" s="33" t="s">
        <v>334</v>
      </c>
      <c r="MSW105" s="33" t="s">
        <v>334</v>
      </c>
      <c r="MSX105" s="33" t="s">
        <v>334</v>
      </c>
      <c r="MSY105" s="33" t="s">
        <v>334</v>
      </c>
      <c r="MSZ105" s="33" t="s">
        <v>334</v>
      </c>
      <c r="MTA105" s="33" t="s">
        <v>334</v>
      </c>
      <c r="MTB105" s="33" t="s">
        <v>334</v>
      </c>
      <c r="MTC105" s="33" t="s">
        <v>334</v>
      </c>
      <c r="MTD105" s="33" t="s">
        <v>334</v>
      </c>
      <c r="MTE105" s="33" t="s">
        <v>334</v>
      </c>
      <c r="MTF105" s="33" t="s">
        <v>334</v>
      </c>
      <c r="MTG105" s="33" t="s">
        <v>334</v>
      </c>
      <c r="MTH105" s="33" t="s">
        <v>334</v>
      </c>
      <c r="MTI105" s="33" t="s">
        <v>334</v>
      </c>
      <c r="MTJ105" s="33" t="s">
        <v>334</v>
      </c>
      <c r="MTK105" s="33" t="s">
        <v>334</v>
      </c>
      <c r="MTL105" s="33" t="s">
        <v>334</v>
      </c>
      <c r="MTM105" s="33" t="s">
        <v>334</v>
      </c>
      <c r="MTN105" s="33" t="s">
        <v>334</v>
      </c>
      <c r="MTO105" s="33" t="s">
        <v>334</v>
      </c>
      <c r="MTP105" s="33" t="s">
        <v>334</v>
      </c>
      <c r="MTQ105" s="33" t="s">
        <v>334</v>
      </c>
      <c r="MTR105" s="33" t="s">
        <v>334</v>
      </c>
      <c r="MTS105" s="33" t="s">
        <v>334</v>
      </c>
      <c r="MTT105" s="33" t="s">
        <v>334</v>
      </c>
      <c r="MTU105" s="33" t="s">
        <v>334</v>
      </c>
      <c r="MTV105" s="33" t="s">
        <v>334</v>
      </c>
      <c r="MTW105" s="33" t="s">
        <v>334</v>
      </c>
      <c r="MTX105" s="33" t="s">
        <v>334</v>
      </c>
      <c r="MTY105" s="33" t="s">
        <v>334</v>
      </c>
      <c r="MTZ105" s="33" t="s">
        <v>334</v>
      </c>
      <c r="MUA105" s="33" t="s">
        <v>334</v>
      </c>
      <c r="MUB105" s="33" t="s">
        <v>334</v>
      </c>
      <c r="MUC105" s="33" t="s">
        <v>334</v>
      </c>
      <c r="MUD105" s="33" t="s">
        <v>334</v>
      </c>
      <c r="MUE105" s="33" t="s">
        <v>334</v>
      </c>
      <c r="MUF105" s="33" t="s">
        <v>334</v>
      </c>
      <c r="MUG105" s="33" t="s">
        <v>334</v>
      </c>
      <c r="MUH105" s="33" t="s">
        <v>334</v>
      </c>
      <c r="MUI105" s="33" t="s">
        <v>334</v>
      </c>
      <c r="MUJ105" s="33" t="s">
        <v>334</v>
      </c>
      <c r="MUK105" s="33" t="s">
        <v>334</v>
      </c>
      <c r="MUL105" s="33" t="s">
        <v>334</v>
      </c>
      <c r="MUM105" s="33" t="s">
        <v>334</v>
      </c>
      <c r="MUN105" s="33" t="s">
        <v>334</v>
      </c>
      <c r="MUO105" s="33" t="s">
        <v>334</v>
      </c>
      <c r="MUP105" s="33" t="s">
        <v>334</v>
      </c>
      <c r="MUQ105" s="33" t="s">
        <v>334</v>
      </c>
      <c r="MUR105" s="33" t="s">
        <v>334</v>
      </c>
      <c r="MUS105" s="33" t="s">
        <v>334</v>
      </c>
      <c r="MUT105" s="33" t="s">
        <v>334</v>
      </c>
      <c r="MUU105" s="33" t="s">
        <v>334</v>
      </c>
      <c r="MUV105" s="33" t="s">
        <v>334</v>
      </c>
      <c r="MUW105" s="33" t="s">
        <v>334</v>
      </c>
      <c r="MUX105" s="33" t="s">
        <v>334</v>
      </c>
      <c r="MUY105" s="33" t="s">
        <v>334</v>
      </c>
      <c r="MUZ105" s="33" t="s">
        <v>334</v>
      </c>
      <c r="MVA105" s="33" t="s">
        <v>334</v>
      </c>
      <c r="MVB105" s="33" t="s">
        <v>334</v>
      </c>
      <c r="MVC105" s="33" t="s">
        <v>334</v>
      </c>
      <c r="MVD105" s="33" t="s">
        <v>334</v>
      </c>
      <c r="MVE105" s="33" t="s">
        <v>334</v>
      </c>
      <c r="MVF105" s="33" t="s">
        <v>334</v>
      </c>
      <c r="MVG105" s="33" t="s">
        <v>334</v>
      </c>
      <c r="MVH105" s="33" t="s">
        <v>334</v>
      </c>
      <c r="MVI105" s="33" t="s">
        <v>334</v>
      </c>
      <c r="MVJ105" s="33" t="s">
        <v>334</v>
      </c>
      <c r="MVK105" s="33" t="s">
        <v>334</v>
      </c>
      <c r="MVL105" s="33" t="s">
        <v>334</v>
      </c>
      <c r="MVM105" s="33" t="s">
        <v>334</v>
      </c>
      <c r="MVN105" s="33" t="s">
        <v>334</v>
      </c>
      <c r="MVO105" s="33" t="s">
        <v>334</v>
      </c>
      <c r="MVP105" s="33" t="s">
        <v>334</v>
      </c>
      <c r="MVQ105" s="33" t="s">
        <v>334</v>
      </c>
      <c r="MVR105" s="33" t="s">
        <v>334</v>
      </c>
      <c r="MVS105" s="33" t="s">
        <v>334</v>
      </c>
      <c r="MVT105" s="33" t="s">
        <v>334</v>
      </c>
      <c r="MVU105" s="33" t="s">
        <v>334</v>
      </c>
      <c r="MVV105" s="33" t="s">
        <v>334</v>
      </c>
      <c r="MVW105" s="33" t="s">
        <v>334</v>
      </c>
      <c r="MVX105" s="33" t="s">
        <v>334</v>
      </c>
      <c r="MVY105" s="33" t="s">
        <v>334</v>
      </c>
      <c r="MVZ105" s="33" t="s">
        <v>334</v>
      </c>
      <c r="MWA105" s="33" t="s">
        <v>334</v>
      </c>
      <c r="MWB105" s="33" t="s">
        <v>334</v>
      </c>
      <c r="MWC105" s="33" t="s">
        <v>334</v>
      </c>
      <c r="MWD105" s="33" t="s">
        <v>334</v>
      </c>
      <c r="MWE105" s="33" t="s">
        <v>334</v>
      </c>
      <c r="MWF105" s="33" t="s">
        <v>334</v>
      </c>
      <c r="MWG105" s="33" t="s">
        <v>334</v>
      </c>
      <c r="MWH105" s="33" t="s">
        <v>334</v>
      </c>
      <c r="MWI105" s="33" t="s">
        <v>334</v>
      </c>
      <c r="MWJ105" s="33" t="s">
        <v>334</v>
      </c>
      <c r="MWK105" s="33" t="s">
        <v>334</v>
      </c>
      <c r="MWL105" s="33" t="s">
        <v>334</v>
      </c>
      <c r="MWM105" s="33" t="s">
        <v>334</v>
      </c>
      <c r="MWN105" s="33" t="s">
        <v>334</v>
      </c>
      <c r="MWO105" s="33" t="s">
        <v>334</v>
      </c>
      <c r="MWP105" s="33" t="s">
        <v>334</v>
      </c>
      <c r="MWQ105" s="33" t="s">
        <v>334</v>
      </c>
      <c r="MWR105" s="33" t="s">
        <v>334</v>
      </c>
      <c r="MWS105" s="33" t="s">
        <v>334</v>
      </c>
      <c r="MWT105" s="33" t="s">
        <v>334</v>
      </c>
      <c r="MWU105" s="33" t="s">
        <v>334</v>
      </c>
      <c r="MWV105" s="33" t="s">
        <v>334</v>
      </c>
      <c r="MWW105" s="33" t="s">
        <v>334</v>
      </c>
      <c r="MWX105" s="33" t="s">
        <v>334</v>
      </c>
      <c r="MWY105" s="33" t="s">
        <v>334</v>
      </c>
      <c r="MWZ105" s="33" t="s">
        <v>334</v>
      </c>
      <c r="MXA105" s="33" t="s">
        <v>334</v>
      </c>
      <c r="MXB105" s="33" t="s">
        <v>334</v>
      </c>
      <c r="MXC105" s="33" t="s">
        <v>334</v>
      </c>
      <c r="MXD105" s="33" t="s">
        <v>334</v>
      </c>
      <c r="MXE105" s="33" t="s">
        <v>334</v>
      </c>
      <c r="MXF105" s="33" t="s">
        <v>334</v>
      </c>
      <c r="MXG105" s="33" t="s">
        <v>334</v>
      </c>
      <c r="MXH105" s="33" t="s">
        <v>334</v>
      </c>
      <c r="MXI105" s="33" t="s">
        <v>334</v>
      </c>
      <c r="MXJ105" s="33" t="s">
        <v>334</v>
      </c>
      <c r="MXK105" s="33" t="s">
        <v>334</v>
      </c>
      <c r="MXL105" s="33" t="s">
        <v>334</v>
      </c>
      <c r="MXM105" s="33" t="s">
        <v>334</v>
      </c>
      <c r="MXN105" s="33" t="s">
        <v>334</v>
      </c>
      <c r="MXO105" s="33" t="s">
        <v>334</v>
      </c>
      <c r="MXP105" s="33" t="s">
        <v>334</v>
      </c>
      <c r="MXQ105" s="33" t="s">
        <v>334</v>
      </c>
      <c r="MXR105" s="33" t="s">
        <v>334</v>
      </c>
      <c r="MXS105" s="33" t="s">
        <v>334</v>
      </c>
      <c r="MXT105" s="33" t="s">
        <v>334</v>
      </c>
      <c r="MXU105" s="33" t="s">
        <v>334</v>
      </c>
      <c r="MXV105" s="33" t="s">
        <v>334</v>
      </c>
      <c r="MXW105" s="33" t="s">
        <v>334</v>
      </c>
      <c r="MXX105" s="33" t="s">
        <v>334</v>
      </c>
      <c r="MXY105" s="33" t="s">
        <v>334</v>
      </c>
      <c r="MXZ105" s="33" t="s">
        <v>334</v>
      </c>
      <c r="MYA105" s="33" t="s">
        <v>334</v>
      </c>
      <c r="MYB105" s="33" t="s">
        <v>334</v>
      </c>
      <c r="MYC105" s="33" t="s">
        <v>334</v>
      </c>
      <c r="MYD105" s="33" t="s">
        <v>334</v>
      </c>
      <c r="MYE105" s="33" t="s">
        <v>334</v>
      </c>
      <c r="MYF105" s="33" t="s">
        <v>334</v>
      </c>
      <c r="MYG105" s="33" t="s">
        <v>334</v>
      </c>
      <c r="MYH105" s="33" t="s">
        <v>334</v>
      </c>
      <c r="MYI105" s="33" t="s">
        <v>334</v>
      </c>
      <c r="MYJ105" s="33" t="s">
        <v>334</v>
      </c>
      <c r="MYK105" s="33" t="s">
        <v>334</v>
      </c>
      <c r="MYL105" s="33" t="s">
        <v>334</v>
      </c>
      <c r="MYM105" s="33" t="s">
        <v>334</v>
      </c>
      <c r="MYN105" s="33" t="s">
        <v>334</v>
      </c>
      <c r="MYO105" s="33" t="s">
        <v>334</v>
      </c>
      <c r="MYP105" s="33" t="s">
        <v>334</v>
      </c>
      <c r="MYQ105" s="33" t="s">
        <v>334</v>
      </c>
      <c r="MYR105" s="33" t="s">
        <v>334</v>
      </c>
      <c r="MYS105" s="33" t="s">
        <v>334</v>
      </c>
      <c r="MYT105" s="33" t="s">
        <v>334</v>
      </c>
      <c r="MYU105" s="33" t="s">
        <v>334</v>
      </c>
      <c r="MYV105" s="33" t="s">
        <v>334</v>
      </c>
      <c r="MYW105" s="33" t="s">
        <v>334</v>
      </c>
      <c r="MYX105" s="33" t="s">
        <v>334</v>
      </c>
      <c r="MYY105" s="33" t="s">
        <v>334</v>
      </c>
      <c r="MYZ105" s="33" t="s">
        <v>334</v>
      </c>
      <c r="MZA105" s="33" t="s">
        <v>334</v>
      </c>
      <c r="MZB105" s="33" t="s">
        <v>334</v>
      </c>
      <c r="MZC105" s="33" t="s">
        <v>334</v>
      </c>
      <c r="MZD105" s="33" t="s">
        <v>334</v>
      </c>
      <c r="MZE105" s="33" t="s">
        <v>334</v>
      </c>
      <c r="MZF105" s="33" t="s">
        <v>334</v>
      </c>
      <c r="MZG105" s="33" t="s">
        <v>334</v>
      </c>
      <c r="MZH105" s="33" t="s">
        <v>334</v>
      </c>
      <c r="MZI105" s="33" t="s">
        <v>334</v>
      </c>
      <c r="MZJ105" s="33" t="s">
        <v>334</v>
      </c>
      <c r="MZK105" s="33" t="s">
        <v>334</v>
      </c>
      <c r="MZL105" s="33" t="s">
        <v>334</v>
      </c>
      <c r="MZM105" s="33" t="s">
        <v>334</v>
      </c>
      <c r="MZN105" s="33" t="s">
        <v>334</v>
      </c>
      <c r="MZO105" s="33" t="s">
        <v>334</v>
      </c>
      <c r="MZP105" s="33" t="s">
        <v>334</v>
      </c>
      <c r="MZQ105" s="33" t="s">
        <v>334</v>
      </c>
      <c r="MZR105" s="33" t="s">
        <v>334</v>
      </c>
      <c r="MZS105" s="33" t="s">
        <v>334</v>
      </c>
      <c r="MZT105" s="33" t="s">
        <v>334</v>
      </c>
      <c r="MZU105" s="33" t="s">
        <v>334</v>
      </c>
      <c r="MZV105" s="33" t="s">
        <v>334</v>
      </c>
      <c r="MZW105" s="33" t="s">
        <v>334</v>
      </c>
      <c r="MZX105" s="33" t="s">
        <v>334</v>
      </c>
      <c r="MZY105" s="33" t="s">
        <v>334</v>
      </c>
      <c r="MZZ105" s="33" t="s">
        <v>334</v>
      </c>
      <c r="NAA105" s="33" t="s">
        <v>334</v>
      </c>
      <c r="NAB105" s="33" t="s">
        <v>334</v>
      </c>
      <c r="NAC105" s="33" t="s">
        <v>334</v>
      </c>
      <c r="NAD105" s="33" t="s">
        <v>334</v>
      </c>
      <c r="NAE105" s="33" t="s">
        <v>334</v>
      </c>
      <c r="NAF105" s="33" t="s">
        <v>334</v>
      </c>
      <c r="NAG105" s="33" t="s">
        <v>334</v>
      </c>
      <c r="NAH105" s="33" t="s">
        <v>334</v>
      </c>
      <c r="NAI105" s="33" t="s">
        <v>334</v>
      </c>
      <c r="NAJ105" s="33" t="s">
        <v>334</v>
      </c>
      <c r="NAK105" s="33" t="s">
        <v>334</v>
      </c>
      <c r="NAL105" s="33" t="s">
        <v>334</v>
      </c>
      <c r="NAM105" s="33" t="s">
        <v>334</v>
      </c>
      <c r="NAN105" s="33" t="s">
        <v>334</v>
      </c>
      <c r="NAO105" s="33" t="s">
        <v>334</v>
      </c>
      <c r="NAP105" s="33" t="s">
        <v>334</v>
      </c>
      <c r="NAQ105" s="33" t="s">
        <v>334</v>
      </c>
      <c r="NAR105" s="33" t="s">
        <v>334</v>
      </c>
      <c r="NAS105" s="33" t="s">
        <v>334</v>
      </c>
      <c r="NAT105" s="33" t="s">
        <v>334</v>
      </c>
      <c r="NAU105" s="33" t="s">
        <v>334</v>
      </c>
      <c r="NAV105" s="33" t="s">
        <v>334</v>
      </c>
      <c r="NAW105" s="33" t="s">
        <v>334</v>
      </c>
      <c r="NAX105" s="33" t="s">
        <v>334</v>
      </c>
      <c r="NAY105" s="33" t="s">
        <v>334</v>
      </c>
      <c r="NAZ105" s="33" t="s">
        <v>334</v>
      </c>
      <c r="NBA105" s="33" t="s">
        <v>334</v>
      </c>
      <c r="NBB105" s="33" t="s">
        <v>334</v>
      </c>
      <c r="NBC105" s="33" t="s">
        <v>334</v>
      </c>
      <c r="NBD105" s="33" t="s">
        <v>334</v>
      </c>
      <c r="NBE105" s="33" t="s">
        <v>334</v>
      </c>
      <c r="NBF105" s="33" t="s">
        <v>334</v>
      </c>
      <c r="NBG105" s="33" t="s">
        <v>334</v>
      </c>
      <c r="NBH105" s="33" t="s">
        <v>334</v>
      </c>
      <c r="NBI105" s="33" t="s">
        <v>334</v>
      </c>
      <c r="NBJ105" s="33" t="s">
        <v>334</v>
      </c>
      <c r="NBK105" s="33" t="s">
        <v>334</v>
      </c>
      <c r="NBL105" s="33" t="s">
        <v>334</v>
      </c>
      <c r="NBM105" s="33" t="s">
        <v>334</v>
      </c>
      <c r="NBN105" s="33" t="s">
        <v>334</v>
      </c>
      <c r="NBO105" s="33" t="s">
        <v>334</v>
      </c>
      <c r="NBP105" s="33" t="s">
        <v>334</v>
      </c>
      <c r="NBQ105" s="33" t="s">
        <v>334</v>
      </c>
      <c r="NBR105" s="33" t="s">
        <v>334</v>
      </c>
      <c r="NBS105" s="33" t="s">
        <v>334</v>
      </c>
      <c r="NBT105" s="33" t="s">
        <v>334</v>
      </c>
      <c r="NBU105" s="33" t="s">
        <v>334</v>
      </c>
      <c r="NBV105" s="33" t="s">
        <v>334</v>
      </c>
      <c r="NBW105" s="33" t="s">
        <v>334</v>
      </c>
      <c r="NBX105" s="33" t="s">
        <v>334</v>
      </c>
      <c r="NBY105" s="33" t="s">
        <v>334</v>
      </c>
      <c r="NBZ105" s="33" t="s">
        <v>334</v>
      </c>
      <c r="NCA105" s="33" t="s">
        <v>334</v>
      </c>
      <c r="NCB105" s="33" t="s">
        <v>334</v>
      </c>
      <c r="NCC105" s="33" t="s">
        <v>334</v>
      </c>
      <c r="NCD105" s="33" t="s">
        <v>334</v>
      </c>
      <c r="NCE105" s="33" t="s">
        <v>334</v>
      </c>
      <c r="NCF105" s="33" t="s">
        <v>334</v>
      </c>
      <c r="NCG105" s="33" t="s">
        <v>334</v>
      </c>
      <c r="NCH105" s="33" t="s">
        <v>334</v>
      </c>
      <c r="NCI105" s="33" t="s">
        <v>334</v>
      </c>
      <c r="NCJ105" s="33" t="s">
        <v>334</v>
      </c>
      <c r="NCK105" s="33" t="s">
        <v>334</v>
      </c>
      <c r="NCL105" s="33" t="s">
        <v>334</v>
      </c>
      <c r="NCM105" s="33" t="s">
        <v>334</v>
      </c>
      <c r="NCN105" s="33" t="s">
        <v>334</v>
      </c>
      <c r="NCO105" s="33" t="s">
        <v>334</v>
      </c>
      <c r="NCP105" s="33" t="s">
        <v>334</v>
      </c>
      <c r="NCQ105" s="33" t="s">
        <v>334</v>
      </c>
      <c r="NCR105" s="33" t="s">
        <v>334</v>
      </c>
      <c r="NCS105" s="33" t="s">
        <v>334</v>
      </c>
      <c r="NCT105" s="33" t="s">
        <v>334</v>
      </c>
      <c r="NCU105" s="33" t="s">
        <v>334</v>
      </c>
      <c r="NCV105" s="33" t="s">
        <v>334</v>
      </c>
      <c r="NCW105" s="33" t="s">
        <v>334</v>
      </c>
      <c r="NCX105" s="33" t="s">
        <v>334</v>
      </c>
      <c r="NCY105" s="33" t="s">
        <v>334</v>
      </c>
      <c r="NCZ105" s="33" t="s">
        <v>334</v>
      </c>
      <c r="NDA105" s="33" t="s">
        <v>334</v>
      </c>
      <c r="NDB105" s="33" t="s">
        <v>334</v>
      </c>
      <c r="NDC105" s="33" t="s">
        <v>334</v>
      </c>
      <c r="NDD105" s="33" t="s">
        <v>334</v>
      </c>
      <c r="NDE105" s="33" t="s">
        <v>334</v>
      </c>
      <c r="NDF105" s="33" t="s">
        <v>334</v>
      </c>
      <c r="NDG105" s="33" t="s">
        <v>334</v>
      </c>
      <c r="NDH105" s="33" t="s">
        <v>334</v>
      </c>
      <c r="NDI105" s="33" t="s">
        <v>334</v>
      </c>
      <c r="NDJ105" s="33" t="s">
        <v>334</v>
      </c>
      <c r="NDK105" s="33" t="s">
        <v>334</v>
      </c>
      <c r="NDL105" s="33" t="s">
        <v>334</v>
      </c>
      <c r="NDM105" s="33" t="s">
        <v>334</v>
      </c>
      <c r="NDN105" s="33" t="s">
        <v>334</v>
      </c>
      <c r="NDO105" s="33" t="s">
        <v>334</v>
      </c>
      <c r="NDP105" s="33" t="s">
        <v>334</v>
      </c>
      <c r="NDQ105" s="33" t="s">
        <v>334</v>
      </c>
      <c r="NDR105" s="33" t="s">
        <v>334</v>
      </c>
      <c r="NDS105" s="33" t="s">
        <v>334</v>
      </c>
      <c r="NDT105" s="33" t="s">
        <v>334</v>
      </c>
      <c r="NDU105" s="33" t="s">
        <v>334</v>
      </c>
      <c r="NDV105" s="33" t="s">
        <v>334</v>
      </c>
      <c r="NDW105" s="33" t="s">
        <v>334</v>
      </c>
      <c r="NDX105" s="33" t="s">
        <v>334</v>
      </c>
      <c r="NDY105" s="33" t="s">
        <v>334</v>
      </c>
      <c r="NDZ105" s="33" t="s">
        <v>334</v>
      </c>
      <c r="NEA105" s="33" t="s">
        <v>334</v>
      </c>
      <c r="NEB105" s="33" t="s">
        <v>334</v>
      </c>
      <c r="NEC105" s="33" t="s">
        <v>334</v>
      </c>
      <c r="NED105" s="33" t="s">
        <v>334</v>
      </c>
      <c r="NEE105" s="33" t="s">
        <v>334</v>
      </c>
      <c r="NEF105" s="33" t="s">
        <v>334</v>
      </c>
      <c r="NEG105" s="33" t="s">
        <v>334</v>
      </c>
      <c r="NEH105" s="33" t="s">
        <v>334</v>
      </c>
      <c r="NEI105" s="33" t="s">
        <v>334</v>
      </c>
      <c r="NEJ105" s="33" t="s">
        <v>334</v>
      </c>
      <c r="NEK105" s="33" t="s">
        <v>334</v>
      </c>
      <c r="NEL105" s="33" t="s">
        <v>334</v>
      </c>
      <c r="NEM105" s="33" t="s">
        <v>334</v>
      </c>
      <c r="NEN105" s="33" t="s">
        <v>334</v>
      </c>
      <c r="NEO105" s="33" t="s">
        <v>334</v>
      </c>
      <c r="NEP105" s="33" t="s">
        <v>334</v>
      </c>
      <c r="NEQ105" s="33" t="s">
        <v>334</v>
      </c>
      <c r="NER105" s="33" t="s">
        <v>334</v>
      </c>
      <c r="NES105" s="33" t="s">
        <v>334</v>
      </c>
      <c r="NET105" s="33" t="s">
        <v>334</v>
      </c>
      <c r="NEU105" s="33" t="s">
        <v>334</v>
      </c>
      <c r="NEV105" s="33" t="s">
        <v>334</v>
      </c>
      <c r="NEW105" s="33" t="s">
        <v>334</v>
      </c>
      <c r="NEX105" s="33" t="s">
        <v>334</v>
      </c>
      <c r="NEY105" s="33" t="s">
        <v>334</v>
      </c>
      <c r="NEZ105" s="33" t="s">
        <v>334</v>
      </c>
      <c r="NFA105" s="33" t="s">
        <v>334</v>
      </c>
      <c r="NFB105" s="33" t="s">
        <v>334</v>
      </c>
      <c r="NFC105" s="33" t="s">
        <v>334</v>
      </c>
      <c r="NFD105" s="33" t="s">
        <v>334</v>
      </c>
      <c r="NFE105" s="33" t="s">
        <v>334</v>
      </c>
      <c r="NFF105" s="33" t="s">
        <v>334</v>
      </c>
      <c r="NFG105" s="33" t="s">
        <v>334</v>
      </c>
      <c r="NFH105" s="33" t="s">
        <v>334</v>
      </c>
      <c r="NFI105" s="33" t="s">
        <v>334</v>
      </c>
      <c r="NFJ105" s="33" t="s">
        <v>334</v>
      </c>
      <c r="NFK105" s="33" t="s">
        <v>334</v>
      </c>
      <c r="NFL105" s="33" t="s">
        <v>334</v>
      </c>
      <c r="NFM105" s="33" t="s">
        <v>334</v>
      </c>
      <c r="NFN105" s="33" t="s">
        <v>334</v>
      </c>
      <c r="NFO105" s="33" t="s">
        <v>334</v>
      </c>
      <c r="NFP105" s="33" t="s">
        <v>334</v>
      </c>
      <c r="NFQ105" s="33" t="s">
        <v>334</v>
      </c>
      <c r="NFR105" s="33" t="s">
        <v>334</v>
      </c>
      <c r="NFS105" s="33" t="s">
        <v>334</v>
      </c>
      <c r="NFT105" s="33" t="s">
        <v>334</v>
      </c>
      <c r="NFU105" s="33" t="s">
        <v>334</v>
      </c>
      <c r="NFV105" s="33" t="s">
        <v>334</v>
      </c>
      <c r="NFW105" s="33" t="s">
        <v>334</v>
      </c>
      <c r="NFX105" s="33" t="s">
        <v>334</v>
      </c>
      <c r="NFY105" s="33" t="s">
        <v>334</v>
      </c>
      <c r="NFZ105" s="33" t="s">
        <v>334</v>
      </c>
      <c r="NGA105" s="33" t="s">
        <v>334</v>
      </c>
      <c r="NGB105" s="33" t="s">
        <v>334</v>
      </c>
      <c r="NGC105" s="33" t="s">
        <v>334</v>
      </c>
      <c r="NGD105" s="33" t="s">
        <v>334</v>
      </c>
      <c r="NGE105" s="33" t="s">
        <v>334</v>
      </c>
      <c r="NGF105" s="33" t="s">
        <v>334</v>
      </c>
      <c r="NGG105" s="33" t="s">
        <v>334</v>
      </c>
      <c r="NGH105" s="33" t="s">
        <v>334</v>
      </c>
      <c r="NGI105" s="33" t="s">
        <v>334</v>
      </c>
      <c r="NGJ105" s="33" t="s">
        <v>334</v>
      </c>
      <c r="NGK105" s="33" t="s">
        <v>334</v>
      </c>
      <c r="NGL105" s="33" t="s">
        <v>334</v>
      </c>
      <c r="NGM105" s="33" t="s">
        <v>334</v>
      </c>
      <c r="NGN105" s="33" t="s">
        <v>334</v>
      </c>
      <c r="NGO105" s="33" t="s">
        <v>334</v>
      </c>
      <c r="NGP105" s="33" t="s">
        <v>334</v>
      </c>
      <c r="NGQ105" s="33" t="s">
        <v>334</v>
      </c>
      <c r="NGR105" s="33" t="s">
        <v>334</v>
      </c>
      <c r="NGS105" s="33" t="s">
        <v>334</v>
      </c>
      <c r="NGT105" s="33" t="s">
        <v>334</v>
      </c>
      <c r="NGU105" s="33" t="s">
        <v>334</v>
      </c>
      <c r="NGV105" s="33" t="s">
        <v>334</v>
      </c>
      <c r="NGW105" s="33" t="s">
        <v>334</v>
      </c>
      <c r="NGX105" s="33" t="s">
        <v>334</v>
      </c>
      <c r="NGY105" s="33" t="s">
        <v>334</v>
      </c>
      <c r="NGZ105" s="33" t="s">
        <v>334</v>
      </c>
      <c r="NHA105" s="33" t="s">
        <v>334</v>
      </c>
      <c r="NHB105" s="33" t="s">
        <v>334</v>
      </c>
      <c r="NHC105" s="33" t="s">
        <v>334</v>
      </c>
      <c r="NHD105" s="33" t="s">
        <v>334</v>
      </c>
      <c r="NHE105" s="33" t="s">
        <v>334</v>
      </c>
      <c r="NHF105" s="33" t="s">
        <v>334</v>
      </c>
      <c r="NHG105" s="33" t="s">
        <v>334</v>
      </c>
      <c r="NHH105" s="33" t="s">
        <v>334</v>
      </c>
      <c r="NHI105" s="33" t="s">
        <v>334</v>
      </c>
      <c r="NHJ105" s="33" t="s">
        <v>334</v>
      </c>
      <c r="NHK105" s="33" t="s">
        <v>334</v>
      </c>
      <c r="NHL105" s="33" t="s">
        <v>334</v>
      </c>
      <c r="NHM105" s="33" t="s">
        <v>334</v>
      </c>
      <c r="NHN105" s="33" t="s">
        <v>334</v>
      </c>
      <c r="NHO105" s="33" t="s">
        <v>334</v>
      </c>
      <c r="NHP105" s="33" t="s">
        <v>334</v>
      </c>
      <c r="NHQ105" s="33" t="s">
        <v>334</v>
      </c>
      <c r="NHR105" s="33" t="s">
        <v>334</v>
      </c>
      <c r="NHS105" s="33" t="s">
        <v>334</v>
      </c>
      <c r="NHT105" s="33" t="s">
        <v>334</v>
      </c>
      <c r="NHU105" s="33" t="s">
        <v>334</v>
      </c>
      <c r="NHV105" s="33" t="s">
        <v>334</v>
      </c>
      <c r="NHW105" s="33" t="s">
        <v>334</v>
      </c>
      <c r="NHX105" s="33" t="s">
        <v>334</v>
      </c>
      <c r="NHY105" s="33" t="s">
        <v>334</v>
      </c>
      <c r="NHZ105" s="33" t="s">
        <v>334</v>
      </c>
      <c r="NIA105" s="33" t="s">
        <v>334</v>
      </c>
      <c r="NIB105" s="33" t="s">
        <v>334</v>
      </c>
      <c r="NIC105" s="33" t="s">
        <v>334</v>
      </c>
      <c r="NID105" s="33" t="s">
        <v>334</v>
      </c>
      <c r="NIE105" s="33" t="s">
        <v>334</v>
      </c>
      <c r="NIF105" s="33" t="s">
        <v>334</v>
      </c>
      <c r="NIG105" s="33" t="s">
        <v>334</v>
      </c>
      <c r="NIH105" s="33" t="s">
        <v>334</v>
      </c>
      <c r="NII105" s="33" t="s">
        <v>334</v>
      </c>
      <c r="NIJ105" s="33" t="s">
        <v>334</v>
      </c>
      <c r="NIK105" s="33" t="s">
        <v>334</v>
      </c>
      <c r="NIL105" s="33" t="s">
        <v>334</v>
      </c>
      <c r="NIM105" s="33" t="s">
        <v>334</v>
      </c>
      <c r="NIN105" s="33" t="s">
        <v>334</v>
      </c>
      <c r="NIO105" s="33" t="s">
        <v>334</v>
      </c>
      <c r="NIP105" s="33" t="s">
        <v>334</v>
      </c>
      <c r="NIQ105" s="33" t="s">
        <v>334</v>
      </c>
      <c r="NIR105" s="33" t="s">
        <v>334</v>
      </c>
      <c r="NIS105" s="33" t="s">
        <v>334</v>
      </c>
      <c r="NIT105" s="33" t="s">
        <v>334</v>
      </c>
      <c r="NIU105" s="33" t="s">
        <v>334</v>
      </c>
      <c r="NIV105" s="33" t="s">
        <v>334</v>
      </c>
      <c r="NIW105" s="33" t="s">
        <v>334</v>
      </c>
      <c r="NIX105" s="33" t="s">
        <v>334</v>
      </c>
      <c r="NIY105" s="33" t="s">
        <v>334</v>
      </c>
      <c r="NIZ105" s="33" t="s">
        <v>334</v>
      </c>
      <c r="NJA105" s="33" t="s">
        <v>334</v>
      </c>
      <c r="NJB105" s="33" t="s">
        <v>334</v>
      </c>
      <c r="NJC105" s="33" t="s">
        <v>334</v>
      </c>
      <c r="NJD105" s="33" t="s">
        <v>334</v>
      </c>
      <c r="NJE105" s="33" t="s">
        <v>334</v>
      </c>
      <c r="NJF105" s="33" t="s">
        <v>334</v>
      </c>
      <c r="NJG105" s="33" t="s">
        <v>334</v>
      </c>
      <c r="NJH105" s="33" t="s">
        <v>334</v>
      </c>
      <c r="NJI105" s="33" t="s">
        <v>334</v>
      </c>
      <c r="NJJ105" s="33" t="s">
        <v>334</v>
      </c>
      <c r="NJK105" s="33" t="s">
        <v>334</v>
      </c>
      <c r="NJL105" s="33" t="s">
        <v>334</v>
      </c>
      <c r="NJM105" s="33" t="s">
        <v>334</v>
      </c>
      <c r="NJN105" s="33" t="s">
        <v>334</v>
      </c>
      <c r="NJO105" s="33" t="s">
        <v>334</v>
      </c>
      <c r="NJP105" s="33" t="s">
        <v>334</v>
      </c>
      <c r="NJQ105" s="33" t="s">
        <v>334</v>
      </c>
      <c r="NJR105" s="33" t="s">
        <v>334</v>
      </c>
      <c r="NJS105" s="33" t="s">
        <v>334</v>
      </c>
      <c r="NJT105" s="33" t="s">
        <v>334</v>
      </c>
      <c r="NJU105" s="33" t="s">
        <v>334</v>
      </c>
      <c r="NJV105" s="33" t="s">
        <v>334</v>
      </c>
      <c r="NJW105" s="33" t="s">
        <v>334</v>
      </c>
      <c r="NJX105" s="33" t="s">
        <v>334</v>
      </c>
      <c r="NJY105" s="33" t="s">
        <v>334</v>
      </c>
      <c r="NJZ105" s="33" t="s">
        <v>334</v>
      </c>
      <c r="NKA105" s="33" t="s">
        <v>334</v>
      </c>
      <c r="NKB105" s="33" t="s">
        <v>334</v>
      </c>
      <c r="NKC105" s="33" t="s">
        <v>334</v>
      </c>
      <c r="NKD105" s="33" t="s">
        <v>334</v>
      </c>
      <c r="NKE105" s="33" t="s">
        <v>334</v>
      </c>
      <c r="NKF105" s="33" t="s">
        <v>334</v>
      </c>
      <c r="NKG105" s="33" t="s">
        <v>334</v>
      </c>
      <c r="NKH105" s="33" t="s">
        <v>334</v>
      </c>
      <c r="NKI105" s="33" t="s">
        <v>334</v>
      </c>
      <c r="NKJ105" s="33" t="s">
        <v>334</v>
      </c>
      <c r="NKK105" s="33" t="s">
        <v>334</v>
      </c>
      <c r="NKL105" s="33" t="s">
        <v>334</v>
      </c>
      <c r="NKM105" s="33" t="s">
        <v>334</v>
      </c>
      <c r="NKN105" s="33" t="s">
        <v>334</v>
      </c>
      <c r="NKO105" s="33" t="s">
        <v>334</v>
      </c>
      <c r="NKP105" s="33" t="s">
        <v>334</v>
      </c>
      <c r="NKQ105" s="33" t="s">
        <v>334</v>
      </c>
      <c r="NKR105" s="33" t="s">
        <v>334</v>
      </c>
      <c r="NKS105" s="33" t="s">
        <v>334</v>
      </c>
      <c r="NKT105" s="33" t="s">
        <v>334</v>
      </c>
      <c r="NKU105" s="33" t="s">
        <v>334</v>
      </c>
      <c r="NKV105" s="33" t="s">
        <v>334</v>
      </c>
      <c r="NKW105" s="33" t="s">
        <v>334</v>
      </c>
      <c r="NKX105" s="33" t="s">
        <v>334</v>
      </c>
      <c r="NKY105" s="33" t="s">
        <v>334</v>
      </c>
      <c r="NKZ105" s="33" t="s">
        <v>334</v>
      </c>
      <c r="NLA105" s="33" t="s">
        <v>334</v>
      </c>
      <c r="NLB105" s="33" t="s">
        <v>334</v>
      </c>
      <c r="NLC105" s="33" t="s">
        <v>334</v>
      </c>
      <c r="NLD105" s="33" t="s">
        <v>334</v>
      </c>
      <c r="NLE105" s="33" t="s">
        <v>334</v>
      </c>
      <c r="NLF105" s="33" t="s">
        <v>334</v>
      </c>
      <c r="NLG105" s="33" t="s">
        <v>334</v>
      </c>
      <c r="NLH105" s="33" t="s">
        <v>334</v>
      </c>
      <c r="NLI105" s="33" t="s">
        <v>334</v>
      </c>
      <c r="NLJ105" s="33" t="s">
        <v>334</v>
      </c>
      <c r="NLK105" s="33" t="s">
        <v>334</v>
      </c>
      <c r="NLL105" s="33" t="s">
        <v>334</v>
      </c>
      <c r="NLM105" s="33" t="s">
        <v>334</v>
      </c>
      <c r="NLN105" s="33" t="s">
        <v>334</v>
      </c>
      <c r="NLO105" s="33" t="s">
        <v>334</v>
      </c>
      <c r="NLP105" s="33" t="s">
        <v>334</v>
      </c>
      <c r="NLQ105" s="33" t="s">
        <v>334</v>
      </c>
      <c r="NLR105" s="33" t="s">
        <v>334</v>
      </c>
      <c r="NLS105" s="33" t="s">
        <v>334</v>
      </c>
      <c r="NLT105" s="33" t="s">
        <v>334</v>
      </c>
      <c r="NLU105" s="33" t="s">
        <v>334</v>
      </c>
      <c r="NLV105" s="33" t="s">
        <v>334</v>
      </c>
      <c r="NLW105" s="33" t="s">
        <v>334</v>
      </c>
      <c r="NLX105" s="33" t="s">
        <v>334</v>
      </c>
      <c r="NLY105" s="33" t="s">
        <v>334</v>
      </c>
      <c r="NLZ105" s="33" t="s">
        <v>334</v>
      </c>
      <c r="NMA105" s="33" t="s">
        <v>334</v>
      </c>
      <c r="NMB105" s="33" t="s">
        <v>334</v>
      </c>
      <c r="NMC105" s="33" t="s">
        <v>334</v>
      </c>
      <c r="NMD105" s="33" t="s">
        <v>334</v>
      </c>
      <c r="NME105" s="33" t="s">
        <v>334</v>
      </c>
      <c r="NMF105" s="33" t="s">
        <v>334</v>
      </c>
      <c r="NMG105" s="33" t="s">
        <v>334</v>
      </c>
      <c r="NMH105" s="33" t="s">
        <v>334</v>
      </c>
      <c r="NMI105" s="33" t="s">
        <v>334</v>
      </c>
      <c r="NMJ105" s="33" t="s">
        <v>334</v>
      </c>
      <c r="NMK105" s="33" t="s">
        <v>334</v>
      </c>
      <c r="NML105" s="33" t="s">
        <v>334</v>
      </c>
      <c r="NMM105" s="33" t="s">
        <v>334</v>
      </c>
      <c r="NMN105" s="33" t="s">
        <v>334</v>
      </c>
      <c r="NMO105" s="33" t="s">
        <v>334</v>
      </c>
      <c r="NMP105" s="33" t="s">
        <v>334</v>
      </c>
      <c r="NMQ105" s="33" t="s">
        <v>334</v>
      </c>
      <c r="NMR105" s="33" t="s">
        <v>334</v>
      </c>
      <c r="NMS105" s="33" t="s">
        <v>334</v>
      </c>
      <c r="NMT105" s="33" t="s">
        <v>334</v>
      </c>
      <c r="NMU105" s="33" t="s">
        <v>334</v>
      </c>
      <c r="NMV105" s="33" t="s">
        <v>334</v>
      </c>
      <c r="NMW105" s="33" t="s">
        <v>334</v>
      </c>
      <c r="NMX105" s="33" t="s">
        <v>334</v>
      </c>
      <c r="NMY105" s="33" t="s">
        <v>334</v>
      </c>
      <c r="NMZ105" s="33" t="s">
        <v>334</v>
      </c>
      <c r="NNA105" s="33" t="s">
        <v>334</v>
      </c>
      <c r="NNB105" s="33" t="s">
        <v>334</v>
      </c>
      <c r="NNC105" s="33" t="s">
        <v>334</v>
      </c>
      <c r="NND105" s="33" t="s">
        <v>334</v>
      </c>
      <c r="NNE105" s="33" t="s">
        <v>334</v>
      </c>
      <c r="NNF105" s="33" t="s">
        <v>334</v>
      </c>
      <c r="NNG105" s="33" t="s">
        <v>334</v>
      </c>
      <c r="NNH105" s="33" t="s">
        <v>334</v>
      </c>
      <c r="NNI105" s="33" t="s">
        <v>334</v>
      </c>
      <c r="NNJ105" s="33" t="s">
        <v>334</v>
      </c>
      <c r="NNK105" s="33" t="s">
        <v>334</v>
      </c>
      <c r="NNL105" s="33" t="s">
        <v>334</v>
      </c>
      <c r="NNM105" s="33" t="s">
        <v>334</v>
      </c>
      <c r="NNN105" s="33" t="s">
        <v>334</v>
      </c>
      <c r="NNO105" s="33" t="s">
        <v>334</v>
      </c>
      <c r="NNP105" s="33" t="s">
        <v>334</v>
      </c>
      <c r="NNQ105" s="33" t="s">
        <v>334</v>
      </c>
      <c r="NNR105" s="33" t="s">
        <v>334</v>
      </c>
      <c r="NNS105" s="33" t="s">
        <v>334</v>
      </c>
      <c r="NNT105" s="33" t="s">
        <v>334</v>
      </c>
      <c r="NNU105" s="33" t="s">
        <v>334</v>
      </c>
      <c r="NNV105" s="33" t="s">
        <v>334</v>
      </c>
      <c r="NNW105" s="33" t="s">
        <v>334</v>
      </c>
      <c r="NNX105" s="33" t="s">
        <v>334</v>
      </c>
      <c r="NNY105" s="33" t="s">
        <v>334</v>
      </c>
      <c r="NNZ105" s="33" t="s">
        <v>334</v>
      </c>
      <c r="NOA105" s="33" t="s">
        <v>334</v>
      </c>
      <c r="NOB105" s="33" t="s">
        <v>334</v>
      </c>
      <c r="NOC105" s="33" t="s">
        <v>334</v>
      </c>
      <c r="NOD105" s="33" t="s">
        <v>334</v>
      </c>
      <c r="NOE105" s="33" t="s">
        <v>334</v>
      </c>
      <c r="NOF105" s="33" t="s">
        <v>334</v>
      </c>
      <c r="NOG105" s="33" t="s">
        <v>334</v>
      </c>
      <c r="NOH105" s="33" t="s">
        <v>334</v>
      </c>
      <c r="NOI105" s="33" t="s">
        <v>334</v>
      </c>
      <c r="NOJ105" s="33" t="s">
        <v>334</v>
      </c>
      <c r="NOK105" s="33" t="s">
        <v>334</v>
      </c>
      <c r="NOL105" s="33" t="s">
        <v>334</v>
      </c>
      <c r="NOM105" s="33" t="s">
        <v>334</v>
      </c>
      <c r="NON105" s="33" t="s">
        <v>334</v>
      </c>
      <c r="NOO105" s="33" t="s">
        <v>334</v>
      </c>
      <c r="NOP105" s="33" t="s">
        <v>334</v>
      </c>
      <c r="NOQ105" s="33" t="s">
        <v>334</v>
      </c>
      <c r="NOR105" s="33" t="s">
        <v>334</v>
      </c>
      <c r="NOS105" s="33" t="s">
        <v>334</v>
      </c>
      <c r="NOT105" s="33" t="s">
        <v>334</v>
      </c>
      <c r="NOU105" s="33" t="s">
        <v>334</v>
      </c>
      <c r="NOV105" s="33" t="s">
        <v>334</v>
      </c>
      <c r="NOW105" s="33" t="s">
        <v>334</v>
      </c>
      <c r="NOX105" s="33" t="s">
        <v>334</v>
      </c>
      <c r="NOY105" s="33" t="s">
        <v>334</v>
      </c>
      <c r="NOZ105" s="33" t="s">
        <v>334</v>
      </c>
      <c r="NPA105" s="33" t="s">
        <v>334</v>
      </c>
      <c r="NPB105" s="33" t="s">
        <v>334</v>
      </c>
      <c r="NPC105" s="33" t="s">
        <v>334</v>
      </c>
      <c r="NPD105" s="33" t="s">
        <v>334</v>
      </c>
      <c r="NPE105" s="33" t="s">
        <v>334</v>
      </c>
      <c r="NPF105" s="33" t="s">
        <v>334</v>
      </c>
      <c r="NPG105" s="33" t="s">
        <v>334</v>
      </c>
      <c r="NPH105" s="33" t="s">
        <v>334</v>
      </c>
      <c r="NPI105" s="33" t="s">
        <v>334</v>
      </c>
      <c r="NPJ105" s="33" t="s">
        <v>334</v>
      </c>
      <c r="NPK105" s="33" t="s">
        <v>334</v>
      </c>
      <c r="NPL105" s="33" t="s">
        <v>334</v>
      </c>
      <c r="NPM105" s="33" t="s">
        <v>334</v>
      </c>
      <c r="NPN105" s="33" t="s">
        <v>334</v>
      </c>
      <c r="NPO105" s="33" t="s">
        <v>334</v>
      </c>
      <c r="NPP105" s="33" t="s">
        <v>334</v>
      </c>
      <c r="NPQ105" s="33" t="s">
        <v>334</v>
      </c>
      <c r="NPR105" s="33" t="s">
        <v>334</v>
      </c>
      <c r="NPS105" s="33" t="s">
        <v>334</v>
      </c>
      <c r="NPT105" s="33" t="s">
        <v>334</v>
      </c>
      <c r="NPU105" s="33" t="s">
        <v>334</v>
      </c>
      <c r="NPV105" s="33" t="s">
        <v>334</v>
      </c>
      <c r="NPW105" s="33" t="s">
        <v>334</v>
      </c>
      <c r="NPX105" s="33" t="s">
        <v>334</v>
      </c>
      <c r="NPY105" s="33" t="s">
        <v>334</v>
      </c>
      <c r="NPZ105" s="33" t="s">
        <v>334</v>
      </c>
      <c r="NQA105" s="33" t="s">
        <v>334</v>
      </c>
      <c r="NQB105" s="33" t="s">
        <v>334</v>
      </c>
      <c r="NQC105" s="33" t="s">
        <v>334</v>
      </c>
      <c r="NQD105" s="33" t="s">
        <v>334</v>
      </c>
      <c r="NQE105" s="33" t="s">
        <v>334</v>
      </c>
      <c r="NQF105" s="33" t="s">
        <v>334</v>
      </c>
      <c r="NQG105" s="33" t="s">
        <v>334</v>
      </c>
      <c r="NQH105" s="33" t="s">
        <v>334</v>
      </c>
      <c r="NQI105" s="33" t="s">
        <v>334</v>
      </c>
      <c r="NQJ105" s="33" t="s">
        <v>334</v>
      </c>
      <c r="NQK105" s="33" t="s">
        <v>334</v>
      </c>
      <c r="NQL105" s="33" t="s">
        <v>334</v>
      </c>
      <c r="NQM105" s="33" t="s">
        <v>334</v>
      </c>
      <c r="NQN105" s="33" t="s">
        <v>334</v>
      </c>
      <c r="NQO105" s="33" t="s">
        <v>334</v>
      </c>
      <c r="NQP105" s="33" t="s">
        <v>334</v>
      </c>
      <c r="NQQ105" s="33" t="s">
        <v>334</v>
      </c>
      <c r="NQR105" s="33" t="s">
        <v>334</v>
      </c>
      <c r="NQS105" s="33" t="s">
        <v>334</v>
      </c>
      <c r="NQT105" s="33" t="s">
        <v>334</v>
      </c>
      <c r="NQU105" s="33" t="s">
        <v>334</v>
      </c>
      <c r="NQV105" s="33" t="s">
        <v>334</v>
      </c>
      <c r="NQW105" s="33" t="s">
        <v>334</v>
      </c>
      <c r="NQX105" s="33" t="s">
        <v>334</v>
      </c>
      <c r="NQY105" s="33" t="s">
        <v>334</v>
      </c>
      <c r="NQZ105" s="33" t="s">
        <v>334</v>
      </c>
      <c r="NRA105" s="33" t="s">
        <v>334</v>
      </c>
      <c r="NRB105" s="33" t="s">
        <v>334</v>
      </c>
      <c r="NRC105" s="33" t="s">
        <v>334</v>
      </c>
      <c r="NRD105" s="33" t="s">
        <v>334</v>
      </c>
      <c r="NRE105" s="33" t="s">
        <v>334</v>
      </c>
      <c r="NRF105" s="33" t="s">
        <v>334</v>
      </c>
      <c r="NRG105" s="33" t="s">
        <v>334</v>
      </c>
      <c r="NRH105" s="33" t="s">
        <v>334</v>
      </c>
      <c r="NRI105" s="33" t="s">
        <v>334</v>
      </c>
      <c r="NRJ105" s="33" t="s">
        <v>334</v>
      </c>
      <c r="NRK105" s="33" t="s">
        <v>334</v>
      </c>
      <c r="NRL105" s="33" t="s">
        <v>334</v>
      </c>
      <c r="NRM105" s="33" t="s">
        <v>334</v>
      </c>
      <c r="NRN105" s="33" t="s">
        <v>334</v>
      </c>
      <c r="NRO105" s="33" t="s">
        <v>334</v>
      </c>
      <c r="NRP105" s="33" t="s">
        <v>334</v>
      </c>
      <c r="NRQ105" s="33" t="s">
        <v>334</v>
      </c>
      <c r="NRR105" s="33" t="s">
        <v>334</v>
      </c>
      <c r="NRS105" s="33" t="s">
        <v>334</v>
      </c>
      <c r="NRT105" s="33" t="s">
        <v>334</v>
      </c>
      <c r="NRU105" s="33" t="s">
        <v>334</v>
      </c>
      <c r="NRV105" s="33" t="s">
        <v>334</v>
      </c>
      <c r="NRW105" s="33" t="s">
        <v>334</v>
      </c>
      <c r="NRX105" s="33" t="s">
        <v>334</v>
      </c>
      <c r="NRY105" s="33" t="s">
        <v>334</v>
      </c>
      <c r="NRZ105" s="33" t="s">
        <v>334</v>
      </c>
      <c r="NSA105" s="33" t="s">
        <v>334</v>
      </c>
      <c r="NSB105" s="33" t="s">
        <v>334</v>
      </c>
      <c r="NSC105" s="33" t="s">
        <v>334</v>
      </c>
      <c r="NSD105" s="33" t="s">
        <v>334</v>
      </c>
      <c r="NSE105" s="33" t="s">
        <v>334</v>
      </c>
      <c r="NSF105" s="33" t="s">
        <v>334</v>
      </c>
      <c r="NSG105" s="33" t="s">
        <v>334</v>
      </c>
      <c r="NSH105" s="33" t="s">
        <v>334</v>
      </c>
      <c r="NSI105" s="33" t="s">
        <v>334</v>
      </c>
      <c r="NSJ105" s="33" t="s">
        <v>334</v>
      </c>
      <c r="NSK105" s="33" t="s">
        <v>334</v>
      </c>
      <c r="NSL105" s="33" t="s">
        <v>334</v>
      </c>
      <c r="NSM105" s="33" t="s">
        <v>334</v>
      </c>
      <c r="NSN105" s="33" t="s">
        <v>334</v>
      </c>
      <c r="NSO105" s="33" t="s">
        <v>334</v>
      </c>
      <c r="NSP105" s="33" t="s">
        <v>334</v>
      </c>
      <c r="NSQ105" s="33" t="s">
        <v>334</v>
      </c>
      <c r="NSR105" s="33" t="s">
        <v>334</v>
      </c>
      <c r="NSS105" s="33" t="s">
        <v>334</v>
      </c>
      <c r="NST105" s="33" t="s">
        <v>334</v>
      </c>
      <c r="NSU105" s="33" t="s">
        <v>334</v>
      </c>
      <c r="NSV105" s="33" t="s">
        <v>334</v>
      </c>
      <c r="NSW105" s="33" t="s">
        <v>334</v>
      </c>
      <c r="NSX105" s="33" t="s">
        <v>334</v>
      </c>
      <c r="NSY105" s="33" t="s">
        <v>334</v>
      </c>
      <c r="NSZ105" s="33" t="s">
        <v>334</v>
      </c>
      <c r="NTA105" s="33" t="s">
        <v>334</v>
      </c>
      <c r="NTB105" s="33" t="s">
        <v>334</v>
      </c>
      <c r="NTC105" s="33" t="s">
        <v>334</v>
      </c>
      <c r="NTD105" s="33" t="s">
        <v>334</v>
      </c>
      <c r="NTE105" s="33" t="s">
        <v>334</v>
      </c>
      <c r="NTF105" s="33" t="s">
        <v>334</v>
      </c>
      <c r="NTG105" s="33" t="s">
        <v>334</v>
      </c>
      <c r="NTH105" s="33" t="s">
        <v>334</v>
      </c>
      <c r="NTI105" s="33" t="s">
        <v>334</v>
      </c>
      <c r="NTJ105" s="33" t="s">
        <v>334</v>
      </c>
      <c r="NTK105" s="33" t="s">
        <v>334</v>
      </c>
      <c r="NTL105" s="33" t="s">
        <v>334</v>
      </c>
      <c r="NTM105" s="33" t="s">
        <v>334</v>
      </c>
      <c r="NTN105" s="33" t="s">
        <v>334</v>
      </c>
      <c r="NTO105" s="33" t="s">
        <v>334</v>
      </c>
      <c r="NTP105" s="33" t="s">
        <v>334</v>
      </c>
      <c r="NTQ105" s="33" t="s">
        <v>334</v>
      </c>
      <c r="NTR105" s="33" t="s">
        <v>334</v>
      </c>
      <c r="NTS105" s="33" t="s">
        <v>334</v>
      </c>
      <c r="NTT105" s="33" t="s">
        <v>334</v>
      </c>
      <c r="NTU105" s="33" t="s">
        <v>334</v>
      </c>
      <c r="NTV105" s="33" t="s">
        <v>334</v>
      </c>
      <c r="NTW105" s="33" t="s">
        <v>334</v>
      </c>
      <c r="NTX105" s="33" t="s">
        <v>334</v>
      </c>
      <c r="NTY105" s="33" t="s">
        <v>334</v>
      </c>
      <c r="NTZ105" s="33" t="s">
        <v>334</v>
      </c>
      <c r="NUA105" s="33" t="s">
        <v>334</v>
      </c>
      <c r="NUB105" s="33" t="s">
        <v>334</v>
      </c>
      <c r="NUC105" s="33" t="s">
        <v>334</v>
      </c>
      <c r="NUD105" s="33" t="s">
        <v>334</v>
      </c>
      <c r="NUE105" s="33" t="s">
        <v>334</v>
      </c>
      <c r="NUF105" s="33" t="s">
        <v>334</v>
      </c>
      <c r="NUG105" s="33" t="s">
        <v>334</v>
      </c>
      <c r="NUH105" s="33" t="s">
        <v>334</v>
      </c>
      <c r="NUI105" s="33" t="s">
        <v>334</v>
      </c>
      <c r="NUJ105" s="33" t="s">
        <v>334</v>
      </c>
      <c r="NUK105" s="33" t="s">
        <v>334</v>
      </c>
      <c r="NUL105" s="33" t="s">
        <v>334</v>
      </c>
      <c r="NUM105" s="33" t="s">
        <v>334</v>
      </c>
      <c r="NUN105" s="33" t="s">
        <v>334</v>
      </c>
      <c r="NUO105" s="33" t="s">
        <v>334</v>
      </c>
      <c r="NUP105" s="33" t="s">
        <v>334</v>
      </c>
      <c r="NUQ105" s="33" t="s">
        <v>334</v>
      </c>
      <c r="NUR105" s="33" t="s">
        <v>334</v>
      </c>
      <c r="NUS105" s="33" t="s">
        <v>334</v>
      </c>
      <c r="NUT105" s="33" t="s">
        <v>334</v>
      </c>
      <c r="NUU105" s="33" t="s">
        <v>334</v>
      </c>
      <c r="NUV105" s="33" t="s">
        <v>334</v>
      </c>
      <c r="NUW105" s="33" t="s">
        <v>334</v>
      </c>
      <c r="NUX105" s="33" t="s">
        <v>334</v>
      </c>
      <c r="NUY105" s="33" t="s">
        <v>334</v>
      </c>
      <c r="NUZ105" s="33" t="s">
        <v>334</v>
      </c>
      <c r="NVA105" s="33" t="s">
        <v>334</v>
      </c>
      <c r="NVB105" s="33" t="s">
        <v>334</v>
      </c>
      <c r="NVC105" s="33" t="s">
        <v>334</v>
      </c>
      <c r="NVD105" s="33" t="s">
        <v>334</v>
      </c>
      <c r="NVE105" s="33" t="s">
        <v>334</v>
      </c>
      <c r="NVF105" s="33" t="s">
        <v>334</v>
      </c>
      <c r="NVG105" s="33" t="s">
        <v>334</v>
      </c>
      <c r="NVH105" s="33" t="s">
        <v>334</v>
      </c>
      <c r="NVI105" s="33" t="s">
        <v>334</v>
      </c>
      <c r="NVJ105" s="33" t="s">
        <v>334</v>
      </c>
      <c r="NVK105" s="33" t="s">
        <v>334</v>
      </c>
      <c r="NVL105" s="33" t="s">
        <v>334</v>
      </c>
      <c r="NVM105" s="33" t="s">
        <v>334</v>
      </c>
      <c r="NVN105" s="33" t="s">
        <v>334</v>
      </c>
      <c r="NVO105" s="33" t="s">
        <v>334</v>
      </c>
      <c r="NVP105" s="33" t="s">
        <v>334</v>
      </c>
      <c r="NVQ105" s="33" t="s">
        <v>334</v>
      </c>
      <c r="NVR105" s="33" t="s">
        <v>334</v>
      </c>
      <c r="NVS105" s="33" t="s">
        <v>334</v>
      </c>
      <c r="NVT105" s="33" t="s">
        <v>334</v>
      </c>
      <c r="NVU105" s="33" t="s">
        <v>334</v>
      </c>
      <c r="NVV105" s="33" t="s">
        <v>334</v>
      </c>
      <c r="NVW105" s="33" t="s">
        <v>334</v>
      </c>
      <c r="NVX105" s="33" t="s">
        <v>334</v>
      </c>
      <c r="NVY105" s="33" t="s">
        <v>334</v>
      </c>
      <c r="NVZ105" s="33" t="s">
        <v>334</v>
      </c>
      <c r="NWA105" s="33" t="s">
        <v>334</v>
      </c>
      <c r="NWB105" s="33" t="s">
        <v>334</v>
      </c>
      <c r="NWC105" s="33" t="s">
        <v>334</v>
      </c>
      <c r="NWD105" s="33" t="s">
        <v>334</v>
      </c>
      <c r="NWE105" s="33" t="s">
        <v>334</v>
      </c>
      <c r="NWF105" s="33" t="s">
        <v>334</v>
      </c>
      <c r="NWG105" s="33" t="s">
        <v>334</v>
      </c>
      <c r="NWH105" s="33" t="s">
        <v>334</v>
      </c>
      <c r="NWI105" s="33" t="s">
        <v>334</v>
      </c>
      <c r="NWJ105" s="33" t="s">
        <v>334</v>
      </c>
      <c r="NWK105" s="33" t="s">
        <v>334</v>
      </c>
      <c r="NWL105" s="33" t="s">
        <v>334</v>
      </c>
      <c r="NWM105" s="33" t="s">
        <v>334</v>
      </c>
      <c r="NWN105" s="33" t="s">
        <v>334</v>
      </c>
      <c r="NWO105" s="33" t="s">
        <v>334</v>
      </c>
      <c r="NWP105" s="33" t="s">
        <v>334</v>
      </c>
      <c r="NWQ105" s="33" t="s">
        <v>334</v>
      </c>
      <c r="NWR105" s="33" t="s">
        <v>334</v>
      </c>
      <c r="NWS105" s="33" t="s">
        <v>334</v>
      </c>
      <c r="NWT105" s="33" t="s">
        <v>334</v>
      </c>
      <c r="NWU105" s="33" t="s">
        <v>334</v>
      </c>
      <c r="NWV105" s="33" t="s">
        <v>334</v>
      </c>
      <c r="NWW105" s="33" t="s">
        <v>334</v>
      </c>
      <c r="NWX105" s="33" t="s">
        <v>334</v>
      </c>
      <c r="NWY105" s="33" t="s">
        <v>334</v>
      </c>
      <c r="NWZ105" s="33" t="s">
        <v>334</v>
      </c>
      <c r="NXA105" s="33" t="s">
        <v>334</v>
      </c>
      <c r="NXB105" s="33" t="s">
        <v>334</v>
      </c>
      <c r="NXC105" s="33" t="s">
        <v>334</v>
      </c>
      <c r="NXD105" s="33" t="s">
        <v>334</v>
      </c>
      <c r="NXE105" s="33" t="s">
        <v>334</v>
      </c>
      <c r="NXF105" s="33" t="s">
        <v>334</v>
      </c>
      <c r="NXG105" s="33" t="s">
        <v>334</v>
      </c>
      <c r="NXH105" s="33" t="s">
        <v>334</v>
      </c>
      <c r="NXI105" s="33" t="s">
        <v>334</v>
      </c>
      <c r="NXJ105" s="33" t="s">
        <v>334</v>
      </c>
      <c r="NXK105" s="33" t="s">
        <v>334</v>
      </c>
      <c r="NXL105" s="33" t="s">
        <v>334</v>
      </c>
      <c r="NXM105" s="33" t="s">
        <v>334</v>
      </c>
      <c r="NXN105" s="33" t="s">
        <v>334</v>
      </c>
      <c r="NXO105" s="33" t="s">
        <v>334</v>
      </c>
      <c r="NXP105" s="33" t="s">
        <v>334</v>
      </c>
      <c r="NXQ105" s="33" t="s">
        <v>334</v>
      </c>
      <c r="NXR105" s="33" t="s">
        <v>334</v>
      </c>
      <c r="NXS105" s="33" t="s">
        <v>334</v>
      </c>
      <c r="NXT105" s="33" t="s">
        <v>334</v>
      </c>
      <c r="NXU105" s="33" t="s">
        <v>334</v>
      </c>
      <c r="NXV105" s="33" t="s">
        <v>334</v>
      </c>
      <c r="NXW105" s="33" t="s">
        <v>334</v>
      </c>
      <c r="NXX105" s="33" t="s">
        <v>334</v>
      </c>
      <c r="NXY105" s="33" t="s">
        <v>334</v>
      </c>
      <c r="NXZ105" s="33" t="s">
        <v>334</v>
      </c>
      <c r="NYA105" s="33" t="s">
        <v>334</v>
      </c>
      <c r="NYB105" s="33" t="s">
        <v>334</v>
      </c>
      <c r="NYC105" s="33" t="s">
        <v>334</v>
      </c>
      <c r="NYD105" s="33" t="s">
        <v>334</v>
      </c>
      <c r="NYE105" s="33" t="s">
        <v>334</v>
      </c>
      <c r="NYF105" s="33" t="s">
        <v>334</v>
      </c>
      <c r="NYG105" s="33" t="s">
        <v>334</v>
      </c>
      <c r="NYH105" s="33" t="s">
        <v>334</v>
      </c>
      <c r="NYI105" s="33" t="s">
        <v>334</v>
      </c>
      <c r="NYJ105" s="33" t="s">
        <v>334</v>
      </c>
      <c r="NYK105" s="33" t="s">
        <v>334</v>
      </c>
      <c r="NYL105" s="33" t="s">
        <v>334</v>
      </c>
      <c r="NYM105" s="33" t="s">
        <v>334</v>
      </c>
      <c r="NYN105" s="33" t="s">
        <v>334</v>
      </c>
      <c r="NYO105" s="33" t="s">
        <v>334</v>
      </c>
      <c r="NYP105" s="33" t="s">
        <v>334</v>
      </c>
      <c r="NYQ105" s="33" t="s">
        <v>334</v>
      </c>
      <c r="NYR105" s="33" t="s">
        <v>334</v>
      </c>
      <c r="NYS105" s="33" t="s">
        <v>334</v>
      </c>
      <c r="NYT105" s="33" t="s">
        <v>334</v>
      </c>
      <c r="NYU105" s="33" t="s">
        <v>334</v>
      </c>
      <c r="NYV105" s="33" t="s">
        <v>334</v>
      </c>
      <c r="NYW105" s="33" t="s">
        <v>334</v>
      </c>
      <c r="NYX105" s="33" t="s">
        <v>334</v>
      </c>
      <c r="NYY105" s="33" t="s">
        <v>334</v>
      </c>
      <c r="NYZ105" s="33" t="s">
        <v>334</v>
      </c>
      <c r="NZA105" s="33" t="s">
        <v>334</v>
      </c>
      <c r="NZB105" s="33" t="s">
        <v>334</v>
      </c>
      <c r="NZC105" s="33" t="s">
        <v>334</v>
      </c>
      <c r="NZD105" s="33" t="s">
        <v>334</v>
      </c>
      <c r="NZE105" s="33" t="s">
        <v>334</v>
      </c>
      <c r="NZF105" s="33" t="s">
        <v>334</v>
      </c>
      <c r="NZG105" s="33" t="s">
        <v>334</v>
      </c>
      <c r="NZH105" s="33" t="s">
        <v>334</v>
      </c>
      <c r="NZI105" s="33" t="s">
        <v>334</v>
      </c>
      <c r="NZJ105" s="33" t="s">
        <v>334</v>
      </c>
      <c r="NZK105" s="33" t="s">
        <v>334</v>
      </c>
      <c r="NZL105" s="33" t="s">
        <v>334</v>
      </c>
      <c r="NZM105" s="33" t="s">
        <v>334</v>
      </c>
      <c r="NZN105" s="33" t="s">
        <v>334</v>
      </c>
      <c r="NZO105" s="33" t="s">
        <v>334</v>
      </c>
      <c r="NZP105" s="33" t="s">
        <v>334</v>
      </c>
      <c r="NZQ105" s="33" t="s">
        <v>334</v>
      </c>
      <c r="NZR105" s="33" t="s">
        <v>334</v>
      </c>
      <c r="NZS105" s="33" t="s">
        <v>334</v>
      </c>
      <c r="NZT105" s="33" t="s">
        <v>334</v>
      </c>
      <c r="NZU105" s="33" t="s">
        <v>334</v>
      </c>
      <c r="NZV105" s="33" t="s">
        <v>334</v>
      </c>
      <c r="NZW105" s="33" t="s">
        <v>334</v>
      </c>
      <c r="NZX105" s="33" t="s">
        <v>334</v>
      </c>
      <c r="NZY105" s="33" t="s">
        <v>334</v>
      </c>
      <c r="NZZ105" s="33" t="s">
        <v>334</v>
      </c>
      <c r="OAA105" s="33" t="s">
        <v>334</v>
      </c>
      <c r="OAB105" s="33" t="s">
        <v>334</v>
      </c>
      <c r="OAC105" s="33" t="s">
        <v>334</v>
      </c>
      <c r="OAD105" s="33" t="s">
        <v>334</v>
      </c>
      <c r="OAE105" s="33" t="s">
        <v>334</v>
      </c>
      <c r="OAF105" s="33" t="s">
        <v>334</v>
      </c>
      <c r="OAG105" s="33" t="s">
        <v>334</v>
      </c>
      <c r="OAH105" s="33" t="s">
        <v>334</v>
      </c>
      <c r="OAI105" s="33" t="s">
        <v>334</v>
      </c>
      <c r="OAJ105" s="33" t="s">
        <v>334</v>
      </c>
      <c r="OAK105" s="33" t="s">
        <v>334</v>
      </c>
      <c r="OAL105" s="33" t="s">
        <v>334</v>
      </c>
      <c r="OAM105" s="33" t="s">
        <v>334</v>
      </c>
      <c r="OAN105" s="33" t="s">
        <v>334</v>
      </c>
      <c r="OAO105" s="33" t="s">
        <v>334</v>
      </c>
      <c r="OAP105" s="33" t="s">
        <v>334</v>
      </c>
      <c r="OAQ105" s="33" t="s">
        <v>334</v>
      </c>
      <c r="OAR105" s="33" t="s">
        <v>334</v>
      </c>
      <c r="OAS105" s="33" t="s">
        <v>334</v>
      </c>
      <c r="OAT105" s="33" t="s">
        <v>334</v>
      </c>
      <c r="OAU105" s="33" t="s">
        <v>334</v>
      </c>
      <c r="OAV105" s="33" t="s">
        <v>334</v>
      </c>
      <c r="OAW105" s="33" t="s">
        <v>334</v>
      </c>
      <c r="OAX105" s="33" t="s">
        <v>334</v>
      </c>
      <c r="OAY105" s="33" t="s">
        <v>334</v>
      </c>
      <c r="OAZ105" s="33" t="s">
        <v>334</v>
      </c>
      <c r="OBA105" s="33" t="s">
        <v>334</v>
      </c>
      <c r="OBB105" s="33" t="s">
        <v>334</v>
      </c>
      <c r="OBC105" s="33" t="s">
        <v>334</v>
      </c>
      <c r="OBD105" s="33" t="s">
        <v>334</v>
      </c>
      <c r="OBE105" s="33" t="s">
        <v>334</v>
      </c>
      <c r="OBF105" s="33" t="s">
        <v>334</v>
      </c>
      <c r="OBG105" s="33" t="s">
        <v>334</v>
      </c>
      <c r="OBH105" s="33" t="s">
        <v>334</v>
      </c>
      <c r="OBI105" s="33" t="s">
        <v>334</v>
      </c>
      <c r="OBJ105" s="33" t="s">
        <v>334</v>
      </c>
      <c r="OBK105" s="33" t="s">
        <v>334</v>
      </c>
      <c r="OBL105" s="33" t="s">
        <v>334</v>
      </c>
      <c r="OBM105" s="33" t="s">
        <v>334</v>
      </c>
      <c r="OBN105" s="33" t="s">
        <v>334</v>
      </c>
      <c r="OBO105" s="33" t="s">
        <v>334</v>
      </c>
      <c r="OBP105" s="33" t="s">
        <v>334</v>
      </c>
      <c r="OBQ105" s="33" t="s">
        <v>334</v>
      </c>
      <c r="OBR105" s="33" t="s">
        <v>334</v>
      </c>
      <c r="OBS105" s="33" t="s">
        <v>334</v>
      </c>
      <c r="OBT105" s="33" t="s">
        <v>334</v>
      </c>
      <c r="OBU105" s="33" t="s">
        <v>334</v>
      </c>
      <c r="OBV105" s="33" t="s">
        <v>334</v>
      </c>
      <c r="OBW105" s="33" t="s">
        <v>334</v>
      </c>
      <c r="OBX105" s="33" t="s">
        <v>334</v>
      </c>
      <c r="OBY105" s="33" t="s">
        <v>334</v>
      </c>
      <c r="OBZ105" s="33" t="s">
        <v>334</v>
      </c>
      <c r="OCA105" s="33" t="s">
        <v>334</v>
      </c>
      <c r="OCB105" s="33" t="s">
        <v>334</v>
      </c>
      <c r="OCC105" s="33" t="s">
        <v>334</v>
      </c>
      <c r="OCD105" s="33" t="s">
        <v>334</v>
      </c>
      <c r="OCE105" s="33" t="s">
        <v>334</v>
      </c>
      <c r="OCF105" s="33" t="s">
        <v>334</v>
      </c>
      <c r="OCG105" s="33" t="s">
        <v>334</v>
      </c>
      <c r="OCH105" s="33" t="s">
        <v>334</v>
      </c>
      <c r="OCI105" s="33" t="s">
        <v>334</v>
      </c>
      <c r="OCJ105" s="33" t="s">
        <v>334</v>
      </c>
      <c r="OCK105" s="33" t="s">
        <v>334</v>
      </c>
      <c r="OCL105" s="33" t="s">
        <v>334</v>
      </c>
      <c r="OCM105" s="33" t="s">
        <v>334</v>
      </c>
      <c r="OCN105" s="33" t="s">
        <v>334</v>
      </c>
      <c r="OCO105" s="33" t="s">
        <v>334</v>
      </c>
      <c r="OCP105" s="33" t="s">
        <v>334</v>
      </c>
      <c r="OCQ105" s="33" t="s">
        <v>334</v>
      </c>
      <c r="OCR105" s="33" t="s">
        <v>334</v>
      </c>
      <c r="OCS105" s="33" t="s">
        <v>334</v>
      </c>
      <c r="OCT105" s="33" t="s">
        <v>334</v>
      </c>
      <c r="OCU105" s="33" t="s">
        <v>334</v>
      </c>
      <c r="OCV105" s="33" t="s">
        <v>334</v>
      </c>
      <c r="OCW105" s="33" t="s">
        <v>334</v>
      </c>
      <c r="OCX105" s="33" t="s">
        <v>334</v>
      </c>
      <c r="OCY105" s="33" t="s">
        <v>334</v>
      </c>
      <c r="OCZ105" s="33" t="s">
        <v>334</v>
      </c>
      <c r="ODA105" s="33" t="s">
        <v>334</v>
      </c>
      <c r="ODB105" s="33" t="s">
        <v>334</v>
      </c>
      <c r="ODC105" s="33" t="s">
        <v>334</v>
      </c>
      <c r="ODD105" s="33" t="s">
        <v>334</v>
      </c>
      <c r="ODE105" s="33" t="s">
        <v>334</v>
      </c>
      <c r="ODF105" s="33" t="s">
        <v>334</v>
      </c>
      <c r="ODG105" s="33" t="s">
        <v>334</v>
      </c>
      <c r="ODH105" s="33" t="s">
        <v>334</v>
      </c>
      <c r="ODI105" s="33" t="s">
        <v>334</v>
      </c>
      <c r="ODJ105" s="33" t="s">
        <v>334</v>
      </c>
      <c r="ODK105" s="33" t="s">
        <v>334</v>
      </c>
      <c r="ODL105" s="33" t="s">
        <v>334</v>
      </c>
      <c r="ODM105" s="33" t="s">
        <v>334</v>
      </c>
      <c r="ODN105" s="33" t="s">
        <v>334</v>
      </c>
      <c r="ODO105" s="33" t="s">
        <v>334</v>
      </c>
      <c r="ODP105" s="33" t="s">
        <v>334</v>
      </c>
      <c r="ODQ105" s="33" t="s">
        <v>334</v>
      </c>
      <c r="ODR105" s="33" t="s">
        <v>334</v>
      </c>
      <c r="ODS105" s="33" t="s">
        <v>334</v>
      </c>
      <c r="ODT105" s="33" t="s">
        <v>334</v>
      </c>
      <c r="ODU105" s="33" t="s">
        <v>334</v>
      </c>
      <c r="ODV105" s="33" t="s">
        <v>334</v>
      </c>
      <c r="ODW105" s="33" t="s">
        <v>334</v>
      </c>
      <c r="ODX105" s="33" t="s">
        <v>334</v>
      </c>
      <c r="ODY105" s="33" t="s">
        <v>334</v>
      </c>
      <c r="ODZ105" s="33" t="s">
        <v>334</v>
      </c>
      <c r="OEA105" s="33" t="s">
        <v>334</v>
      </c>
      <c r="OEB105" s="33" t="s">
        <v>334</v>
      </c>
      <c r="OEC105" s="33" t="s">
        <v>334</v>
      </c>
      <c r="OED105" s="33" t="s">
        <v>334</v>
      </c>
      <c r="OEE105" s="33" t="s">
        <v>334</v>
      </c>
      <c r="OEF105" s="33" t="s">
        <v>334</v>
      </c>
      <c r="OEG105" s="33" t="s">
        <v>334</v>
      </c>
      <c r="OEH105" s="33" t="s">
        <v>334</v>
      </c>
      <c r="OEI105" s="33" t="s">
        <v>334</v>
      </c>
      <c r="OEJ105" s="33" t="s">
        <v>334</v>
      </c>
      <c r="OEK105" s="33" t="s">
        <v>334</v>
      </c>
      <c r="OEL105" s="33" t="s">
        <v>334</v>
      </c>
      <c r="OEM105" s="33" t="s">
        <v>334</v>
      </c>
      <c r="OEN105" s="33" t="s">
        <v>334</v>
      </c>
      <c r="OEO105" s="33" t="s">
        <v>334</v>
      </c>
      <c r="OEP105" s="33" t="s">
        <v>334</v>
      </c>
      <c r="OEQ105" s="33" t="s">
        <v>334</v>
      </c>
      <c r="OER105" s="33" t="s">
        <v>334</v>
      </c>
      <c r="OES105" s="33" t="s">
        <v>334</v>
      </c>
      <c r="OET105" s="33" t="s">
        <v>334</v>
      </c>
      <c r="OEU105" s="33" t="s">
        <v>334</v>
      </c>
      <c r="OEV105" s="33" t="s">
        <v>334</v>
      </c>
      <c r="OEW105" s="33" t="s">
        <v>334</v>
      </c>
      <c r="OEX105" s="33" t="s">
        <v>334</v>
      </c>
      <c r="OEY105" s="33" t="s">
        <v>334</v>
      </c>
      <c r="OEZ105" s="33" t="s">
        <v>334</v>
      </c>
      <c r="OFA105" s="33" t="s">
        <v>334</v>
      </c>
      <c r="OFB105" s="33" t="s">
        <v>334</v>
      </c>
      <c r="OFC105" s="33" t="s">
        <v>334</v>
      </c>
      <c r="OFD105" s="33" t="s">
        <v>334</v>
      </c>
      <c r="OFE105" s="33" t="s">
        <v>334</v>
      </c>
      <c r="OFF105" s="33" t="s">
        <v>334</v>
      </c>
      <c r="OFG105" s="33" t="s">
        <v>334</v>
      </c>
      <c r="OFH105" s="33" t="s">
        <v>334</v>
      </c>
      <c r="OFI105" s="33" t="s">
        <v>334</v>
      </c>
      <c r="OFJ105" s="33" t="s">
        <v>334</v>
      </c>
      <c r="OFK105" s="33" t="s">
        <v>334</v>
      </c>
      <c r="OFL105" s="33" t="s">
        <v>334</v>
      </c>
      <c r="OFM105" s="33" t="s">
        <v>334</v>
      </c>
      <c r="OFN105" s="33" t="s">
        <v>334</v>
      </c>
      <c r="OFO105" s="33" t="s">
        <v>334</v>
      </c>
      <c r="OFP105" s="33" t="s">
        <v>334</v>
      </c>
      <c r="OFQ105" s="33" t="s">
        <v>334</v>
      </c>
      <c r="OFR105" s="33" t="s">
        <v>334</v>
      </c>
      <c r="OFS105" s="33" t="s">
        <v>334</v>
      </c>
      <c r="OFT105" s="33" t="s">
        <v>334</v>
      </c>
      <c r="OFU105" s="33" t="s">
        <v>334</v>
      </c>
      <c r="OFV105" s="33" t="s">
        <v>334</v>
      </c>
      <c r="OFW105" s="33" t="s">
        <v>334</v>
      </c>
      <c r="OFX105" s="33" t="s">
        <v>334</v>
      </c>
      <c r="OFY105" s="33" t="s">
        <v>334</v>
      </c>
      <c r="OFZ105" s="33" t="s">
        <v>334</v>
      </c>
      <c r="OGA105" s="33" t="s">
        <v>334</v>
      </c>
      <c r="OGB105" s="33" t="s">
        <v>334</v>
      </c>
      <c r="OGC105" s="33" t="s">
        <v>334</v>
      </c>
      <c r="OGD105" s="33" t="s">
        <v>334</v>
      </c>
      <c r="OGE105" s="33" t="s">
        <v>334</v>
      </c>
      <c r="OGF105" s="33" t="s">
        <v>334</v>
      </c>
      <c r="OGG105" s="33" t="s">
        <v>334</v>
      </c>
      <c r="OGH105" s="33" t="s">
        <v>334</v>
      </c>
      <c r="OGI105" s="33" t="s">
        <v>334</v>
      </c>
      <c r="OGJ105" s="33" t="s">
        <v>334</v>
      </c>
      <c r="OGK105" s="33" t="s">
        <v>334</v>
      </c>
      <c r="OGL105" s="33" t="s">
        <v>334</v>
      </c>
      <c r="OGM105" s="33" t="s">
        <v>334</v>
      </c>
      <c r="OGN105" s="33" t="s">
        <v>334</v>
      </c>
      <c r="OGO105" s="33" t="s">
        <v>334</v>
      </c>
      <c r="OGP105" s="33" t="s">
        <v>334</v>
      </c>
      <c r="OGQ105" s="33" t="s">
        <v>334</v>
      </c>
      <c r="OGR105" s="33" t="s">
        <v>334</v>
      </c>
      <c r="OGS105" s="33" t="s">
        <v>334</v>
      </c>
      <c r="OGT105" s="33" t="s">
        <v>334</v>
      </c>
      <c r="OGU105" s="33" t="s">
        <v>334</v>
      </c>
      <c r="OGV105" s="33" t="s">
        <v>334</v>
      </c>
      <c r="OGW105" s="33" t="s">
        <v>334</v>
      </c>
      <c r="OGX105" s="33" t="s">
        <v>334</v>
      </c>
      <c r="OGY105" s="33" t="s">
        <v>334</v>
      </c>
      <c r="OGZ105" s="33" t="s">
        <v>334</v>
      </c>
      <c r="OHA105" s="33" t="s">
        <v>334</v>
      </c>
      <c r="OHB105" s="33" t="s">
        <v>334</v>
      </c>
      <c r="OHC105" s="33" t="s">
        <v>334</v>
      </c>
      <c r="OHD105" s="33" t="s">
        <v>334</v>
      </c>
      <c r="OHE105" s="33" t="s">
        <v>334</v>
      </c>
      <c r="OHF105" s="33" t="s">
        <v>334</v>
      </c>
      <c r="OHG105" s="33" t="s">
        <v>334</v>
      </c>
      <c r="OHH105" s="33" t="s">
        <v>334</v>
      </c>
      <c r="OHI105" s="33" t="s">
        <v>334</v>
      </c>
      <c r="OHJ105" s="33" t="s">
        <v>334</v>
      </c>
      <c r="OHK105" s="33" t="s">
        <v>334</v>
      </c>
      <c r="OHL105" s="33" t="s">
        <v>334</v>
      </c>
      <c r="OHM105" s="33" t="s">
        <v>334</v>
      </c>
      <c r="OHN105" s="33" t="s">
        <v>334</v>
      </c>
      <c r="OHO105" s="33" t="s">
        <v>334</v>
      </c>
      <c r="OHP105" s="33" t="s">
        <v>334</v>
      </c>
      <c r="OHQ105" s="33" t="s">
        <v>334</v>
      </c>
      <c r="OHR105" s="33" t="s">
        <v>334</v>
      </c>
      <c r="OHS105" s="33" t="s">
        <v>334</v>
      </c>
      <c r="OHT105" s="33" t="s">
        <v>334</v>
      </c>
      <c r="OHU105" s="33" t="s">
        <v>334</v>
      </c>
      <c r="OHV105" s="33" t="s">
        <v>334</v>
      </c>
      <c r="OHW105" s="33" t="s">
        <v>334</v>
      </c>
      <c r="OHX105" s="33" t="s">
        <v>334</v>
      </c>
      <c r="OHY105" s="33" t="s">
        <v>334</v>
      </c>
      <c r="OHZ105" s="33" t="s">
        <v>334</v>
      </c>
      <c r="OIA105" s="33" t="s">
        <v>334</v>
      </c>
      <c r="OIB105" s="33" t="s">
        <v>334</v>
      </c>
      <c r="OIC105" s="33" t="s">
        <v>334</v>
      </c>
      <c r="OID105" s="33" t="s">
        <v>334</v>
      </c>
      <c r="OIE105" s="33" t="s">
        <v>334</v>
      </c>
      <c r="OIF105" s="33" t="s">
        <v>334</v>
      </c>
      <c r="OIG105" s="33" t="s">
        <v>334</v>
      </c>
      <c r="OIH105" s="33" t="s">
        <v>334</v>
      </c>
      <c r="OII105" s="33" t="s">
        <v>334</v>
      </c>
      <c r="OIJ105" s="33" t="s">
        <v>334</v>
      </c>
      <c r="OIK105" s="33" t="s">
        <v>334</v>
      </c>
      <c r="OIL105" s="33" t="s">
        <v>334</v>
      </c>
      <c r="OIM105" s="33" t="s">
        <v>334</v>
      </c>
      <c r="OIN105" s="33" t="s">
        <v>334</v>
      </c>
      <c r="OIO105" s="33" t="s">
        <v>334</v>
      </c>
      <c r="OIP105" s="33" t="s">
        <v>334</v>
      </c>
      <c r="OIQ105" s="33" t="s">
        <v>334</v>
      </c>
      <c r="OIR105" s="33" t="s">
        <v>334</v>
      </c>
      <c r="OIS105" s="33" t="s">
        <v>334</v>
      </c>
      <c r="OIT105" s="33" t="s">
        <v>334</v>
      </c>
      <c r="OIU105" s="33" t="s">
        <v>334</v>
      </c>
      <c r="OIV105" s="33" t="s">
        <v>334</v>
      </c>
      <c r="OIW105" s="33" t="s">
        <v>334</v>
      </c>
      <c r="OIX105" s="33" t="s">
        <v>334</v>
      </c>
      <c r="OIY105" s="33" t="s">
        <v>334</v>
      </c>
      <c r="OIZ105" s="33" t="s">
        <v>334</v>
      </c>
      <c r="OJA105" s="33" t="s">
        <v>334</v>
      </c>
      <c r="OJB105" s="33" t="s">
        <v>334</v>
      </c>
      <c r="OJC105" s="33" t="s">
        <v>334</v>
      </c>
      <c r="OJD105" s="33" t="s">
        <v>334</v>
      </c>
      <c r="OJE105" s="33" t="s">
        <v>334</v>
      </c>
      <c r="OJF105" s="33" t="s">
        <v>334</v>
      </c>
      <c r="OJG105" s="33" t="s">
        <v>334</v>
      </c>
      <c r="OJH105" s="33" t="s">
        <v>334</v>
      </c>
      <c r="OJI105" s="33" t="s">
        <v>334</v>
      </c>
      <c r="OJJ105" s="33" t="s">
        <v>334</v>
      </c>
      <c r="OJK105" s="33" t="s">
        <v>334</v>
      </c>
      <c r="OJL105" s="33" t="s">
        <v>334</v>
      </c>
      <c r="OJM105" s="33" t="s">
        <v>334</v>
      </c>
      <c r="OJN105" s="33" t="s">
        <v>334</v>
      </c>
      <c r="OJO105" s="33" t="s">
        <v>334</v>
      </c>
      <c r="OJP105" s="33" t="s">
        <v>334</v>
      </c>
      <c r="OJQ105" s="33" t="s">
        <v>334</v>
      </c>
      <c r="OJR105" s="33" t="s">
        <v>334</v>
      </c>
      <c r="OJS105" s="33" t="s">
        <v>334</v>
      </c>
      <c r="OJT105" s="33" t="s">
        <v>334</v>
      </c>
      <c r="OJU105" s="33" t="s">
        <v>334</v>
      </c>
      <c r="OJV105" s="33" t="s">
        <v>334</v>
      </c>
      <c r="OJW105" s="33" t="s">
        <v>334</v>
      </c>
      <c r="OJX105" s="33" t="s">
        <v>334</v>
      </c>
      <c r="OJY105" s="33" t="s">
        <v>334</v>
      </c>
      <c r="OJZ105" s="33" t="s">
        <v>334</v>
      </c>
      <c r="OKA105" s="33" t="s">
        <v>334</v>
      </c>
      <c r="OKB105" s="33" t="s">
        <v>334</v>
      </c>
      <c r="OKC105" s="33" t="s">
        <v>334</v>
      </c>
      <c r="OKD105" s="33" t="s">
        <v>334</v>
      </c>
      <c r="OKE105" s="33" t="s">
        <v>334</v>
      </c>
      <c r="OKF105" s="33" t="s">
        <v>334</v>
      </c>
      <c r="OKG105" s="33" t="s">
        <v>334</v>
      </c>
      <c r="OKH105" s="33" t="s">
        <v>334</v>
      </c>
      <c r="OKI105" s="33" t="s">
        <v>334</v>
      </c>
      <c r="OKJ105" s="33" t="s">
        <v>334</v>
      </c>
      <c r="OKK105" s="33" t="s">
        <v>334</v>
      </c>
      <c r="OKL105" s="33" t="s">
        <v>334</v>
      </c>
      <c r="OKM105" s="33" t="s">
        <v>334</v>
      </c>
      <c r="OKN105" s="33" t="s">
        <v>334</v>
      </c>
      <c r="OKO105" s="33" t="s">
        <v>334</v>
      </c>
      <c r="OKP105" s="33" t="s">
        <v>334</v>
      </c>
      <c r="OKQ105" s="33" t="s">
        <v>334</v>
      </c>
      <c r="OKR105" s="33" t="s">
        <v>334</v>
      </c>
      <c r="OKS105" s="33" t="s">
        <v>334</v>
      </c>
      <c r="OKT105" s="33" t="s">
        <v>334</v>
      </c>
      <c r="OKU105" s="33" t="s">
        <v>334</v>
      </c>
      <c r="OKV105" s="33" t="s">
        <v>334</v>
      </c>
      <c r="OKW105" s="33" t="s">
        <v>334</v>
      </c>
      <c r="OKX105" s="33" t="s">
        <v>334</v>
      </c>
      <c r="OKY105" s="33" t="s">
        <v>334</v>
      </c>
      <c r="OKZ105" s="33" t="s">
        <v>334</v>
      </c>
      <c r="OLA105" s="33" t="s">
        <v>334</v>
      </c>
      <c r="OLB105" s="33" t="s">
        <v>334</v>
      </c>
      <c r="OLC105" s="33" t="s">
        <v>334</v>
      </c>
      <c r="OLD105" s="33" t="s">
        <v>334</v>
      </c>
      <c r="OLE105" s="33" t="s">
        <v>334</v>
      </c>
      <c r="OLF105" s="33" t="s">
        <v>334</v>
      </c>
      <c r="OLG105" s="33" t="s">
        <v>334</v>
      </c>
      <c r="OLH105" s="33" t="s">
        <v>334</v>
      </c>
      <c r="OLI105" s="33" t="s">
        <v>334</v>
      </c>
      <c r="OLJ105" s="33" t="s">
        <v>334</v>
      </c>
      <c r="OLK105" s="33" t="s">
        <v>334</v>
      </c>
      <c r="OLL105" s="33" t="s">
        <v>334</v>
      </c>
      <c r="OLM105" s="33" t="s">
        <v>334</v>
      </c>
      <c r="OLN105" s="33" t="s">
        <v>334</v>
      </c>
      <c r="OLO105" s="33" t="s">
        <v>334</v>
      </c>
      <c r="OLP105" s="33" t="s">
        <v>334</v>
      </c>
      <c r="OLQ105" s="33" t="s">
        <v>334</v>
      </c>
      <c r="OLR105" s="33" t="s">
        <v>334</v>
      </c>
      <c r="OLS105" s="33" t="s">
        <v>334</v>
      </c>
      <c r="OLT105" s="33" t="s">
        <v>334</v>
      </c>
      <c r="OLU105" s="33" t="s">
        <v>334</v>
      </c>
      <c r="OLV105" s="33" t="s">
        <v>334</v>
      </c>
      <c r="OLW105" s="33" t="s">
        <v>334</v>
      </c>
      <c r="OLX105" s="33" t="s">
        <v>334</v>
      </c>
      <c r="OLY105" s="33" t="s">
        <v>334</v>
      </c>
      <c r="OLZ105" s="33" t="s">
        <v>334</v>
      </c>
      <c r="OMA105" s="33" t="s">
        <v>334</v>
      </c>
      <c r="OMB105" s="33" t="s">
        <v>334</v>
      </c>
      <c r="OMC105" s="33" t="s">
        <v>334</v>
      </c>
      <c r="OMD105" s="33" t="s">
        <v>334</v>
      </c>
      <c r="OME105" s="33" t="s">
        <v>334</v>
      </c>
      <c r="OMF105" s="33" t="s">
        <v>334</v>
      </c>
      <c r="OMG105" s="33" t="s">
        <v>334</v>
      </c>
      <c r="OMH105" s="33" t="s">
        <v>334</v>
      </c>
      <c r="OMI105" s="33" t="s">
        <v>334</v>
      </c>
      <c r="OMJ105" s="33" t="s">
        <v>334</v>
      </c>
      <c r="OMK105" s="33" t="s">
        <v>334</v>
      </c>
      <c r="OML105" s="33" t="s">
        <v>334</v>
      </c>
      <c r="OMM105" s="33" t="s">
        <v>334</v>
      </c>
      <c r="OMN105" s="33" t="s">
        <v>334</v>
      </c>
      <c r="OMO105" s="33" t="s">
        <v>334</v>
      </c>
      <c r="OMP105" s="33" t="s">
        <v>334</v>
      </c>
      <c r="OMQ105" s="33" t="s">
        <v>334</v>
      </c>
      <c r="OMR105" s="33" t="s">
        <v>334</v>
      </c>
      <c r="OMS105" s="33" t="s">
        <v>334</v>
      </c>
      <c r="OMT105" s="33" t="s">
        <v>334</v>
      </c>
      <c r="OMU105" s="33" t="s">
        <v>334</v>
      </c>
      <c r="OMV105" s="33" t="s">
        <v>334</v>
      </c>
      <c r="OMW105" s="33" t="s">
        <v>334</v>
      </c>
      <c r="OMX105" s="33" t="s">
        <v>334</v>
      </c>
      <c r="OMY105" s="33" t="s">
        <v>334</v>
      </c>
      <c r="OMZ105" s="33" t="s">
        <v>334</v>
      </c>
      <c r="ONA105" s="33" t="s">
        <v>334</v>
      </c>
      <c r="ONB105" s="33" t="s">
        <v>334</v>
      </c>
      <c r="ONC105" s="33" t="s">
        <v>334</v>
      </c>
      <c r="OND105" s="33" t="s">
        <v>334</v>
      </c>
      <c r="ONE105" s="33" t="s">
        <v>334</v>
      </c>
      <c r="ONF105" s="33" t="s">
        <v>334</v>
      </c>
      <c r="ONG105" s="33" t="s">
        <v>334</v>
      </c>
      <c r="ONH105" s="33" t="s">
        <v>334</v>
      </c>
      <c r="ONI105" s="33" t="s">
        <v>334</v>
      </c>
      <c r="ONJ105" s="33" t="s">
        <v>334</v>
      </c>
      <c r="ONK105" s="33" t="s">
        <v>334</v>
      </c>
      <c r="ONL105" s="33" t="s">
        <v>334</v>
      </c>
      <c r="ONM105" s="33" t="s">
        <v>334</v>
      </c>
      <c r="ONN105" s="33" t="s">
        <v>334</v>
      </c>
      <c r="ONO105" s="33" t="s">
        <v>334</v>
      </c>
      <c r="ONP105" s="33" t="s">
        <v>334</v>
      </c>
      <c r="ONQ105" s="33" t="s">
        <v>334</v>
      </c>
      <c r="ONR105" s="33" t="s">
        <v>334</v>
      </c>
      <c r="ONS105" s="33" t="s">
        <v>334</v>
      </c>
      <c r="ONT105" s="33" t="s">
        <v>334</v>
      </c>
      <c r="ONU105" s="33" t="s">
        <v>334</v>
      </c>
      <c r="ONV105" s="33" t="s">
        <v>334</v>
      </c>
      <c r="ONW105" s="33" t="s">
        <v>334</v>
      </c>
      <c r="ONX105" s="33" t="s">
        <v>334</v>
      </c>
      <c r="ONY105" s="33" t="s">
        <v>334</v>
      </c>
      <c r="ONZ105" s="33" t="s">
        <v>334</v>
      </c>
      <c r="OOA105" s="33" t="s">
        <v>334</v>
      </c>
      <c r="OOB105" s="33" t="s">
        <v>334</v>
      </c>
      <c r="OOC105" s="33" t="s">
        <v>334</v>
      </c>
      <c r="OOD105" s="33" t="s">
        <v>334</v>
      </c>
      <c r="OOE105" s="33" t="s">
        <v>334</v>
      </c>
      <c r="OOF105" s="33" t="s">
        <v>334</v>
      </c>
      <c r="OOG105" s="33" t="s">
        <v>334</v>
      </c>
      <c r="OOH105" s="33" t="s">
        <v>334</v>
      </c>
      <c r="OOI105" s="33" t="s">
        <v>334</v>
      </c>
      <c r="OOJ105" s="33" t="s">
        <v>334</v>
      </c>
      <c r="OOK105" s="33" t="s">
        <v>334</v>
      </c>
      <c r="OOL105" s="33" t="s">
        <v>334</v>
      </c>
      <c r="OOM105" s="33" t="s">
        <v>334</v>
      </c>
      <c r="OON105" s="33" t="s">
        <v>334</v>
      </c>
      <c r="OOO105" s="33" t="s">
        <v>334</v>
      </c>
      <c r="OOP105" s="33" t="s">
        <v>334</v>
      </c>
      <c r="OOQ105" s="33" t="s">
        <v>334</v>
      </c>
      <c r="OOR105" s="33" t="s">
        <v>334</v>
      </c>
      <c r="OOS105" s="33" t="s">
        <v>334</v>
      </c>
      <c r="OOT105" s="33" t="s">
        <v>334</v>
      </c>
      <c r="OOU105" s="33" t="s">
        <v>334</v>
      </c>
      <c r="OOV105" s="33" t="s">
        <v>334</v>
      </c>
      <c r="OOW105" s="33" t="s">
        <v>334</v>
      </c>
      <c r="OOX105" s="33" t="s">
        <v>334</v>
      </c>
      <c r="OOY105" s="33" t="s">
        <v>334</v>
      </c>
      <c r="OOZ105" s="33" t="s">
        <v>334</v>
      </c>
      <c r="OPA105" s="33" t="s">
        <v>334</v>
      </c>
      <c r="OPB105" s="33" t="s">
        <v>334</v>
      </c>
      <c r="OPC105" s="33" t="s">
        <v>334</v>
      </c>
      <c r="OPD105" s="33" t="s">
        <v>334</v>
      </c>
      <c r="OPE105" s="33" t="s">
        <v>334</v>
      </c>
      <c r="OPF105" s="33" t="s">
        <v>334</v>
      </c>
      <c r="OPG105" s="33" t="s">
        <v>334</v>
      </c>
      <c r="OPH105" s="33" t="s">
        <v>334</v>
      </c>
      <c r="OPI105" s="33" t="s">
        <v>334</v>
      </c>
      <c r="OPJ105" s="33" t="s">
        <v>334</v>
      </c>
      <c r="OPK105" s="33" t="s">
        <v>334</v>
      </c>
      <c r="OPL105" s="33" t="s">
        <v>334</v>
      </c>
      <c r="OPM105" s="33" t="s">
        <v>334</v>
      </c>
      <c r="OPN105" s="33" t="s">
        <v>334</v>
      </c>
      <c r="OPO105" s="33" t="s">
        <v>334</v>
      </c>
      <c r="OPP105" s="33" t="s">
        <v>334</v>
      </c>
      <c r="OPQ105" s="33" t="s">
        <v>334</v>
      </c>
      <c r="OPR105" s="33" t="s">
        <v>334</v>
      </c>
      <c r="OPS105" s="33" t="s">
        <v>334</v>
      </c>
      <c r="OPT105" s="33" t="s">
        <v>334</v>
      </c>
      <c r="OPU105" s="33" t="s">
        <v>334</v>
      </c>
      <c r="OPV105" s="33" t="s">
        <v>334</v>
      </c>
      <c r="OPW105" s="33" t="s">
        <v>334</v>
      </c>
      <c r="OPX105" s="33" t="s">
        <v>334</v>
      </c>
      <c r="OPY105" s="33" t="s">
        <v>334</v>
      </c>
      <c r="OPZ105" s="33" t="s">
        <v>334</v>
      </c>
      <c r="OQA105" s="33" t="s">
        <v>334</v>
      </c>
      <c r="OQB105" s="33" t="s">
        <v>334</v>
      </c>
      <c r="OQC105" s="33" t="s">
        <v>334</v>
      </c>
      <c r="OQD105" s="33" t="s">
        <v>334</v>
      </c>
      <c r="OQE105" s="33" t="s">
        <v>334</v>
      </c>
      <c r="OQF105" s="33" t="s">
        <v>334</v>
      </c>
      <c r="OQG105" s="33" t="s">
        <v>334</v>
      </c>
      <c r="OQH105" s="33" t="s">
        <v>334</v>
      </c>
      <c r="OQI105" s="33" t="s">
        <v>334</v>
      </c>
      <c r="OQJ105" s="33" t="s">
        <v>334</v>
      </c>
      <c r="OQK105" s="33" t="s">
        <v>334</v>
      </c>
      <c r="OQL105" s="33" t="s">
        <v>334</v>
      </c>
      <c r="OQM105" s="33" t="s">
        <v>334</v>
      </c>
      <c r="OQN105" s="33" t="s">
        <v>334</v>
      </c>
      <c r="OQO105" s="33" t="s">
        <v>334</v>
      </c>
      <c r="OQP105" s="33" t="s">
        <v>334</v>
      </c>
      <c r="OQQ105" s="33" t="s">
        <v>334</v>
      </c>
      <c r="OQR105" s="33" t="s">
        <v>334</v>
      </c>
      <c r="OQS105" s="33" t="s">
        <v>334</v>
      </c>
      <c r="OQT105" s="33" t="s">
        <v>334</v>
      </c>
      <c r="OQU105" s="33" t="s">
        <v>334</v>
      </c>
      <c r="OQV105" s="33" t="s">
        <v>334</v>
      </c>
      <c r="OQW105" s="33" t="s">
        <v>334</v>
      </c>
      <c r="OQX105" s="33" t="s">
        <v>334</v>
      </c>
      <c r="OQY105" s="33" t="s">
        <v>334</v>
      </c>
      <c r="OQZ105" s="33" t="s">
        <v>334</v>
      </c>
      <c r="ORA105" s="33" t="s">
        <v>334</v>
      </c>
      <c r="ORB105" s="33" t="s">
        <v>334</v>
      </c>
      <c r="ORC105" s="33" t="s">
        <v>334</v>
      </c>
      <c r="ORD105" s="33" t="s">
        <v>334</v>
      </c>
      <c r="ORE105" s="33" t="s">
        <v>334</v>
      </c>
      <c r="ORF105" s="33" t="s">
        <v>334</v>
      </c>
      <c r="ORG105" s="33" t="s">
        <v>334</v>
      </c>
      <c r="ORH105" s="33" t="s">
        <v>334</v>
      </c>
      <c r="ORI105" s="33" t="s">
        <v>334</v>
      </c>
      <c r="ORJ105" s="33" t="s">
        <v>334</v>
      </c>
      <c r="ORK105" s="33" t="s">
        <v>334</v>
      </c>
      <c r="ORL105" s="33" t="s">
        <v>334</v>
      </c>
      <c r="ORM105" s="33" t="s">
        <v>334</v>
      </c>
      <c r="ORN105" s="33" t="s">
        <v>334</v>
      </c>
      <c r="ORO105" s="33" t="s">
        <v>334</v>
      </c>
      <c r="ORP105" s="33" t="s">
        <v>334</v>
      </c>
      <c r="ORQ105" s="33" t="s">
        <v>334</v>
      </c>
      <c r="ORR105" s="33" t="s">
        <v>334</v>
      </c>
      <c r="ORS105" s="33" t="s">
        <v>334</v>
      </c>
      <c r="ORT105" s="33" t="s">
        <v>334</v>
      </c>
      <c r="ORU105" s="33" t="s">
        <v>334</v>
      </c>
      <c r="ORV105" s="33" t="s">
        <v>334</v>
      </c>
      <c r="ORW105" s="33" t="s">
        <v>334</v>
      </c>
      <c r="ORX105" s="33" t="s">
        <v>334</v>
      </c>
      <c r="ORY105" s="33" t="s">
        <v>334</v>
      </c>
      <c r="ORZ105" s="33" t="s">
        <v>334</v>
      </c>
      <c r="OSA105" s="33" t="s">
        <v>334</v>
      </c>
      <c r="OSB105" s="33" t="s">
        <v>334</v>
      </c>
      <c r="OSC105" s="33" t="s">
        <v>334</v>
      </c>
      <c r="OSD105" s="33" t="s">
        <v>334</v>
      </c>
      <c r="OSE105" s="33" t="s">
        <v>334</v>
      </c>
      <c r="OSF105" s="33" t="s">
        <v>334</v>
      </c>
      <c r="OSG105" s="33" t="s">
        <v>334</v>
      </c>
      <c r="OSH105" s="33" t="s">
        <v>334</v>
      </c>
      <c r="OSI105" s="33" t="s">
        <v>334</v>
      </c>
      <c r="OSJ105" s="33" t="s">
        <v>334</v>
      </c>
      <c r="OSK105" s="33" t="s">
        <v>334</v>
      </c>
      <c r="OSL105" s="33" t="s">
        <v>334</v>
      </c>
      <c r="OSM105" s="33" t="s">
        <v>334</v>
      </c>
      <c r="OSN105" s="33" t="s">
        <v>334</v>
      </c>
      <c r="OSO105" s="33" t="s">
        <v>334</v>
      </c>
      <c r="OSP105" s="33" t="s">
        <v>334</v>
      </c>
      <c r="OSQ105" s="33" t="s">
        <v>334</v>
      </c>
      <c r="OSR105" s="33" t="s">
        <v>334</v>
      </c>
      <c r="OSS105" s="33" t="s">
        <v>334</v>
      </c>
      <c r="OST105" s="33" t="s">
        <v>334</v>
      </c>
      <c r="OSU105" s="33" t="s">
        <v>334</v>
      </c>
      <c r="OSV105" s="33" t="s">
        <v>334</v>
      </c>
      <c r="OSW105" s="33" t="s">
        <v>334</v>
      </c>
      <c r="OSX105" s="33" t="s">
        <v>334</v>
      </c>
      <c r="OSY105" s="33" t="s">
        <v>334</v>
      </c>
      <c r="OSZ105" s="33" t="s">
        <v>334</v>
      </c>
      <c r="OTA105" s="33" t="s">
        <v>334</v>
      </c>
      <c r="OTB105" s="33" t="s">
        <v>334</v>
      </c>
      <c r="OTC105" s="33" t="s">
        <v>334</v>
      </c>
      <c r="OTD105" s="33" t="s">
        <v>334</v>
      </c>
      <c r="OTE105" s="33" t="s">
        <v>334</v>
      </c>
      <c r="OTF105" s="33" t="s">
        <v>334</v>
      </c>
      <c r="OTG105" s="33" t="s">
        <v>334</v>
      </c>
      <c r="OTH105" s="33" t="s">
        <v>334</v>
      </c>
      <c r="OTI105" s="33" t="s">
        <v>334</v>
      </c>
      <c r="OTJ105" s="33" t="s">
        <v>334</v>
      </c>
      <c r="OTK105" s="33" t="s">
        <v>334</v>
      </c>
      <c r="OTL105" s="33" t="s">
        <v>334</v>
      </c>
      <c r="OTM105" s="33" t="s">
        <v>334</v>
      </c>
      <c r="OTN105" s="33" t="s">
        <v>334</v>
      </c>
      <c r="OTO105" s="33" t="s">
        <v>334</v>
      </c>
      <c r="OTP105" s="33" t="s">
        <v>334</v>
      </c>
      <c r="OTQ105" s="33" t="s">
        <v>334</v>
      </c>
      <c r="OTR105" s="33" t="s">
        <v>334</v>
      </c>
      <c r="OTS105" s="33" t="s">
        <v>334</v>
      </c>
      <c r="OTT105" s="33" t="s">
        <v>334</v>
      </c>
      <c r="OTU105" s="33" t="s">
        <v>334</v>
      </c>
      <c r="OTV105" s="33" t="s">
        <v>334</v>
      </c>
      <c r="OTW105" s="33" t="s">
        <v>334</v>
      </c>
      <c r="OTX105" s="33" t="s">
        <v>334</v>
      </c>
      <c r="OTY105" s="33" t="s">
        <v>334</v>
      </c>
      <c r="OTZ105" s="33" t="s">
        <v>334</v>
      </c>
      <c r="OUA105" s="33" t="s">
        <v>334</v>
      </c>
      <c r="OUB105" s="33" t="s">
        <v>334</v>
      </c>
      <c r="OUC105" s="33" t="s">
        <v>334</v>
      </c>
      <c r="OUD105" s="33" t="s">
        <v>334</v>
      </c>
      <c r="OUE105" s="33" t="s">
        <v>334</v>
      </c>
      <c r="OUF105" s="33" t="s">
        <v>334</v>
      </c>
      <c r="OUG105" s="33" t="s">
        <v>334</v>
      </c>
      <c r="OUH105" s="33" t="s">
        <v>334</v>
      </c>
      <c r="OUI105" s="33" t="s">
        <v>334</v>
      </c>
      <c r="OUJ105" s="33" t="s">
        <v>334</v>
      </c>
      <c r="OUK105" s="33" t="s">
        <v>334</v>
      </c>
      <c r="OUL105" s="33" t="s">
        <v>334</v>
      </c>
      <c r="OUM105" s="33" t="s">
        <v>334</v>
      </c>
      <c r="OUN105" s="33" t="s">
        <v>334</v>
      </c>
      <c r="OUO105" s="33" t="s">
        <v>334</v>
      </c>
      <c r="OUP105" s="33" t="s">
        <v>334</v>
      </c>
      <c r="OUQ105" s="33" t="s">
        <v>334</v>
      </c>
      <c r="OUR105" s="33" t="s">
        <v>334</v>
      </c>
      <c r="OUS105" s="33" t="s">
        <v>334</v>
      </c>
      <c r="OUT105" s="33" t="s">
        <v>334</v>
      </c>
      <c r="OUU105" s="33" t="s">
        <v>334</v>
      </c>
      <c r="OUV105" s="33" t="s">
        <v>334</v>
      </c>
      <c r="OUW105" s="33" t="s">
        <v>334</v>
      </c>
      <c r="OUX105" s="33" t="s">
        <v>334</v>
      </c>
      <c r="OUY105" s="33" t="s">
        <v>334</v>
      </c>
      <c r="OUZ105" s="33" t="s">
        <v>334</v>
      </c>
      <c r="OVA105" s="33" t="s">
        <v>334</v>
      </c>
      <c r="OVB105" s="33" t="s">
        <v>334</v>
      </c>
      <c r="OVC105" s="33" t="s">
        <v>334</v>
      </c>
      <c r="OVD105" s="33" t="s">
        <v>334</v>
      </c>
      <c r="OVE105" s="33" t="s">
        <v>334</v>
      </c>
      <c r="OVF105" s="33" t="s">
        <v>334</v>
      </c>
      <c r="OVG105" s="33" t="s">
        <v>334</v>
      </c>
      <c r="OVH105" s="33" t="s">
        <v>334</v>
      </c>
      <c r="OVI105" s="33" t="s">
        <v>334</v>
      </c>
      <c r="OVJ105" s="33" t="s">
        <v>334</v>
      </c>
      <c r="OVK105" s="33" t="s">
        <v>334</v>
      </c>
      <c r="OVL105" s="33" t="s">
        <v>334</v>
      </c>
      <c r="OVM105" s="33" t="s">
        <v>334</v>
      </c>
      <c r="OVN105" s="33" t="s">
        <v>334</v>
      </c>
      <c r="OVO105" s="33" t="s">
        <v>334</v>
      </c>
      <c r="OVP105" s="33" t="s">
        <v>334</v>
      </c>
      <c r="OVQ105" s="33" t="s">
        <v>334</v>
      </c>
      <c r="OVR105" s="33" t="s">
        <v>334</v>
      </c>
      <c r="OVS105" s="33" t="s">
        <v>334</v>
      </c>
      <c r="OVT105" s="33" t="s">
        <v>334</v>
      </c>
      <c r="OVU105" s="33" t="s">
        <v>334</v>
      </c>
      <c r="OVV105" s="33" t="s">
        <v>334</v>
      </c>
      <c r="OVW105" s="33" t="s">
        <v>334</v>
      </c>
      <c r="OVX105" s="33" t="s">
        <v>334</v>
      </c>
      <c r="OVY105" s="33" t="s">
        <v>334</v>
      </c>
      <c r="OVZ105" s="33" t="s">
        <v>334</v>
      </c>
      <c r="OWA105" s="33" t="s">
        <v>334</v>
      </c>
      <c r="OWB105" s="33" t="s">
        <v>334</v>
      </c>
      <c r="OWC105" s="33" t="s">
        <v>334</v>
      </c>
      <c r="OWD105" s="33" t="s">
        <v>334</v>
      </c>
      <c r="OWE105" s="33" t="s">
        <v>334</v>
      </c>
      <c r="OWF105" s="33" t="s">
        <v>334</v>
      </c>
      <c r="OWG105" s="33" t="s">
        <v>334</v>
      </c>
      <c r="OWH105" s="33" t="s">
        <v>334</v>
      </c>
      <c r="OWI105" s="33" t="s">
        <v>334</v>
      </c>
      <c r="OWJ105" s="33" t="s">
        <v>334</v>
      </c>
      <c r="OWK105" s="33" t="s">
        <v>334</v>
      </c>
      <c r="OWL105" s="33" t="s">
        <v>334</v>
      </c>
      <c r="OWM105" s="33" t="s">
        <v>334</v>
      </c>
      <c r="OWN105" s="33" t="s">
        <v>334</v>
      </c>
      <c r="OWO105" s="33" t="s">
        <v>334</v>
      </c>
      <c r="OWP105" s="33" t="s">
        <v>334</v>
      </c>
      <c r="OWQ105" s="33" t="s">
        <v>334</v>
      </c>
      <c r="OWR105" s="33" t="s">
        <v>334</v>
      </c>
      <c r="OWS105" s="33" t="s">
        <v>334</v>
      </c>
      <c r="OWT105" s="33" t="s">
        <v>334</v>
      </c>
      <c r="OWU105" s="33" t="s">
        <v>334</v>
      </c>
      <c r="OWV105" s="33" t="s">
        <v>334</v>
      </c>
      <c r="OWW105" s="33" t="s">
        <v>334</v>
      </c>
      <c r="OWX105" s="33" t="s">
        <v>334</v>
      </c>
      <c r="OWY105" s="33" t="s">
        <v>334</v>
      </c>
      <c r="OWZ105" s="33" t="s">
        <v>334</v>
      </c>
      <c r="OXA105" s="33" t="s">
        <v>334</v>
      </c>
      <c r="OXB105" s="33" t="s">
        <v>334</v>
      </c>
      <c r="OXC105" s="33" t="s">
        <v>334</v>
      </c>
      <c r="OXD105" s="33" t="s">
        <v>334</v>
      </c>
      <c r="OXE105" s="33" t="s">
        <v>334</v>
      </c>
      <c r="OXF105" s="33" t="s">
        <v>334</v>
      </c>
      <c r="OXG105" s="33" t="s">
        <v>334</v>
      </c>
      <c r="OXH105" s="33" t="s">
        <v>334</v>
      </c>
      <c r="OXI105" s="33" t="s">
        <v>334</v>
      </c>
      <c r="OXJ105" s="33" t="s">
        <v>334</v>
      </c>
      <c r="OXK105" s="33" t="s">
        <v>334</v>
      </c>
      <c r="OXL105" s="33" t="s">
        <v>334</v>
      </c>
      <c r="OXM105" s="33" t="s">
        <v>334</v>
      </c>
      <c r="OXN105" s="33" t="s">
        <v>334</v>
      </c>
      <c r="OXO105" s="33" t="s">
        <v>334</v>
      </c>
      <c r="OXP105" s="33" t="s">
        <v>334</v>
      </c>
      <c r="OXQ105" s="33" t="s">
        <v>334</v>
      </c>
      <c r="OXR105" s="33" t="s">
        <v>334</v>
      </c>
      <c r="OXS105" s="33" t="s">
        <v>334</v>
      </c>
      <c r="OXT105" s="33" t="s">
        <v>334</v>
      </c>
      <c r="OXU105" s="33" t="s">
        <v>334</v>
      </c>
      <c r="OXV105" s="33" t="s">
        <v>334</v>
      </c>
      <c r="OXW105" s="33" t="s">
        <v>334</v>
      </c>
      <c r="OXX105" s="33" t="s">
        <v>334</v>
      </c>
      <c r="OXY105" s="33" t="s">
        <v>334</v>
      </c>
      <c r="OXZ105" s="33" t="s">
        <v>334</v>
      </c>
      <c r="OYA105" s="33" t="s">
        <v>334</v>
      </c>
      <c r="OYB105" s="33" t="s">
        <v>334</v>
      </c>
      <c r="OYC105" s="33" t="s">
        <v>334</v>
      </c>
      <c r="OYD105" s="33" t="s">
        <v>334</v>
      </c>
      <c r="OYE105" s="33" t="s">
        <v>334</v>
      </c>
      <c r="OYF105" s="33" t="s">
        <v>334</v>
      </c>
      <c r="OYG105" s="33" t="s">
        <v>334</v>
      </c>
      <c r="OYH105" s="33" t="s">
        <v>334</v>
      </c>
      <c r="OYI105" s="33" t="s">
        <v>334</v>
      </c>
      <c r="OYJ105" s="33" t="s">
        <v>334</v>
      </c>
      <c r="OYK105" s="33" t="s">
        <v>334</v>
      </c>
      <c r="OYL105" s="33" t="s">
        <v>334</v>
      </c>
      <c r="OYM105" s="33" t="s">
        <v>334</v>
      </c>
      <c r="OYN105" s="33" t="s">
        <v>334</v>
      </c>
      <c r="OYO105" s="33" t="s">
        <v>334</v>
      </c>
      <c r="OYP105" s="33" t="s">
        <v>334</v>
      </c>
      <c r="OYQ105" s="33" t="s">
        <v>334</v>
      </c>
      <c r="OYR105" s="33" t="s">
        <v>334</v>
      </c>
      <c r="OYS105" s="33" t="s">
        <v>334</v>
      </c>
      <c r="OYT105" s="33" t="s">
        <v>334</v>
      </c>
      <c r="OYU105" s="33" t="s">
        <v>334</v>
      </c>
      <c r="OYV105" s="33" t="s">
        <v>334</v>
      </c>
      <c r="OYW105" s="33" t="s">
        <v>334</v>
      </c>
      <c r="OYX105" s="33" t="s">
        <v>334</v>
      </c>
      <c r="OYY105" s="33" t="s">
        <v>334</v>
      </c>
      <c r="OYZ105" s="33" t="s">
        <v>334</v>
      </c>
      <c r="OZA105" s="33" t="s">
        <v>334</v>
      </c>
      <c r="OZB105" s="33" t="s">
        <v>334</v>
      </c>
      <c r="OZC105" s="33" t="s">
        <v>334</v>
      </c>
      <c r="OZD105" s="33" t="s">
        <v>334</v>
      </c>
      <c r="OZE105" s="33" t="s">
        <v>334</v>
      </c>
      <c r="OZF105" s="33" t="s">
        <v>334</v>
      </c>
      <c r="OZG105" s="33" t="s">
        <v>334</v>
      </c>
      <c r="OZH105" s="33" t="s">
        <v>334</v>
      </c>
      <c r="OZI105" s="33" t="s">
        <v>334</v>
      </c>
      <c r="OZJ105" s="33" t="s">
        <v>334</v>
      </c>
      <c r="OZK105" s="33" t="s">
        <v>334</v>
      </c>
      <c r="OZL105" s="33" t="s">
        <v>334</v>
      </c>
      <c r="OZM105" s="33" t="s">
        <v>334</v>
      </c>
      <c r="OZN105" s="33" t="s">
        <v>334</v>
      </c>
      <c r="OZO105" s="33" t="s">
        <v>334</v>
      </c>
      <c r="OZP105" s="33" t="s">
        <v>334</v>
      </c>
      <c r="OZQ105" s="33" t="s">
        <v>334</v>
      </c>
      <c r="OZR105" s="33" t="s">
        <v>334</v>
      </c>
      <c r="OZS105" s="33" t="s">
        <v>334</v>
      </c>
      <c r="OZT105" s="33" t="s">
        <v>334</v>
      </c>
      <c r="OZU105" s="33" t="s">
        <v>334</v>
      </c>
      <c r="OZV105" s="33" t="s">
        <v>334</v>
      </c>
      <c r="OZW105" s="33" t="s">
        <v>334</v>
      </c>
      <c r="OZX105" s="33" t="s">
        <v>334</v>
      </c>
      <c r="OZY105" s="33" t="s">
        <v>334</v>
      </c>
      <c r="OZZ105" s="33" t="s">
        <v>334</v>
      </c>
      <c r="PAA105" s="33" t="s">
        <v>334</v>
      </c>
      <c r="PAB105" s="33" t="s">
        <v>334</v>
      </c>
      <c r="PAC105" s="33" t="s">
        <v>334</v>
      </c>
      <c r="PAD105" s="33" t="s">
        <v>334</v>
      </c>
      <c r="PAE105" s="33" t="s">
        <v>334</v>
      </c>
      <c r="PAF105" s="33" t="s">
        <v>334</v>
      </c>
      <c r="PAG105" s="33" t="s">
        <v>334</v>
      </c>
      <c r="PAH105" s="33" t="s">
        <v>334</v>
      </c>
      <c r="PAI105" s="33" t="s">
        <v>334</v>
      </c>
      <c r="PAJ105" s="33" t="s">
        <v>334</v>
      </c>
      <c r="PAK105" s="33" t="s">
        <v>334</v>
      </c>
      <c r="PAL105" s="33" t="s">
        <v>334</v>
      </c>
      <c r="PAM105" s="33" t="s">
        <v>334</v>
      </c>
      <c r="PAN105" s="33" t="s">
        <v>334</v>
      </c>
      <c r="PAO105" s="33" t="s">
        <v>334</v>
      </c>
      <c r="PAP105" s="33" t="s">
        <v>334</v>
      </c>
      <c r="PAQ105" s="33" t="s">
        <v>334</v>
      </c>
      <c r="PAR105" s="33" t="s">
        <v>334</v>
      </c>
      <c r="PAS105" s="33" t="s">
        <v>334</v>
      </c>
      <c r="PAT105" s="33" t="s">
        <v>334</v>
      </c>
      <c r="PAU105" s="33" t="s">
        <v>334</v>
      </c>
      <c r="PAV105" s="33" t="s">
        <v>334</v>
      </c>
      <c r="PAW105" s="33" t="s">
        <v>334</v>
      </c>
      <c r="PAX105" s="33" t="s">
        <v>334</v>
      </c>
      <c r="PAY105" s="33" t="s">
        <v>334</v>
      </c>
      <c r="PAZ105" s="33" t="s">
        <v>334</v>
      </c>
      <c r="PBA105" s="33" t="s">
        <v>334</v>
      </c>
      <c r="PBB105" s="33" t="s">
        <v>334</v>
      </c>
      <c r="PBC105" s="33" t="s">
        <v>334</v>
      </c>
      <c r="PBD105" s="33" t="s">
        <v>334</v>
      </c>
      <c r="PBE105" s="33" t="s">
        <v>334</v>
      </c>
      <c r="PBF105" s="33" t="s">
        <v>334</v>
      </c>
      <c r="PBG105" s="33" t="s">
        <v>334</v>
      </c>
      <c r="PBH105" s="33" t="s">
        <v>334</v>
      </c>
      <c r="PBI105" s="33" t="s">
        <v>334</v>
      </c>
      <c r="PBJ105" s="33" t="s">
        <v>334</v>
      </c>
      <c r="PBK105" s="33" t="s">
        <v>334</v>
      </c>
      <c r="PBL105" s="33" t="s">
        <v>334</v>
      </c>
      <c r="PBM105" s="33" t="s">
        <v>334</v>
      </c>
      <c r="PBN105" s="33" t="s">
        <v>334</v>
      </c>
      <c r="PBO105" s="33" t="s">
        <v>334</v>
      </c>
      <c r="PBP105" s="33" t="s">
        <v>334</v>
      </c>
      <c r="PBQ105" s="33" t="s">
        <v>334</v>
      </c>
      <c r="PBR105" s="33" t="s">
        <v>334</v>
      </c>
      <c r="PBS105" s="33" t="s">
        <v>334</v>
      </c>
      <c r="PBT105" s="33" t="s">
        <v>334</v>
      </c>
      <c r="PBU105" s="33" t="s">
        <v>334</v>
      </c>
      <c r="PBV105" s="33" t="s">
        <v>334</v>
      </c>
      <c r="PBW105" s="33" t="s">
        <v>334</v>
      </c>
      <c r="PBX105" s="33" t="s">
        <v>334</v>
      </c>
      <c r="PBY105" s="33" t="s">
        <v>334</v>
      </c>
      <c r="PBZ105" s="33" t="s">
        <v>334</v>
      </c>
      <c r="PCA105" s="33" t="s">
        <v>334</v>
      </c>
      <c r="PCB105" s="33" t="s">
        <v>334</v>
      </c>
      <c r="PCC105" s="33" t="s">
        <v>334</v>
      </c>
      <c r="PCD105" s="33" t="s">
        <v>334</v>
      </c>
      <c r="PCE105" s="33" t="s">
        <v>334</v>
      </c>
      <c r="PCF105" s="33" t="s">
        <v>334</v>
      </c>
      <c r="PCG105" s="33" t="s">
        <v>334</v>
      </c>
      <c r="PCH105" s="33" t="s">
        <v>334</v>
      </c>
      <c r="PCI105" s="33" t="s">
        <v>334</v>
      </c>
      <c r="PCJ105" s="33" t="s">
        <v>334</v>
      </c>
      <c r="PCK105" s="33" t="s">
        <v>334</v>
      </c>
      <c r="PCL105" s="33" t="s">
        <v>334</v>
      </c>
      <c r="PCM105" s="33" t="s">
        <v>334</v>
      </c>
      <c r="PCN105" s="33" t="s">
        <v>334</v>
      </c>
      <c r="PCO105" s="33" t="s">
        <v>334</v>
      </c>
      <c r="PCP105" s="33" t="s">
        <v>334</v>
      </c>
      <c r="PCQ105" s="33" t="s">
        <v>334</v>
      </c>
      <c r="PCR105" s="33" t="s">
        <v>334</v>
      </c>
      <c r="PCS105" s="33" t="s">
        <v>334</v>
      </c>
      <c r="PCT105" s="33" t="s">
        <v>334</v>
      </c>
      <c r="PCU105" s="33" t="s">
        <v>334</v>
      </c>
      <c r="PCV105" s="33" t="s">
        <v>334</v>
      </c>
      <c r="PCW105" s="33" t="s">
        <v>334</v>
      </c>
      <c r="PCX105" s="33" t="s">
        <v>334</v>
      </c>
      <c r="PCY105" s="33" t="s">
        <v>334</v>
      </c>
      <c r="PCZ105" s="33" t="s">
        <v>334</v>
      </c>
      <c r="PDA105" s="33" t="s">
        <v>334</v>
      </c>
      <c r="PDB105" s="33" t="s">
        <v>334</v>
      </c>
      <c r="PDC105" s="33" t="s">
        <v>334</v>
      </c>
      <c r="PDD105" s="33" t="s">
        <v>334</v>
      </c>
      <c r="PDE105" s="33" t="s">
        <v>334</v>
      </c>
      <c r="PDF105" s="33" t="s">
        <v>334</v>
      </c>
      <c r="PDG105" s="33" t="s">
        <v>334</v>
      </c>
      <c r="PDH105" s="33" t="s">
        <v>334</v>
      </c>
      <c r="PDI105" s="33" t="s">
        <v>334</v>
      </c>
      <c r="PDJ105" s="33" t="s">
        <v>334</v>
      </c>
      <c r="PDK105" s="33" t="s">
        <v>334</v>
      </c>
      <c r="PDL105" s="33" t="s">
        <v>334</v>
      </c>
      <c r="PDM105" s="33" t="s">
        <v>334</v>
      </c>
      <c r="PDN105" s="33" t="s">
        <v>334</v>
      </c>
      <c r="PDO105" s="33" t="s">
        <v>334</v>
      </c>
      <c r="PDP105" s="33" t="s">
        <v>334</v>
      </c>
      <c r="PDQ105" s="33" t="s">
        <v>334</v>
      </c>
      <c r="PDR105" s="33" t="s">
        <v>334</v>
      </c>
      <c r="PDS105" s="33" t="s">
        <v>334</v>
      </c>
      <c r="PDT105" s="33" t="s">
        <v>334</v>
      </c>
      <c r="PDU105" s="33" t="s">
        <v>334</v>
      </c>
      <c r="PDV105" s="33" t="s">
        <v>334</v>
      </c>
      <c r="PDW105" s="33" t="s">
        <v>334</v>
      </c>
      <c r="PDX105" s="33" t="s">
        <v>334</v>
      </c>
      <c r="PDY105" s="33" t="s">
        <v>334</v>
      </c>
      <c r="PDZ105" s="33" t="s">
        <v>334</v>
      </c>
      <c r="PEA105" s="33" t="s">
        <v>334</v>
      </c>
      <c r="PEB105" s="33" t="s">
        <v>334</v>
      </c>
      <c r="PEC105" s="33" t="s">
        <v>334</v>
      </c>
      <c r="PED105" s="33" t="s">
        <v>334</v>
      </c>
      <c r="PEE105" s="33" t="s">
        <v>334</v>
      </c>
      <c r="PEF105" s="33" t="s">
        <v>334</v>
      </c>
      <c r="PEG105" s="33" t="s">
        <v>334</v>
      </c>
      <c r="PEH105" s="33" t="s">
        <v>334</v>
      </c>
      <c r="PEI105" s="33" t="s">
        <v>334</v>
      </c>
      <c r="PEJ105" s="33" t="s">
        <v>334</v>
      </c>
      <c r="PEK105" s="33" t="s">
        <v>334</v>
      </c>
      <c r="PEL105" s="33" t="s">
        <v>334</v>
      </c>
      <c r="PEM105" s="33" t="s">
        <v>334</v>
      </c>
      <c r="PEN105" s="33" t="s">
        <v>334</v>
      </c>
      <c r="PEO105" s="33" t="s">
        <v>334</v>
      </c>
      <c r="PEP105" s="33" t="s">
        <v>334</v>
      </c>
      <c r="PEQ105" s="33" t="s">
        <v>334</v>
      </c>
      <c r="PER105" s="33" t="s">
        <v>334</v>
      </c>
      <c r="PES105" s="33" t="s">
        <v>334</v>
      </c>
      <c r="PET105" s="33" t="s">
        <v>334</v>
      </c>
      <c r="PEU105" s="33" t="s">
        <v>334</v>
      </c>
      <c r="PEV105" s="33" t="s">
        <v>334</v>
      </c>
      <c r="PEW105" s="33" t="s">
        <v>334</v>
      </c>
      <c r="PEX105" s="33" t="s">
        <v>334</v>
      </c>
      <c r="PEY105" s="33" t="s">
        <v>334</v>
      </c>
      <c r="PEZ105" s="33" t="s">
        <v>334</v>
      </c>
      <c r="PFA105" s="33" t="s">
        <v>334</v>
      </c>
      <c r="PFB105" s="33" t="s">
        <v>334</v>
      </c>
      <c r="PFC105" s="33" t="s">
        <v>334</v>
      </c>
      <c r="PFD105" s="33" t="s">
        <v>334</v>
      </c>
      <c r="PFE105" s="33" t="s">
        <v>334</v>
      </c>
      <c r="PFF105" s="33" t="s">
        <v>334</v>
      </c>
      <c r="PFG105" s="33" t="s">
        <v>334</v>
      </c>
      <c r="PFH105" s="33" t="s">
        <v>334</v>
      </c>
      <c r="PFI105" s="33" t="s">
        <v>334</v>
      </c>
      <c r="PFJ105" s="33" t="s">
        <v>334</v>
      </c>
      <c r="PFK105" s="33" t="s">
        <v>334</v>
      </c>
      <c r="PFL105" s="33" t="s">
        <v>334</v>
      </c>
      <c r="PFM105" s="33" t="s">
        <v>334</v>
      </c>
      <c r="PFN105" s="33" t="s">
        <v>334</v>
      </c>
      <c r="PFO105" s="33" t="s">
        <v>334</v>
      </c>
      <c r="PFP105" s="33" t="s">
        <v>334</v>
      </c>
      <c r="PFQ105" s="33" t="s">
        <v>334</v>
      </c>
      <c r="PFR105" s="33" t="s">
        <v>334</v>
      </c>
      <c r="PFS105" s="33" t="s">
        <v>334</v>
      </c>
      <c r="PFT105" s="33" t="s">
        <v>334</v>
      </c>
      <c r="PFU105" s="33" t="s">
        <v>334</v>
      </c>
      <c r="PFV105" s="33" t="s">
        <v>334</v>
      </c>
      <c r="PFW105" s="33" t="s">
        <v>334</v>
      </c>
      <c r="PFX105" s="33" t="s">
        <v>334</v>
      </c>
      <c r="PFY105" s="33" t="s">
        <v>334</v>
      </c>
      <c r="PFZ105" s="33" t="s">
        <v>334</v>
      </c>
      <c r="PGA105" s="33" t="s">
        <v>334</v>
      </c>
      <c r="PGB105" s="33" t="s">
        <v>334</v>
      </c>
      <c r="PGC105" s="33" t="s">
        <v>334</v>
      </c>
      <c r="PGD105" s="33" t="s">
        <v>334</v>
      </c>
      <c r="PGE105" s="33" t="s">
        <v>334</v>
      </c>
      <c r="PGF105" s="33" t="s">
        <v>334</v>
      </c>
      <c r="PGG105" s="33" t="s">
        <v>334</v>
      </c>
      <c r="PGH105" s="33" t="s">
        <v>334</v>
      </c>
      <c r="PGI105" s="33" t="s">
        <v>334</v>
      </c>
      <c r="PGJ105" s="33" t="s">
        <v>334</v>
      </c>
      <c r="PGK105" s="33" t="s">
        <v>334</v>
      </c>
      <c r="PGL105" s="33" t="s">
        <v>334</v>
      </c>
      <c r="PGM105" s="33" t="s">
        <v>334</v>
      </c>
      <c r="PGN105" s="33" t="s">
        <v>334</v>
      </c>
      <c r="PGO105" s="33" t="s">
        <v>334</v>
      </c>
      <c r="PGP105" s="33" t="s">
        <v>334</v>
      </c>
      <c r="PGQ105" s="33" t="s">
        <v>334</v>
      </c>
      <c r="PGR105" s="33" t="s">
        <v>334</v>
      </c>
      <c r="PGS105" s="33" t="s">
        <v>334</v>
      </c>
      <c r="PGT105" s="33" t="s">
        <v>334</v>
      </c>
      <c r="PGU105" s="33" t="s">
        <v>334</v>
      </c>
      <c r="PGV105" s="33" t="s">
        <v>334</v>
      </c>
      <c r="PGW105" s="33" t="s">
        <v>334</v>
      </c>
      <c r="PGX105" s="33" t="s">
        <v>334</v>
      </c>
      <c r="PGY105" s="33" t="s">
        <v>334</v>
      </c>
      <c r="PGZ105" s="33" t="s">
        <v>334</v>
      </c>
      <c r="PHA105" s="33" t="s">
        <v>334</v>
      </c>
      <c r="PHB105" s="33" t="s">
        <v>334</v>
      </c>
      <c r="PHC105" s="33" t="s">
        <v>334</v>
      </c>
      <c r="PHD105" s="33" t="s">
        <v>334</v>
      </c>
      <c r="PHE105" s="33" t="s">
        <v>334</v>
      </c>
      <c r="PHF105" s="33" t="s">
        <v>334</v>
      </c>
      <c r="PHG105" s="33" t="s">
        <v>334</v>
      </c>
      <c r="PHH105" s="33" t="s">
        <v>334</v>
      </c>
      <c r="PHI105" s="33" t="s">
        <v>334</v>
      </c>
      <c r="PHJ105" s="33" t="s">
        <v>334</v>
      </c>
      <c r="PHK105" s="33" t="s">
        <v>334</v>
      </c>
      <c r="PHL105" s="33" t="s">
        <v>334</v>
      </c>
      <c r="PHM105" s="33" t="s">
        <v>334</v>
      </c>
      <c r="PHN105" s="33" t="s">
        <v>334</v>
      </c>
      <c r="PHO105" s="33" t="s">
        <v>334</v>
      </c>
      <c r="PHP105" s="33" t="s">
        <v>334</v>
      </c>
      <c r="PHQ105" s="33" t="s">
        <v>334</v>
      </c>
      <c r="PHR105" s="33" t="s">
        <v>334</v>
      </c>
      <c r="PHS105" s="33" t="s">
        <v>334</v>
      </c>
      <c r="PHT105" s="33" t="s">
        <v>334</v>
      </c>
      <c r="PHU105" s="33" t="s">
        <v>334</v>
      </c>
      <c r="PHV105" s="33" t="s">
        <v>334</v>
      </c>
      <c r="PHW105" s="33" t="s">
        <v>334</v>
      </c>
      <c r="PHX105" s="33" t="s">
        <v>334</v>
      </c>
      <c r="PHY105" s="33" t="s">
        <v>334</v>
      </c>
      <c r="PHZ105" s="33" t="s">
        <v>334</v>
      </c>
      <c r="PIA105" s="33" t="s">
        <v>334</v>
      </c>
      <c r="PIB105" s="33" t="s">
        <v>334</v>
      </c>
      <c r="PIC105" s="33" t="s">
        <v>334</v>
      </c>
      <c r="PID105" s="33" t="s">
        <v>334</v>
      </c>
      <c r="PIE105" s="33" t="s">
        <v>334</v>
      </c>
      <c r="PIF105" s="33" t="s">
        <v>334</v>
      </c>
      <c r="PIG105" s="33" t="s">
        <v>334</v>
      </c>
      <c r="PIH105" s="33" t="s">
        <v>334</v>
      </c>
      <c r="PII105" s="33" t="s">
        <v>334</v>
      </c>
      <c r="PIJ105" s="33" t="s">
        <v>334</v>
      </c>
      <c r="PIK105" s="33" t="s">
        <v>334</v>
      </c>
      <c r="PIL105" s="33" t="s">
        <v>334</v>
      </c>
      <c r="PIM105" s="33" t="s">
        <v>334</v>
      </c>
      <c r="PIN105" s="33" t="s">
        <v>334</v>
      </c>
      <c r="PIO105" s="33" t="s">
        <v>334</v>
      </c>
      <c r="PIP105" s="33" t="s">
        <v>334</v>
      </c>
      <c r="PIQ105" s="33" t="s">
        <v>334</v>
      </c>
      <c r="PIR105" s="33" t="s">
        <v>334</v>
      </c>
      <c r="PIS105" s="33" t="s">
        <v>334</v>
      </c>
      <c r="PIT105" s="33" t="s">
        <v>334</v>
      </c>
      <c r="PIU105" s="33" t="s">
        <v>334</v>
      </c>
      <c r="PIV105" s="33" t="s">
        <v>334</v>
      </c>
      <c r="PIW105" s="33" t="s">
        <v>334</v>
      </c>
      <c r="PIX105" s="33" t="s">
        <v>334</v>
      </c>
      <c r="PIY105" s="33" t="s">
        <v>334</v>
      </c>
      <c r="PIZ105" s="33" t="s">
        <v>334</v>
      </c>
      <c r="PJA105" s="33" t="s">
        <v>334</v>
      </c>
      <c r="PJB105" s="33" t="s">
        <v>334</v>
      </c>
      <c r="PJC105" s="33" t="s">
        <v>334</v>
      </c>
      <c r="PJD105" s="33" t="s">
        <v>334</v>
      </c>
      <c r="PJE105" s="33" t="s">
        <v>334</v>
      </c>
      <c r="PJF105" s="33" t="s">
        <v>334</v>
      </c>
      <c r="PJG105" s="33" t="s">
        <v>334</v>
      </c>
      <c r="PJH105" s="33" t="s">
        <v>334</v>
      </c>
      <c r="PJI105" s="33" t="s">
        <v>334</v>
      </c>
      <c r="PJJ105" s="33" t="s">
        <v>334</v>
      </c>
      <c r="PJK105" s="33" t="s">
        <v>334</v>
      </c>
      <c r="PJL105" s="33" t="s">
        <v>334</v>
      </c>
      <c r="PJM105" s="33" t="s">
        <v>334</v>
      </c>
      <c r="PJN105" s="33" t="s">
        <v>334</v>
      </c>
      <c r="PJO105" s="33" t="s">
        <v>334</v>
      </c>
      <c r="PJP105" s="33" t="s">
        <v>334</v>
      </c>
      <c r="PJQ105" s="33" t="s">
        <v>334</v>
      </c>
      <c r="PJR105" s="33" t="s">
        <v>334</v>
      </c>
      <c r="PJS105" s="33" t="s">
        <v>334</v>
      </c>
      <c r="PJT105" s="33" t="s">
        <v>334</v>
      </c>
      <c r="PJU105" s="33" t="s">
        <v>334</v>
      </c>
      <c r="PJV105" s="33" t="s">
        <v>334</v>
      </c>
      <c r="PJW105" s="33" t="s">
        <v>334</v>
      </c>
      <c r="PJX105" s="33" t="s">
        <v>334</v>
      </c>
      <c r="PJY105" s="33" t="s">
        <v>334</v>
      </c>
      <c r="PJZ105" s="33" t="s">
        <v>334</v>
      </c>
      <c r="PKA105" s="33" t="s">
        <v>334</v>
      </c>
      <c r="PKB105" s="33" t="s">
        <v>334</v>
      </c>
      <c r="PKC105" s="33" t="s">
        <v>334</v>
      </c>
      <c r="PKD105" s="33" t="s">
        <v>334</v>
      </c>
      <c r="PKE105" s="33" t="s">
        <v>334</v>
      </c>
      <c r="PKF105" s="33" t="s">
        <v>334</v>
      </c>
      <c r="PKG105" s="33" t="s">
        <v>334</v>
      </c>
      <c r="PKH105" s="33" t="s">
        <v>334</v>
      </c>
      <c r="PKI105" s="33" t="s">
        <v>334</v>
      </c>
      <c r="PKJ105" s="33" t="s">
        <v>334</v>
      </c>
      <c r="PKK105" s="33" t="s">
        <v>334</v>
      </c>
      <c r="PKL105" s="33" t="s">
        <v>334</v>
      </c>
      <c r="PKM105" s="33" t="s">
        <v>334</v>
      </c>
      <c r="PKN105" s="33" t="s">
        <v>334</v>
      </c>
      <c r="PKO105" s="33" t="s">
        <v>334</v>
      </c>
      <c r="PKP105" s="33" t="s">
        <v>334</v>
      </c>
      <c r="PKQ105" s="33" t="s">
        <v>334</v>
      </c>
      <c r="PKR105" s="33" t="s">
        <v>334</v>
      </c>
      <c r="PKS105" s="33" t="s">
        <v>334</v>
      </c>
      <c r="PKT105" s="33" t="s">
        <v>334</v>
      </c>
      <c r="PKU105" s="33" t="s">
        <v>334</v>
      </c>
      <c r="PKV105" s="33" t="s">
        <v>334</v>
      </c>
      <c r="PKW105" s="33" t="s">
        <v>334</v>
      </c>
      <c r="PKX105" s="33" t="s">
        <v>334</v>
      </c>
      <c r="PKY105" s="33" t="s">
        <v>334</v>
      </c>
      <c r="PKZ105" s="33" t="s">
        <v>334</v>
      </c>
      <c r="PLA105" s="33" t="s">
        <v>334</v>
      </c>
      <c r="PLB105" s="33" t="s">
        <v>334</v>
      </c>
      <c r="PLC105" s="33" t="s">
        <v>334</v>
      </c>
      <c r="PLD105" s="33" t="s">
        <v>334</v>
      </c>
      <c r="PLE105" s="33" t="s">
        <v>334</v>
      </c>
      <c r="PLF105" s="33" t="s">
        <v>334</v>
      </c>
      <c r="PLG105" s="33" t="s">
        <v>334</v>
      </c>
      <c r="PLH105" s="33" t="s">
        <v>334</v>
      </c>
      <c r="PLI105" s="33" t="s">
        <v>334</v>
      </c>
      <c r="PLJ105" s="33" t="s">
        <v>334</v>
      </c>
      <c r="PLK105" s="33" t="s">
        <v>334</v>
      </c>
      <c r="PLL105" s="33" t="s">
        <v>334</v>
      </c>
      <c r="PLM105" s="33" t="s">
        <v>334</v>
      </c>
      <c r="PLN105" s="33" t="s">
        <v>334</v>
      </c>
      <c r="PLO105" s="33" t="s">
        <v>334</v>
      </c>
      <c r="PLP105" s="33" t="s">
        <v>334</v>
      </c>
      <c r="PLQ105" s="33" t="s">
        <v>334</v>
      </c>
      <c r="PLR105" s="33" t="s">
        <v>334</v>
      </c>
      <c r="PLS105" s="33" t="s">
        <v>334</v>
      </c>
      <c r="PLT105" s="33" t="s">
        <v>334</v>
      </c>
      <c r="PLU105" s="33" t="s">
        <v>334</v>
      </c>
      <c r="PLV105" s="33" t="s">
        <v>334</v>
      </c>
      <c r="PLW105" s="33" t="s">
        <v>334</v>
      </c>
      <c r="PLX105" s="33" t="s">
        <v>334</v>
      </c>
      <c r="PLY105" s="33" t="s">
        <v>334</v>
      </c>
      <c r="PLZ105" s="33" t="s">
        <v>334</v>
      </c>
      <c r="PMA105" s="33" t="s">
        <v>334</v>
      </c>
      <c r="PMB105" s="33" t="s">
        <v>334</v>
      </c>
      <c r="PMC105" s="33" t="s">
        <v>334</v>
      </c>
      <c r="PMD105" s="33" t="s">
        <v>334</v>
      </c>
      <c r="PME105" s="33" t="s">
        <v>334</v>
      </c>
      <c r="PMF105" s="33" t="s">
        <v>334</v>
      </c>
      <c r="PMG105" s="33" t="s">
        <v>334</v>
      </c>
      <c r="PMH105" s="33" t="s">
        <v>334</v>
      </c>
      <c r="PMI105" s="33" t="s">
        <v>334</v>
      </c>
      <c r="PMJ105" s="33" t="s">
        <v>334</v>
      </c>
      <c r="PMK105" s="33" t="s">
        <v>334</v>
      </c>
      <c r="PML105" s="33" t="s">
        <v>334</v>
      </c>
      <c r="PMM105" s="33" t="s">
        <v>334</v>
      </c>
      <c r="PMN105" s="33" t="s">
        <v>334</v>
      </c>
      <c r="PMO105" s="33" t="s">
        <v>334</v>
      </c>
      <c r="PMP105" s="33" t="s">
        <v>334</v>
      </c>
      <c r="PMQ105" s="33" t="s">
        <v>334</v>
      </c>
      <c r="PMR105" s="33" t="s">
        <v>334</v>
      </c>
      <c r="PMS105" s="33" t="s">
        <v>334</v>
      </c>
      <c r="PMT105" s="33" t="s">
        <v>334</v>
      </c>
      <c r="PMU105" s="33" t="s">
        <v>334</v>
      </c>
      <c r="PMV105" s="33" t="s">
        <v>334</v>
      </c>
      <c r="PMW105" s="33" t="s">
        <v>334</v>
      </c>
      <c r="PMX105" s="33" t="s">
        <v>334</v>
      </c>
      <c r="PMY105" s="33" t="s">
        <v>334</v>
      </c>
      <c r="PMZ105" s="33" t="s">
        <v>334</v>
      </c>
      <c r="PNA105" s="33" t="s">
        <v>334</v>
      </c>
      <c r="PNB105" s="33" t="s">
        <v>334</v>
      </c>
      <c r="PNC105" s="33" t="s">
        <v>334</v>
      </c>
      <c r="PND105" s="33" t="s">
        <v>334</v>
      </c>
      <c r="PNE105" s="33" t="s">
        <v>334</v>
      </c>
      <c r="PNF105" s="33" t="s">
        <v>334</v>
      </c>
      <c r="PNG105" s="33" t="s">
        <v>334</v>
      </c>
      <c r="PNH105" s="33" t="s">
        <v>334</v>
      </c>
      <c r="PNI105" s="33" t="s">
        <v>334</v>
      </c>
      <c r="PNJ105" s="33" t="s">
        <v>334</v>
      </c>
      <c r="PNK105" s="33" t="s">
        <v>334</v>
      </c>
      <c r="PNL105" s="33" t="s">
        <v>334</v>
      </c>
      <c r="PNM105" s="33" t="s">
        <v>334</v>
      </c>
      <c r="PNN105" s="33" t="s">
        <v>334</v>
      </c>
      <c r="PNO105" s="33" t="s">
        <v>334</v>
      </c>
      <c r="PNP105" s="33" t="s">
        <v>334</v>
      </c>
      <c r="PNQ105" s="33" t="s">
        <v>334</v>
      </c>
      <c r="PNR105" s="33" t="s">
        <v>334</v>
      </c>
      <c r="PNS105" s="33" t="s">
        <v>334</v>
      </c>
      <c r="PNT105" s="33" t="s">
        <v>334</v>
      </c>
      <c r="PNU105" s="33" t="s">
        <v>334</v>
      </c>
      <c r="PNV105" s="33" t="s">
        <v>334</v>
      </c>
      <c r="PNW105" s="33" t="s">
        <v>334</v>
      </c>
      <c r="PNX105" s="33" t="s">
        <v>334</v>
      </c>
      <c r="PNY105" s="33" t="s">
        <v>334</v>
      </c>
      <c r="PNZ105" s="33" t="s">
        <v>334</v>
      </c>
      <c r="POA105" s="33" t="s">
        <v>334</v>
      </c>
      <c r="POB105" s="33" t="s">
        <v>334</v>
      </c>
      <c r="POC105" s="33" t="s">
        <v>334</v>
      </c>
      <c r="POD105" s="33" t="s">
        <v>334</v>
      </c>
      <c r="POE105" s="33" t="s">
        <v>334</v>
      </c>
      <c r="POF105" s="33" t="s">
        <v>334</v>
      </c>
      <c r="POG105" s="33" t="s">
        <v>334</v>
      </c>
      <c r="POH105" s="33" t="s">
        <v>334</v>
      </c>
      <c r="POI105" s="33" t="s">
        <v>334</v>
      </c>
      <c r="POJ105" s="33" t="s">
        <v>334</v>
      </c>
      <c r="POK105" s="33" t="s">
        <v>334</v>
      </c>
      <c r="POL105" s="33" t="s">
        <v>334</v>
      </c>
      <c r="POM105" s="33" t="s">
        <v>334</v>
      </c>
      <c r="PON105" s="33" t="s">
        <v>334</v>
      </c>
      <c r="POO105" s="33" t="s">
        <v>334</v>
      </c>
      <c r="POP105" s="33" t="s">
        <v>334</v>
      </c>
      <c r="POQ105" s="33" t="s">
        <v>334</v>
      </c>
      <c r="POR105" s="33" t="s">
        <v>334</v>
      </c>
      <c r="POS105" s="33" t="s">
        <v>334</v>
      </c>
      <c r="POT105" s="33" t="s">
        <v>334</v>
      </c>
      <c r="POU105" s="33" t="s">
        <v>334</v>
      </c>
      <c r="POV105" s="33" t="s">
        <v>334</v>
      </c>
      <c r="POW105" s="33" t="s">
        <v>334</v>
      </c>
      <c r="POX105" s="33" t="s">
        <v>334</v>
      </c>
      <c r="POY105" s="33" t="s">
        <v>334</v>
      </c>
      <c r="POZ105" s="33" t="s">
        <v>334</v>
      </c>
      <c r="PPA105" s="33" t="s">
        <v>334</v>
      </c>
      <c r="PPB105" s="33" t="s">
        <v>334</v>
      </c>
      <c r="PPC105" s="33" t="s">
        <v>334</v>
      </c>
      <c r="PPD105" s="33" t="s">
        <v>334</v>
      </c>
      <c r="PPE105" s="33" t="s">
        <v>334</v>
      </c>
      <c r="PPF105" s="33" t="s">
        <v>334</v>
      </c>
      <c r="PPG105" s="33" t="s">
        <v>334</v>
      </c>
      <c r="PPH105" s="33" t="s">
        <v>334</v>
      </c>
      <c r="PPI105" s="33" t="s">
        <v>334</v>
      </c>
      <c r="PPJ105" s="33" t="s">
        <v>334</v>
      </c>
      <c r="PPK105" s="33" t="s">
        <v>334</v>
      </c>
      <c r="PPL105" s="33" t="s">
        <v>334</v>
      </c>
      <c r="PPM105" s="33" t="s">
        <v>334</v>
      </c>
      <c r="PPN105" s="33" t="s">
        <v>334</v>
      </c>
      <c r="PPO105" s="33" t="s">
        <v>334</v>
      </c>
      <c r="PPP105" s="33" t="s">
        <v>334</v>
      </c>
      <c r="PPQ105" s="33" t="s">
        <v>334</v>
      </c>
      <c r="PPR105" s="33" t="s">
        <v>334</v>
      </c>
      <c r="PPS105" s="33" t="s">
        <v>334</v>
      </c>
      <c r="PPT105" s="33" t="s">
        <v>334</v>
      </c>
      <c r="PPU105" s="33" t="s">
        <v>334</v>
      </c>
      <c r="PPV105" s="33" t="s">
        <v>334</v>
      </c>
      <c r="PPW105" s="33" t="s">
        <v>334</v>
      </c>
      <c r="PPX105" s="33" t="s">
        <v>334</v>
      </c>
      <c r="PPY105" s="33" t="s">
        <v>334</v>
      </c>
      <c r="PPZ105" s="33" t="s">
        <v>334</v>
      </c>
      <c r="PQA105" s="33" t="s">
        <v>334</v>
      </c>
      <c r="PQB105" s="33" t="s">
        <v>334</v>
      </c>
      <c r="PQC105" s="33" t="s">
        <v>334</v>
      </c>
      <c r="PQD105" s="33" t="s">
        <v>334</v>
      </c>
      <c r="PQE105" s="33" t="s">
        <v>334</v>
      </c>
      <c r="PQF105" s="33" t="s">
        <v>334</v>
      </c>
      <c r="PQG105" s="33" t="s">
        <v>334</v>
      </c>
      <c r="PQH105" s="33" t="s">
        <v>334</v>
      </c>
      <c r="PQI105" s="33" t="s">
        <v>334</v>
      </c>
      <c r="PQJ105" s="33" t="s">
        <v>334</v>
      </c>
      <c r="PQK105" s="33" t="s">
        <v>334</v>
      </c>
      <c r="PQL105" s="33" t="s">
        <v>334</v>
      </c>
      <c r="PQM105" s="33" t="s">
        <v>334</v>
      </c>
      <c r="PQN105" s="33" t="s">
        <v>334</v>
      </c>
      <c r="PQO105" s="33" t="s">
        <v>334</v>
      </c>
      <c r="PQP105" s="33" t="s">
        <v>334</v>
      </c>
      <c r="PQQ105" s="33" t="s">
        <v>334</v>
      </c>
      <c r="PQR105" s="33" t="s">
        <v>334</v>
      </c>
      <c r="PQS105" s="33" t="s">
        <v>334</v>
      </c>
      <c r="PQT105" s="33" t="s">
        <v>334</v>
      </c>
      <c r="PQU105" s="33" t="s">
        <v>334</v>
      </c>
      <c r="PQV105" s="33" t="s">
        <v>334</v>
      </c>
      <c r="PQW105" s="33" t="s">
        <v>334</v>
      </c>
      <c r="PQX105" s="33" t="s">
        <v>334</v>
      </c>
      <c r="PQY105" s="33" t="s">
        <v>334</v>
      </c>
      <c r="PQZ105" s="33" t="s">
        <v>334</v>
      </c>
      <c r="PRA105" s="33" t="s">
        <v>334</v>
      </c>
      <c r="PRB105" s="33" t="s">
        <v>334</v>
      </c>
      <c r="PRC105" s="33" t="s">
        <v>334</v>
      </c>
      <c r="PRD105" s="33" t="s">
        <v>334</v>
      </c>
      <c r="PRE105" s="33" t="s">
        <v>334</v>
      </c>
      <c r="PRF105" s="33" t="s">
        <v>334</v>
      </c>
      <c r="PRG105" s="33" t="s">
        <v>334</v>
      </c>
      <c r="PRH105" s="33" t="s">
        <v>334</v>
      </c>
      <c r="PRI105" s="33" t="s">
        <v>334</v>
      </c>
      <c r="PRJ105" s="33" t="s">
        <v>334</v>
      </c>
      <c r="PRK105" s="33" t="s">
        <v>334</v>
      </c>
      <c r="PRL105" s="33" t="s">
        <v>334</v>
      </c>
      <c r="PRM105" s="33" t="s">
        <v>334</v>
      </c>
      <c r="PRN105" s="33" t="s">
        <v>334</v>
      </c>
      <c r="PRO105" s="33" t="s">
        <v>334</v>
      </c>
      <c r="PRP105" s="33" t="s">
        <v>334</v>
      </c>
      <c r="PRQ105" s="33" t="s">
        <v>334</v>
      </c>
      <c r="PRR105" s="33" t="s">
        <v>334</v>
      </c>
      <c r="PRS105" s="33" t="s">
        <v>334</v>
      </c>
      <c r="PRT105" s="33" t="s">
        <v>334</v>
      </c>
      <c r="PRU105" s="33" t="s">
        <v>334</v>
      </c>
      <c r="PRV105" s="33" t="s">
        <v>334</v>
      </c>
      <c r="PRW105" s="33" t="s">
        <v>334</v>
      </c>
      <c r="PRX105" s="33" t="s">
        <v>334</v>
      </c>
      <c r="PRY105" s="33" t="s">
        <v>334</v>
      </c>
      <c r="PRZ105" s="33" t="s">
        <v>334</v>
      </c>
      <c r="PSA105" s="33" t="s">
        <v>334</v>
      </c>
      <c r="PSB105" s="33" t="s">
        <v>334</v>
      </c>
      <c r="PSC105" s="33" t="s">
        <v>334</v>
      </c>
      <c r="PSD105" s="33" t="s">
        <v>334</v>
      </c>
      <c r="PSE105" s="33" t="s">
        <v>334</v>
      </c>
      <c r="PSF105" s="33" t="s">
        <v>334</v>
      </c>
      <c r="PSG105" s="33" t="s">
        <v>334</v>
      </c>
      <c r="PSH105" s="33" t="s">
        <v>334</v>
      </c>
      <c r="PSI105" s="33" t="s">
        <v>334</v>
      </c>
      <c r="PSJ105" s="33" t="s">
        <v>334</v>
      </c>
      <c r="PSK105" s="33" t="s">
        <v>334</v>
      </c>
      <c r="PSL105" s="33" t="s">
        <v>334</v>
      </c>
      <c r="PSM105" s="33" t="s">
        <v>334</v>
      </c>
      <c r="PSN105" s="33" t="s">
        <v>334</v>
      </c>
      <c r="PSO105" s="33" t="s">
        <v>334</v>
      </c>
      <c r="PSP105" s="33" t="s">
        <v>334</v>
      </c>
      <c r="PSQ105" s="33" t="s">
        <v>334</v>
      </c>
      <c r="PSR105" s="33" t="s">
        <v>334</v>
      </c>
      <c r="PSS105" s="33" t="s">
        <v>334</v>
      </c>
      <c r="PST105" s="33" t="s">
        <v>334</v>
      </c>
      <c r="PSU105" s="33" t="s">
        <v>334</v>
      </c>
      <c r="PSV105" s="33" t="s">
        <v>334</v>
      </c>
      <c r="PSW105" s="33" t="s">
        <v>334</v>
      </c>
      <c r="PSX105" s="33" t="s">
        <v>334</v>
      </c>
      <c r="PSY105" s="33" t="s">
        <v>334</v>
      </c>
      <c r="PSZ105" s="33" t="s">
        <v>334</v>
      </c>
      <c r="PTA105" s="33" t="s">
        <v>334</v>
      </c>
      <c r="PTB105" s="33" t="s">
        <v>334</v>
      </c>
      <c r="PTC105" s="33" t="s">
        <v>334</v>
      </c>
      <c r="PTD105" s="33" t="s">
        <v>334</v>
      </c>
      <c r="PTE105" s="33" t="s">
        <v>334</v>
      </c>
      <c r="PTF105" s="33" t="s">
        <v>334</v>
      </c>
      <c r="PTG105" s="33" t="s">
        <v>334</v>
      </c>
      <c r="PTH105" s="33" t="s">
        <v>334</v>
      </c>
      <c r="PTI105" s="33" t="s">
        <v>334</v>
      </c>
      <c r="PTJ105" s="33" t="s">
        <v>334</v>
      </c>
      <c r="PTK105" s="33" t="s">
        <v>334</v>
      </c>
      <c r="PTL105" s="33" t="s">
        <v>334</v>
      </c>
      <c r="PTM105" s="33" t="s">
        <v>334</v>
      </c>
      <c r="PTN105" s="33" t="s">
        <v>334</v>
      </c>
      <c r="PTO105" s="33" t="s">
        <v>334</v>
      </c>
      <c r="PTP105" s="33" t="s">
        <v>334</v>
      </c>
      <c r="PTQ105" s="33" t="s">
        <v>334</v>
      </c>
      <c r="PTR105" s="33" t="s">
        <v>334</v>
      </c>
      <c r="PTS105" s="33" t="s">
        <v>334</v>
      </c>
      <c r="PTT105" s="33" t="s">
        <v>334</v>
      </c>
      <c r="PTU105" s="33" t="s">
        <v>334</v>
      </c>
      <c r="PTV105" s="33" t="s">
        <v>334</v>
      </c>
      <c r="PTW105" s="33" t="s">
        <v>334</v>
      </c>
      <c r="PTX105" s="33" t="s">
        <v>334</v>
      </c>
      <c r="PTY105" s="33" t="s">
        <v>334</v>
      </c>
      <c r="PTZ105" s="33" t="s">
        <v>334</v>
      </c>
      <c r="PUA105" s="33" t="s">
        <v>334</v>
      </c>
      <c r="PUB105" s="33" t="s">
        <v>334</v>
      </c>
      <c r="PUC105" s="33" t="s">
        <v>334</v>
      </c>
      <c r="PUD105" s="33" t="s">
        <v>334</v>
      </c>
      <c r="PUE105" s="33" t="s">
        <v>334</v>
      </c>
      <c r="PUF105" s="33" t="s">
        <v>334</v>
      </c>
      <c r="PUG105" s="33" t="s">
        <v>334</v>
      </c>
      <c r="PUH105" s="33" t="s">
        <v>334</v>
      </c>
      <c r="PUI105" s="33" t="s">
        <v>334</v>
      </c>
      <c r="PUJ105" s="33" t="s">
        <v>334</v>
      </c>
      <c r="PUK105" s="33" t="s">
        <v>334</v>
      </c>
      <c r="PUL105" s="33" t="s">
        <v>334</v>
      </c>
      <c r="PUM105" s="33" t="s">
        <v>334</v>
      </c>
      <c r="PUN105" s="33" t="s">
        <v>334</v>
      </c>
      <c r="PUO105" s="33" t="s">
        <v>334</v>
      </c>
      <c r="PUP105" s="33" t="s">
        <v>334</v>
      </c>
      <c r="PUQ105" s="33" t="s">
        <v>334</v>
      </c>
      <c r="PUR105" s="33" t="s">
        <v>334</v>
      </c>
      <c r="PUS105" s="33" t="s">
        <v>334</v>
      </c>
      <c r="PUT105" s="33" t="s">
        <v>334</v>
      </c>
      <c r="PUU105" s="33" t="s">
        <v>334</v>
      </c>
      <c r="PUV105" s="33" t="s">
        <v>334</v>
      </c>
      <c r="PUW105" s="33" t="s">
        <v>334</v>
      </c>
      <c r="PUX105" s="33" t="s">
        <v>334</v>
      </c>
      <c r="PUY105" s="33" t="s">
        <v>334</v>
      </c>
      <c r="PUZ105" s="33" t="s">
        <v>334</v>
      </c>
      <c r="PVA105" s="33" t="s">
        <v>334</v>
      </c>
      <c r="PVB105" s="33" t="s">
        <v>334</v>
      </c>
      <c r="PVC105" s="33" t="s">
        <v>334</v>
      </c>
      <c r="PVD105" s="33" t="s">
        <v>334</v>
      </c>
      <c r="PVE105" s="33" t="s">
        <v>334</v>
      </c>
      <c r="PVF105" s="33" t="s">
        <v>334</v>
      </c>
      <c r="PVG105" s="33" t="s">
        <v>334</v>
      </c>
      <c r="PVH105" s="33" t="s">
        <v>334</v>
      </c>
      <c r="PVI105" s="33" t="s">
        <v>334</v>
      </c>
      <c r="PVJ105" s="33" t="s">
        <v>334</v>
      </c>
      <c r="PVK105" s="33" t="s">
        <v>334</v>
      </c>
      <c r="PVL105" s="33" t="s">
        <v>334</v>
      </c>
      <c r="PVM105" s="33" t="s">
        <v>334</v>
      </c>
      <c r="PVN105" s="33" t="s">
        <v>334</v>
      </c>
      <c r="PVO105" s="33" t="s">
        <v>334</v>
      </c>
      <c r="PVP105" s="33" t="s">
        <v>334</v>
      </c>
      <c r="PVQ105" s="33" t="s">
        <v>334</v>
      </c>
      <c r="PVR105" s="33" t="s">
        <v>334</v>
      </c>
      <c r="PVS105" s="33" t="s">
        <v>334</v>
      </c>
      <c r="PVT105" s="33" t="s">
        <v>334</v>
      </c>
      <c r="PVU105" s="33" t="s">
        <v>334</v>
      </c>
      <c r="PVV105" s="33" t="s">
        <v>334</v>
      </c>
      <c r="PVW105" s="33" t="s">
        <v>334</v>
      </c>
      <c r="PVX105" s="33" t="s">
        <v>334</v>
      </c>
      <c r="PVY105" s="33" t="s">
        <v>334</v>
      </c>
      <c r="PVZ105" s="33" t="s">
        <v>334</v>
      </c>
      <c r="PWA105" s="33" t="s">
        <v>334</v>
      </c>
      <c r="PWB105" s="33" t="s">
        <v>334</v>
      </c>
      <c r="PWC105" s="33" t="s">
        <v>334</v>
      </c>
      <c r="PWD105" s="33" t="s">
        <v>334</v>
      </c>
      <c r="PWE105" s="33" t="s">
        <v>334</v>
      </c>
      <c r="PWF105" s="33" t="s">
        <v>334</v>
      </c>
      <c r="PWG105" s="33" t="s">
        <v>334</v>
      </c>
      <c r="PWH105" s="33" t="s">
        <v>334</v>
      </c>
      <c r="PWI105" s="33" t="s">
        <v>334</v>
      </c>
      <c r="PWJ105" s="33" t="s">
        <v>334</v>
      </c>
      <c r="PWK105" s="33" t="s">
        <v>334</v>
      </c>
      <c r="PWL105" s="33" t="s">
        <v>334</v>
      </c>
      <c r="PWM105" s="33" t="s">
        <v>334</v>
      </c>
      <c r="PWN105" s="33" t="s">
        <v>334</v>
      </c>
      <c r="PWO105" s="33" t="s">
        <v>334</v>
      </c>
      <c r="PWP105" s="33" t="s">
        <v>334</v>
      </c>
      <c r="PWQ105" s="33" t="s">
        <v>334</v>
      </c>
      <c r="PWR105" s="33" t="s">
        <v>334</v>
      </c>
      <c r="PWS105" s="33" t="s">
        <v>334</v>
      </c>
      <c r="PWT105" s="33" t="s">
        <v>334</v>
      </c>
      <c r="PWU105" s="33" t="s">
        <v>334</v>
      </c>
      <c r="PWV105" s="33" t="s">
        <v>334</v>
      </c>
      <c r="PWW105" s="33" t="s">
        <v>334</v>
      </c>
      <c r="PWX105" s="33" t="s">
        <v>334</v>
      </c>
      <c r="PWY105" s="33" t="s">
        <v>334</v>
      </c>
      <c r="PWZ105" s="33" t="s">
        <v>334</v>
      </c>
      <c r="PXA105" s="33" t="s">
        <v>334</v>
      </c>
      <c r="PXB105" s="33" t="s">
        <v>334</v>
      </c>
      <c r="PXC105" s="33" t="s">
        <v>334</v>
      </c>
      <c r="PXD105" s="33" t="s">
        <v>334</v>
      </c>
      <c r="PXE105" s="33" t="s">
        <v>334</v>
      </c>
      <c r="PXF105" s="33" t="s">
        <v>334</v>
      </c>
      <c r="PXG105" s="33" t="s">
        <v>334</v>
      </c>
      <c r="PXH105" s="33" t="s">
        <v>334</v>
      </c>
      <c r="PXI105" s="33" t="s">
        <v>334</v>
      </c>
      <c r="PXJ105" s="33" t="s">
        <v>334</v>
      </c>
      <c r="PXK105" s="33" t="s">
        <v>334</v>
      </c>
      <c r="PXL105" s="33" t="s">
        <v>334</v>
      </c>
      <c r="PXM105" s="33" t="s">
        <v>334</v>
      </c>
      <c r="PXN105" s="33" t="s">
        <v>334</v>
      </c>
      <c r="PXO105" s="33" t="s">
        <v>334</v>
      </c>
      <c r="PXP105" s="33" t="s">
        <v>334</v>
      </c>
      <c r="PXQ105" s="33" t="s">
        <v>334</v>
      </c>
      <c r="PXR105" s="33" t="s">
        <v>334</v>
      </c>
      <c r="PXS105" s="33" t="s">
        <v>334</v>
      </c>
      <c r="PXT105" s="33" t="s">
        <v>334</v>
      </c>
      <c r="PXU105" s="33" t="s">
        <v>334</v>
      </c>
      <c r="PXV105" s="33" t="s">
        <v>334</v>
      </c>
      <c r="PXW105" s="33" t="s">
        <v>334</v>
      </c>
      <c r="PXX105" s="33" t="s">
        <v>334</v>
      </c>
      <c r="PXY105" s="33" t="s">
        <v>334</v>
      </c>
      <c r="PXZ105" s="33" t="s">
        <v>334</v>
      </c>
      <c r="PYA105" s="33" t="s">
        <v>334</v>
      </c>
      <c r="PYB105" s="33" t="s">
        <v>334</v>
      </c>
      <c r="PYC105" s="33" t="s">
        <v>334</v>
      </c>
      <c r="PYD105" s="33" t="s">
        <v>334</v>
      </c>
      <c r="PYE105" s="33" t="s">
        <v>334</v>
      </c>
      <c r="PYF105" s="33" t="s">
        <v>334</v>
      </c>
      <c r="PYG105" s="33" t="s">
        <v>334</v>
      </c>
      <c r="PYH105" s="33" t="s">
        <v>334</v>
      </c>
      <c r="PYI105" s="33" t="s">
        <v>334</v>
      </c>
      <c r="PYJ105" s="33" t="s">
        <v>334</v>
      </c>
      <c r="PYK105" s="33" t="s">
        <v>334</v>
      </c>
      <c r="PYL105" s="33" t="s">
        <v>334</v>
      </c>
      <c r="PYM105" s="33" t="s">
        <v>334</v>
      </c>
      <c r="PYN105" s="33" t="s">
        <v>334</v>
      </c>
      <c r="PYO105" s="33" t="s">
        <v>334</v>
      </c>
      <c r="PYP105" s="33" t="s">
        <v>334</v>
      </c>
      <c r="PYQ105" s="33" t="s">
        <v>334</v>
      </c>
      <c r="PYR105" s="33" t="s">
        <v>334</v>
      </c>
      <c r="PYS105" s="33" t="s">
        <v>334</v>
      </c>
      <c r="PYT105" s="33" t="s">
        <v>334</v>
      </c>
      <c r="PYU105" s="33" t="s">
        <v>334</v>
      </c>
      <c r="PYV105" s="33" t="s">
        <v>334</v>
      </c>
      <c r="PYW105" s="33" t="s">
        <v>334</v>
      </c>
      <c r="PYX105" s="33" t="s">
        <v>334</v>
      </c>
      <c r="PYY105" s="33" t="s">
        <v>334</v>
      </c>
      <c r="PYZ105" s="33" t="s">
        <v>334</v>
      </c>
      <c r="PZA105" s="33" t="s">
        <v>334</v>
      </c>
      <c r="PZB105" s="33" t="s">
        <v>334</v>
      </c>
      <c r="PZC105" s="33" t="s">
        <v>334</v>
      </c>
      <c r="PZD105" s="33" t="s">
        <v>334</v>
      </c>
      <c r="PZE105" s="33" t="s">
        <v>334</v>
      </c>
      <c r="PZF105" s="33" t="s">
        <v>334</v>
      </c>
      <c r="PZG105" s="33" t="s">
        <v>334</v>
      </c>
      <c r="PZH105" s="33" t="s">
        <v>334</v>
      </c>
      <c r="PZI105" s="33" t="s">
        <v>334</v>
      </c>
      <c r="PZJ105" s="33" t="s">
        <v>334</v>
      </c>
      <c r="PZK105" s="33" t="s">
        <v>334</v>
      </c>
      <c r="PZL105" s="33" t="s">
        <v>334</v>
      </c>
      <c r="PZM105" s="33" t="s">
        <v>334</v>
      </c>
      <c r="PZN105" s="33" t="s">
        <v>334</v>
      </c>
      <c r="PZO105" s="33" t="s">
        <v>334</v>
      </c>
      <c r="PZP105" s="33" t="s">
        <v>334</v>
      </c>
      <c r="PZQ105" s="33" t="s">
        <v>334</v>
      </c>
      <c r="PZR105" s="33" t="s">
        <v>334</v>
      </c>
      <c r="PZS105" s="33" t="s">
        <v>334</v>
      </c>
      <c r="PZT105" s="33" t="s">
        <v>334</v>
      </c>
      <c r="PZU105" s="33" t="s">
        <v>334</v>
      </c>
      <c r="PZV105" s="33" t="s">
        <v>334</v>
      </c>
      <c r="PZW105" s="33" t="s">
        <v>334</v>
      </c>
      <c r="PZX105" s="33" t="s">
        <v>334</v>
      </c>
      <c r="PZY105" s="33" t="s">
        <v>334</v>
      </c>
      <c r="PZZ105" s="33" t="s">
        <v>334</v>
      </c>
      <c r="QAA105" s="33" t="s">
        <v>334</v>
      </c>
      <c r="QAB105" s="33" t="s">
        <v>334</v>
      </c>
      <c r="QAC105" s="33" t="s">
        <v>334</v>
      </c>
      <c r="QAD105" s="33" t="s">
        <v>334</v>
      </c>
      <c r="QAE105" s="33" t="s">
        <v>334</v>
      </c>
      <c r="QAF105" s="33" t="s">
        <v>334</v>
      </c>
      <c r="QAG105" s="33" t="s">
        <v>334</v>
      </c>
      <c r="QAH105" s="33" t="s">
        <v>334</v>
      </c>
      <c r="QAI105" s="33" t="s">
        <v>334</v>
      </c>
      <c r="QAJ105" s="33" t="s">
        <v>334</v>
      </c>
      <c r="QAK105" s="33" t="s">
        <v>334</v>
      </c>
      <c r="QAL105" s="33" t="s">
        <v>334</v>
      </c>
      <c r="QAM105" s="33" t="s">
        <v>334</v>
      </c>
      <c r="QAN105" s="33" t="s">
        <v>334</v>
      </c>
      <c r="QAO105" s="33" t="s">
        <v>334</v>
      </c>
      <c r="QAP105" s="33" t="s">
        <v>334</v>
      </c>
      <c r="QAQ105" s="33" t="s">
        <v>334</v>
      </c>
      <c r="QAR105" s="33" t="s">
        <v>334</v>
      </c>
      <c r="QAS105" s="33" t="s">
        <v>334</v>
      </c>
      <c r="QAT105" s="33" t="s">
        <v>334</v>
      </c>
      <c r="QAU105" s="33" t="s">
        <v>334</v>
      </c>
      <c r="QAV105" s="33" t="s">
        <v>334</v>
      </c>
      <c r="QAW105" s="33" t="s">
        <v>334</v>
      </c>
      <c r="QAX105" s="33" t="s">
        <v>334</v>
      </c>
      <c r="QAY105" s="33" t="s">
        <v>334</v>
      </c>
      <c r="QAZ105" s="33" t="s">
        <v>334</v>
      </c>
      <c r="QBA105" s="33" t="s">
        <v>334</v>
      </c>
      <c r="QBB105" s="33" t="s">
        <v>334</v>
      </c>
      <c r="QBC105" s="33" t="s">
        <v>334</v>
      </c>
      <c r="QBD105" s="33" t="s">
        <v>334</v>
      </c>
      <c r="QBE105" s="33" t="s">
        <v>334</v>
      </c>
      <c r="QBF105" s="33" t="s">
        <v>334</v>
      </c>
      <c r="QBG105" s="33" t="s">
        <v>334</v>
      </c>
      <c r="QBH105" s="33" t="s">
        <v>334</v>
      </c>
      <c r="QBI105" s="33" t="s">
        <v>334</v>
      </c>
      <c r="QBJ105" s="33" t="s">
        <v>334</v>
      </c>
      <c r="QBK105" s="33" t="s">
        <v>334</v>
      </c>
      <c r="QBL105" s="33" t="s">
        <v>334</v>
      </c>
      <c r="QBM105" s="33" t="s">
        <v>334</v>
      </c>
      <c r="QBN105" s="33" t="s">
        <v>334</v>
      </c>
      <c r="QBO105" s="33" t="s">
        <v>334</v>
      </c>
      <c r="QBP105" s="33" t="s">
        <v>334</v>
      </c>
      <c r="QBQ105" s="33" t="s">
        <v>334</v>
      </c>
      <c r="QBR105" s="33" t="s">
        <v>334</v>
      </c>
      <c r="QBS105" s="33" t="s">
        <v>334</v>
      </c>
      <c r="QBT105" s="33" t="s">
        <v>334</v>
      </c>
      <c r="QBU105" s="33" t="s">
        <v>334</v>
      </c>
      <c r="QBV105" s="33" t="s">
        <v>334</v>
      </c>
      <c r="QBW105" s="33" t="s">
        <v>334</v>
      </c>
      <c r="QBX105" s="33" t="s">
        <v>334</v>
      </c>
      <c r="QBY105" s="33" t="s">
        <v>334</v>
      </c>
      <c r="QBZ105" s="33" t="s">
        <v>334</v>
      </c>
      <c r="QCA105" s="33" t="s">
        <v>334</v>
      </c>
      <c r="QCB105" s="33" t="s">
        <v>334</v>
      </c>
      <c r="QCC105" s="33" t="s">
        <v>334</v>
      </c>
      <c r="QCD105" s="33" t="s">
        <v>334</v>
      </c>
      <c r="QCE105" s="33" t="s">
        <v>334</v>
      </c>
      <c r="QCF105" s="33" t="s">
        <v>334</v>
      </c>
      <c r="QCG105" s="33" t="s">
        <v>334</v>
      </c>
      <c r="QCH105" s="33" t="s">
        <v>334</v>
      </c>
      <c r="QCI105" s="33" t="s">
        <v>334</v>
      </c>
      <c r="QCJ105" s="33" t="s">
        <v>334</v>
      </c>
      <c r="QCK105" s="33" t="s">
        <v>334</v>
      </c>
      <c r="QCL105" s="33" t="s">
        <v>334</v>
      </c>
      <c r="QCM105" s="33" t="s">
        <v>334</v>
      </c>
      <c r="QCN105" s="33" t="s">
        <v>334</v>
      </c>
      <c r="QCO105" s="33" t="s">
        <v>334</v>
      </c>
      <c r="QCP105" s="33" t="s">
        <v>334</v>
      </c>
      <c r="QCQ105" s="33" t="s">
        <v>334</v>
      </c>
      <c r="QCR105" s="33" t="s">
        <v>334</v>
      </c>
      <c r="QCS105" s="33" t="s">
        <v>334</v>
      </c>
      <c r="QCT105" s="33" t="s">
        <v>334</v>
      </c>
      <c r="QCU105" s="33" t="s">
        <v>334</v>
      </c>
      <c r="QCV105" s="33" t="s">
        <v>334</v>
      </c>
      <c r="QCW105" s="33" t="s">
        <v>334</v>
      </c>
      <c r="QCX105" s="33" t="s">
        <v>334</v>
      </c>
      <c r="QCY105" s="33" t="s">
        <v>334</v>
      </c>
      <c r="QCZ105" s="33" t="s">
        <v>334</v>
      </c>
      <c r="QDA105" s="33" t="s">
        <v>334</v>
      </c>
      <c r="QDB105" s="33" t="s">
        <v>334</v>
      </c>
      <c r="QDC105" s="33" t="s">
        <v>334</v>
      </c>
      <c r="QDD105" s="33" t="s">
        <v>334</v>
      </c>
      <c r="QDE105" s="33" t="s">
        <v>334</v>
      </c>
      <c r="QDF105" s="33" t="s">
        <v>334</v>
      </c>
      <c r="QDG105" s="33" t="s">
        <v>334</v>
      </c>
      <c r="QDH105" s="33" t="s">
        <v>334</v>
      </c>
      <c r="QDI105" s="33" t="s">
        <v>334</v>
      </c>
      <c r="QDJ105" s="33" t="s">
        <v>334</v>
      </c>
      <c r="QDK105" s="33" t="s">
        <v>334</v>
      </c>
      <c r="QDL105" s="33" t="s">
        <v>334</v>
      </c>
      <c r="QDM105" s="33" t="s">
        <v>334</v>
      </c>
      <c r="QDN105" s="33" t="s">
        <v>334</v>
      </c>
      <c r="QDO105" s="33" t="s">
        <v>334</v>
      </c>
      <c r="QDP105" s="33" t="s">
        <v>334</v>
      </c>
      <c r="QDQ105" s="33" t="s">
        <v>334</v>
      </c>
      <c r="QDR105" s="33" t="s">
        <v>334</v>
      </c>
      <c r="QDS105" s="33" t="s">
        <v>334</v>
      </c>
      <c r="QDT105" s="33" t="s">
        <v>334</v>
      </c>
      <c r="QDU105" s="33" t="s">
        <v>334</v>
      </c>
      <c r="QDV105" s="33" t="s">
        <v>334</v>
      </c>
      <c r="QDW105" s="33" t="s">
        <v>334</v>
      </c>
      <c r="QDX105" s="33" t="s">
        <v>334</v>
      </c>
      <c r="QDY105" s="33" t="s">
        <v>334</v>
      </c>
      <c r="QDZ105" s="33" t="s">
        <v>334</v>
      </c>
      <c r="QEA105" s="33" t="s">
        <v>334</v>
      </c>
      <c r="QEB105" s="33" t="s">
        <v>334</v>
      </c>
      <c r="QEC105" s="33" t="s">
        <v>334</v>
      </c>
      <c r="QED105" s="33" t="s">
        <v>334</v>
      </c>
      <c r="QEE105" s="33" t="s">
        <v>334</v>
      </c>
      <c r="QEF105" s="33" t="s">
        <v>334</v>
      </c>
      <c r="QEG105" s="33" t="s">
        <v>334</v>
      </c>
      <c r="QEH105" s="33" t="s">
        <v>334</v>
      </c>
      <c r="QEI105" s="33" t="s">
        <v>334</v>
      </c>
      <c r="QEJ105" s="33" t="s">
        <v>334</v>
      </c>
      <c r="QEK105" s="33" t="s">
        <v>334</v>
      </c>
      <c r="QEL105" s="33" t="s">
        <v>334</v>
      </c>
      <c r="QEM105" s="33" t="s">
        <v>334</v>
      </c>
      <c r="QEN105" s="33" t="s">
        <v>334</v>
      </c>
      <c r="QEO105" s="33" t="s">
        <v>334</v>
      </c>
      <c r="QEP105" s="33" t="s">
        <v>334</v>
      </c>
      <c r="QEQ105" s="33" t="s">
        <v>334</v>
      </c>
      <c r="QER105" s="33" t="s">
        <v>334</v>
      </c>
      <c r="QES105" s="33" t="s">
        <v>334</v>
      </c>
      <c r="QET105" s="33" t="s">
        <v>334</v>
      </c>
      <c r="QEU105" s="33" t="s">
        <v>334</v>
      </c>
      <c r="QEV105" s="33" t="s">
        <v>334</v>
      </c>
      <c r="QEW105" s="33" t="s">
        <v>334</v>
      </c>
      <c r="QEX105" s="33" t="s">
        <v>334</v>
      </c>
      <c r="QEY105" s="33" t="s">
        <v>334</v>
      </c>
      <c r="QEZ105" s="33" t="s">
        <v>334</v>
      </c>
      <c r="QFA105" s="33" t="s">
        <v>334</v>
      </c>
      <c r="QFB105" s="33" t="s">
        <v>334</v>
      </c>
      <c r="QFC105" s="33" t="s">
        <v>334</v>
      </c>
      <c r="QFD105" s="33" t="s">
        <v>334</v>
      </c>
      <c r="QFE105" s="33" t="s">
        <v>334</v>
      </c>
      <c r="QFF105" s="33" t="s">
        <v>334</v>
      </c>
      <c r="QFG105" s="33" t="s">
        <v>334</v>
      </c>
      <c r="QFH105" s="33" t="s">
        <v>334</v>
      </c>
      <c r="QFI105" s="33" t="s">
        <v>334</v>
      </c>
      <c r="QFJ105" s="33" t="s">
        <v>334</v>
      </c>
      <c r="QFK105" s="33" t="s">
        <v>334</v>
      </c>
      <c r="QFL105" s="33" t="s">
        <v>334</v>
      </c>
      <c r="QFM105" s="33" t="s">
        <v>334</v>
      </c>
      <c r="QFN105" s="33" t="s">
        <v>334</v>
      </c>
      <c r="QFO105" s="33" t="s">
        <v>334</v>
      </c>
      <c r="QFP105" s="33" t="s">
        <v>334</v>
      </c>
      <c r="QFQ105" s="33" t="s">
        <v>334</v>
      </c>
      <c r="QFR105" s="33" t="s">
        <v>334</v>
      </c>
      <c r="QFS105" s="33" t="s">
        <v>334</v>
      </c>
      <c r="QFT105" s="33" t="s">
        <v>334</v>
      </c>
      <c r="QFU105" s="33" t="s">
        <v>334</v>
      </c>
      <c r="QFV105" s="33" t="s">
        <v>334</v>
      </c>
      <c r="QFW105" s="33" t="s">
        <v>334</v>
      </c>
      <c r="QFX105" s="33" t="s">
        <v>334</v>
      </c>
      <c r="QFY105" s="33" t="s">
        <v>334</v>
      </c>
      <c r="QFZ105" s="33" t="s">
        <v>334</v>
      </c>
      <c r="QGA105" s="33" t="s">
        <v>334</v>
      </c>
      <c r="QGB105" s="33" t="s">
        <v>334</v>
      </c>
      <c r="QGC105" s="33" t="s">
        <v>334</v>
      </c>
      <c r="QGD105" s="33" t="s">
        <v>334</v>
      </c>
      <c r="QGE105" s="33" t="s">
        <v>334</v>
      </c>
      <c r="QGF105" s="33" t="s">
        <v>334</v>
      </c>
      <c r="QGG105" s="33" t="s">
        <v>334</v>
      </c>
      <c r="QGH105" s="33" t="s">
        <v>334</v>
      </c>
      <c r="QGI105" s="33" t="s">
        <v>334</v>
      </c>
      <c r="QGJ105" s="33" t="s">
        <v>334</v>
      </c>
      <c r="QGK105" s="33" t="s">
        <v>334</v>
      </c>
      <c r="QGL105" s="33" t="s">
        <v>334</v>
      </c>
      <c r="QGM105" s="33" t="s">
        <v>334</v>
      </c>
      <c r="QGN105" s="33" t="s">
        <v>334</v>
      </c>
      <c r="QGO105" s="33" t="s">
        <v>334</v>
      </c>
      <c r="QGP105" s="33" t="s">
        <v>334</v>
      </c>
      <c r="QGQ105" s="33" t="s">
        <v>334</v>
      </c>
      <c r="QGR105" s="33" t="s">
        <v>334</v>
      </c>
      <c r="QGS105" s="33" t="s">
        <v>334</v>
      </c>
      <c r="QGT105" s="33" t="s">
        <v>334</v>
      </c>
      <c r="QGU105" s="33" t="s">
        <v>334</v>
      </c>
      <c r="QGV105" s="33" t="s">
        <v>334</v>
      </c>
      <c r="QGW105" s="33" t="s">
        <v>334</v>
      </c>
      <c r="QGX105" s="33" t="s">
        <v>334</v>
      </c>
      <c r="QGY105" s="33" t="s">
        <v>334</v>
      </c>
      <c r="QGZ105" s="33" t="s">
        <v>334</v>
      </c>
      <c r="QHA105" s="33" t="s">
        <v>334</v>
      </c>
      <c r="QHB105" s="33" t="s">
        <v>334</v>
      </c>
      <c r="QHC105" s="33" t="s">
        <v>334</v>
      </c>
      <c r="QHD105" s="33" t="s">
        <v>334</v>
      </c>
      <c r="QHE105" s="33" t="s">
        <v>334</v>
      </c>
      <c r="QHF105" s="33" t="s">
        <v>334</v>
      </c>
      <c r="QHG105" s="33" t="s">
        <v>334</v>
      </c>
      <c r="QHH105" s="33" t="s">
        <v>334</v>
      </c>
      <c r="QHI105" s="33" t="s">
        <v>334</v>
      </c>
      <c r="QHJ105" s="33" t="s">
        <v>334</v>
      </c>
      <c r="QHK105" s="33" t="s">
        <v>334</v>
      </c>
      <c r="QHL105" s="33" t="s">
        <v>334</v>
      </c>
      <c r="QHM105" s="33" t="s">
        <v>334</v>
      </c>
      <c r="QHN105" s="33" t="s">
        <v>334</v>
      </c>
      <c r="QHO105" s="33" t="s">
        <v>334</v>
      </c>
      <c r="QHP105" s="33" t="s">
        <v>334</v>
      </c>
      <c r="QHQ105" s="33" t="s">
        <v>334</v>
      </c>
      <c r="QHR105" s="33" t="s">
        <v>334</v>
      </c>
      <c r="QHS105" s="33" t="s">
        <v>334</v>
      </c>
      <c r="QHT105" s="33" t="s">
        <v>334</v>
      </c>
      <c r="QHU105" s="33" t="s">
        <v>334</v>
      </c>
      <c r="QHV105" s="33" t="s">
        <v>334</v>
      </c>
      <c r="QHW105" s="33" t="s">
        <v>334</v>
      </c>
      <c r="QHX105" s="33" t="s">
        <v>334</v>
      </c>
      <c r="QHY105" s="33" t="s">
        <v>334</v>
      </c>
      <c r="QHZ105" s="33" t="s">
        <v>334</v>
      </c>
      <c r="QIA105" s="33" t="s">
        <v>334</v>
      </c>
      <c r="QIB105" s="33" t="s">
        <v>334</v>
      </c>
      <c r="QIC105" s="33" t="s">
        <v>334</v>
      </c>
      <c r="QID105" s="33" t="s">
        <v>334</v>
      </c>
      <c r="QIE105" s="33" t="s">
        <v>334</v>
      </c>
      <c r="QIF105" s="33" t="s">
        <v>334</v>
      </c>
      <c r="QIG105" s="33" t="s">
        <v>334</v>
      </c>
      <c r="QIH105" s="33" t="s">
        <v>334</v>
      </c>
      <c r="QII105" s="33" t="s">
        <v>334</v>
      </c>
      <c r="QIJ105" s="33" t="s">
        <v>334</v>
      </c>
      <c r="QIK105" s="33" t="s">
        <v>334</v>
      </c>
      <c r="QIL105" s="33" t="s">
        <v>334</v>
      </c>
      <c r="QIM105" s="33" t="s">
        <v>334</v>
      </c>
      <c r="QIN105" s="33" t="s">
        <v>334</v>
      </c>
      <c r="QIO105" s="33" t="s">
        <v>334</v>
      </c>
      <c r="QIP105" s="33" t="s">
        <v>334</v>
      </c>
      <c r="QIQ105" s="33" t="s">
        <v>334</v>
      </c>
      <c r="QIR105" s="33" t="s">
        <v>334</v>
      </c>
      <c r="QIS105" s="33" t="s">
        <v>334</v>
      </c>
      <c r="QIT105" s="33" t="s">
        <v>334</v>
      </c>
      <c r="QIU105" s="33" t="s">
        <v>334</v>
      </c>
      <c r="QIV105" s="33" t="s">
        <v>334</v>
      </c>
      <c r="QIW105" s="33" t="s">
        <v>334</v>
      </c>
      <c r="QIX105" s="33" t="s">
        <v>334</v>
      </c>
      <c r="QIY105" s="33" t="s">
        <v>334</v>
      </c>
      <c r="QIZ105" s="33" t="s">
        <v>334</v>
      </c>
      <c r="QJA105" s="33" t="s">
        <v>334</v>
      </c>
      <c r="QJB105" s="33" t="s">
        <v>334</v>
      </c>
      <c r="QJC105" s="33" t="s">
        <v>334</v>
      </c>
      <c r="QJD105" s="33" t="s">
        <v>334</v>
      </c>
      <c r="QJE105" s="33" t="s">
        <v>334</v>
      </c>
      <c r="QJF105" s="33" t="s">
        <v>334</v>
      </c>
      <c r="QJG105" s="33" t="s">
        <v>334</v>
      </c>
      <c r="QJH105" s="33" t="s">
        <v>334</v>
      </c>
      <c r="QJI105" s="33" t="s">
        <v>334</v>
      </c>
      <c r="QJJ105" s="33" t="s">
        <v>334</v>
      </c>
      <c r="QJK105" s="33" t="s">
        <v>334</v>
      </c>
      <c r="QJL105" s="33" t="s">
        <v>334</v>
      </c>
      <c r="QJM105" s="33" t="s">
        <v>334</v>
      </c>
      <c r="QJN105" s="33" t="s">
        <v>334</v>
      </c>
      <c r="QJO105" s="33" t="s">
        <v>334</v>
      </c>
      <c r="QJP105" s="33" t="s">
        <v>334</v>
      </c>
      <c r="QJQ105" s="33" t="s">
        <v>334</v>
      </c>
      <c r="QJR105" s="33" t="s">
        <v>334</v>
      </c>
      <c r="QJS105" s="33" t="s">
        <v>334</v>
      </c>
      <c r="QJT105" s="33" t="s">
        <v>334</v>
      </c>
      <c r="QJU105" s="33" t="s">
        <v>334</v>
      </c>
      <c r="QJV105" s="33" t="s">
        <v>334</v>
      </c>
      <c r="QJW105" s="33" t="s">
        <v>334</v>
      </c>
      <c r="QJX105" s="33" t="s">
        <v>334</v>
      </c>
      <c r="QJY105" s="33" t="s">
        <v>334</v>
      </c>
      <c r="QJZ105" s="33" t="s">
        <v>334</v>
      </c>
      <c r="QKA105" s="33" t="s">
        <v>334</v>
      </c>
      <c r="QKB105" s="33" t="s">
        <v>334</v>
      </c>
      <c r="QKC105" s="33" t="s">
        <v>334</v>
      </c>
      <c r="QKD105" s="33" t="s">
        <v>334</v>
      </c>
      <c r="QKE105" s="33" t="s">
        <v>334</v>
      </c>
      <c r="QKF105" s="33" t="s">
        <v>334</v>
      </c>
      <c r="QKG105" s="33" t="s">
        <v>334</v>
      </c>
      <c r="QKH105" s="33" t="s">
        <v>334</v>
      </c>
      <c r="QKI105" s="33" t="s">
        <v>334</v>
      </c>
      <c r="QKJ105" s="33" t="s">
        <v>334</v>
      </c>
      <c r="QKK105" s="33" t="s">
        <v>334</v>
      </c>
      <c r="QKL105" s="33" t="s">
        <v>334</v>
      </c>
      <c r="QKM105" s="33" t="s">
        <v>334</v>
      </c>
      <c r="QKN105" s="33" t="s">
        <v>334</v>
      </c>
      <c r="QKO105" s="33" t="s">
        <v>334</v>
      </c>
      <c r="QKP105" s="33" t="s">
        <v>334</v>
      </c>
      <c r="QKQ105" s="33" t="s">
        <v>334</v>
      </c>
      <c r="QKR105" s="33" t="s">
        <v>334</v>
      </c>
      <c r="QKS105" s="33" t="s">
        <v>334</v>
      </c>
      <c r="QKT105" s="33" t="s">
        <v>334</v>
      </c>
      <c r="QKU105" s="33" t="s">
        <v>334</v>
      </c>
      <c r="QKV105" s="33" t="s">
        <v>334</v>
      </c>
      <c r="QKW105" s="33" t="s">
        <v>334</v>
      </c>
      <c r="QKX105" s="33" t="s">
        <v>334</v>
      </c>
      <c r="QKY105" s="33" t="s">
        <v>334</v>
      </c>
      <c r="QKZ105" s="33" t="s">
        <v>334</v>
      </c>
      <c r="QLA105" s="33" t="s">
        <v>334</v>
      </c>
      <c r="QLB105" s="33" t="s">
        <v>334</v>
      </c>
      <c r="QLC105" s="33" t="s">
        <v>334</v>
      </c>
      <c r="QLD105" s="33" t="s">
        <v>334</v>
      </c>
      <c r="QLE105" s="33" t="s">
        <v>334</v>
      </c>
      <c r="QLF105" s="33" t="s">
        <v>334</v>
      </c>
      <c r="QLG105" s="33" t="s">
        <v>334</v>
      </c>
      <c r="QLH105" s="33" t="s">
        <v>334</v>
      </c>
      <c r="QLI105" s="33" t="s">
        <v>334</v>
      </c>
      <c r="QLJ105" s="33" t="s">
        <v>334</v>
      </c>
      <c r="QLK105" s="33" t="s">
        <v>334</v>
      </c>
      <c r="QLL105" s="33" t="s">
        <v>334</v>
      </c>
      <c r="QLM105" s="33" t="s">
        <v>334</v>
      </c>
      <c r="QLN105" s="33" t="s">
        <v>334</v>
      </c>
      <c r="QLO105" s="33" t="s">
        <v>334</v>
      </c>
      <c r="QLP105" s="33" t="s">
        <v>334</v>
      </c>
      <c r="QLQ105" s="33" t="s">
        <v>334</v>
      </c>
      <c r="QLR105" s="33" t="s">
        <v>334</v>
      </c>
      <c r="QLS105" s="33" t="s">
        <v>334</v>
      </c>
      <c r="QLT105" s="33" t="s">
        <v>334</v>
      </c>
      <c r="QLU105" s="33" t="s">
        <v>334</v>
      </c>
      <c r="QLV105" s="33" t="s">
        <v>334</v>
      </c>
      <c r="QLW105" s="33" t="s">
        <v>334</v>
      </c>
      <c r="QLX105" s="33" t="s">
        <v>334</v>
      </c>
      <c r="QLY105" s="33" t="s">
        <v>334</v>
      </c>
      <c r="QLZ105" s="33" t="s">
        <v>334</v>
      </c>
      <c r="QMA105" s="33" t="s">
        <v>334</v>
      </c>
      <c r="QMB105" s="33" t="s">
        <v>334</v>
      </c>
      <c r="QMC105" s="33" t="s">
        <v>334</v>
      </c>
      <c r="QMD105" s="33" t="s">
        <v>334</v>
      </c>
      <c r="QME105" s="33" t="s">
        <v>334</v>
      </c>
      <c r="QMF105" s="33" t="s">
        <v>334</v>
      </c>
      <c r="QMG105" s="33" t="s">
        <v>334</v>
      </c>
      <c r="QMH105" s="33" t="s">
        <v>334</v>
      </c>
      <c r="QMI105" s="33" t="s">
        <v>334</v>
      </c>
      <c r="QMJ105" s="33" t="s">
        <v>334</v>
      </c>
      <c r="QMK105" s="33" t="s">
        <v>334</v>
      </c>
      <c r="QML105" s="33" t="s">
        <v>334</v>
      </c>
      <c r="QMM105" s="33" t="s">
        <v>334</v>
      </c>
      <c r="QMN105" s="33" t="s">
        <v>334</v>
      </c>
      <c r="QMO105" s="33" t="s">
        <v>334</v>
      </c>
      <c r="QMP105" s="33" t="s">
        <v>334</v>
      </c>
      <c r="QMQ105" s="33" t="s">
        <v>334</v>
      </c>
      <c r="QMR105" s="33" t="s">
        <v>334</v>
      </c>
      <c r="QMS105" s="33" t="s">
        <v>334</v>
      </c>
      <c r="QMT105" s="33" t="s">
        <v>334</v>
      </c>
      <c r="QMU105" s="33" t="s">
        <v>334</v>
      </c>
      <c r="QMV105" s="33" t="s">
        <v>334</v>
      </c>
      <c r="QMW105" s="33" t="s">
        <v>334</v>
      </c>
      <c r="QMX105" s="33" t="s">
        <v>334</v>
      </c>
      <c r="QMY105" s="33" t="s">
        <v>334</v>
      </c>
      <c r="QMZ105" s="33" t="s">
        <v>334</v>
      </c>
      <c r="QNA105" s="33" t="s">
        <v>334</v>
      </c>
      <c r="QNB105" s="33" t="s">
        <v>334</v>
      </c>
      <c r="QNC105" s="33" t="s">
        <v>334</v>
      </c>
      <c r="QND105" s="33" t="s">
        <v>334</v>
      </c>
      <c r="QNE105" s="33" t="s">
        <v>334</v>
      </c>
      <c r="QNF105" s="33" t="s">
        <v>334</v>
      </c>
      <c r="QNG105" s="33" t="s">
        <v>334</v>
      </c>
      <c r="QNH105" s="33" t="s">
        <v>334</v>
      </c>
      <c r="QNI105" s="33" t="s">
        <v>334</v>
      </c>
      <c r="QNJ105" s="33" t="s">
        <v>334</v>
      </c>
      <c r="QNK105" s="33" t="s">
        <v>334</v>
      </c>
      <c r="QNL105" s="33" t="s">
        <v>334</v>
      </c>
      <c r="QNM105" s="33" t="s">
        <v>334</v>
      </c>
      <c r="QNN105" s="33" t="s">
        <v>334</v>
      </c>
      <c r="QNO105" s="33" t="s">
        <v>334</v>
      </c>
      <c r="QNP105" s="33" t="s">
        <v>334</v>
      </c>
      <c r="QNQ105" s="33" t="s">
        <v>334</v>
      </c>
      <c r="QNR105" s="33" t="s">
        <v>334</v>
      </c>
      <c r="QNS105" s="33" t="s">
        <v>334</v>
      </c>
      <c r="QNT105" s="33" t="s">
        <v>334</v>
      </c>
      <c r="QNU105" s="33" t="s">
        <v>334</v>
      </c>
      <c r="QNV105" s="33" t="s">
        <v>334</v>
      </c>
      <c r="QNW105" s="33" t="s">
        <v>334</v>
      </c>
      <c r="QNX105" s="33" t="s">
        <v>334</v>
      </c>
      <c r="QNY105" s="33" t="s">
        <v>334</v>
      </c>
      <c r="QNZ105" s="33" t="s">
        <v>334</v>
      </c>
      <c r="QOA105" s="33" t="s">
        <v>334</v>
      </c>
      <c r="QOB105" s="33" t="s">
        <v>334</v>
      </c>
      <c r="QOC105" s="33" t="s">
        <v>334</v>
      </c>
      <c r="QOD105" s="33" t="s">
        <v>334</v>
      </c>
      <c r="QOE105" s="33" t="s">
        <v>334</v>
      </c>
      <c r="QOF105" s="33" t="s">
        <v>334</v>
      </c>
      <c r="QOG105" s="33" t="s">
        <v>334</v>
      </c>
      <c r="QOH105" s="33" t="s">
        <v>334</v>
      </c>
      <c r="QOI105" s="33" t="s">
        <v>334</v>
      </c>
      <c r="QOJ105" s="33" t="s">
        <v>334</v>
      </c>
      <c r="QOK105" s="33" t="s">
        <v>334</v>
      </c>
      <c r="QOL105" s="33" t="s">
        <v>334</v>
      </c>
      <c r="QOM105" s="33" t="s">
        <v>334</v>
      </c>
      <c r="QON105" s="33" t="s">
        <v>334</v>
      </c>
      <c r="QOO105" s="33" t="s">
        <v>334</v>
      </c>
      <c r="QOP105" s="33" t="s">
        <v>334</v>
      </c>
      <c r="QOQ105" s="33" t="s">
        <v>334</v>
      </c>
      <c r="QOR105" s="33" t="s">
        <v>334</v>
      </c>
      <c r="QOS105" s="33" t="s">
        <v>334</v>
      </c>
      <c r="QOT105" s="33" t="s">
        <v>334</v>
      </c>
      <c r="QOU105" s="33" t="s">
        <v>334</v>
      </c>
      <c r="QOV105" s="33" t="s">
        <v>334</v>
      </c>
      <c r="QOW105" s="33" t="s">
        <v>334</v>
      </c>
      <c r="QOX105" s="33" t="s">
        <v>334</v>
      </c>
      <c r="QOY105" s="33" t="s">
        <v>334</v>
      </c>
      <c r="QOZ105" s="33" t="s">
        <v>334</v>
      </c>
      <c r="QPA105" s="33" t="s">
        <v>334</v>
      </c>
      <c r="QPB105" s="33" t="s">
        <v>334</v>
      </c>
      <c r="QPC105" s="33" t="s">
        <v>334</v>
      </c>
      <c r="QPD105" s="33" t="s">
        <v>334</v>
      </c>
      <c r="QPE105" s="33" t="s">
        <v>334</v>
      </c>
      <c r="QPF105" s="33" t="s">
        <v>334</v>
      </c>
      <c r="QPG105" s="33" t="s">
        <v>334</v>
      </c>
      <c r="QPH105" s="33" t="s">
        <v>334</v>
      </c>
      <c r="QPI105" s="33" t="s">
        <v>334</v>
      </c>
      <c r="QPJ105" s="33" t="s">
        <v>334</v>
      </c>
      <c r="QPK105" s="33" t="s">
        <v>334</v>
      </c>
      <c r="QPL105" s="33" t="s">
        <v>334</v>
      </c>
      <c r="QPM105" s="33" t="s">
        <v>334</v>
      </c>
      <c r="QPN105" s="33" t="s">
        <v>334</v>
      </c>
      <c r="QPO105" s="33" t="s">
        <v>334</v>
      </c>
      <c r="QPP105" s="33" t="s">
        <v>334</v>
      </c>
      <c r="QPQ105" s="33" t="s">
        <v>334</v>
      </c>
      <c r="QPR105" s="33" t="s">
        <v>334</v>
      </c>
      <c r="QPS105" s="33" t="s">
        <v>334</v>
      </c>
      <c r="QPT105" s="33" t="s">
        <v>334</v>
      </c>
      <c r="QPU105" s="33" t="s">
        <v>334</v>
      </c>
      <c r="QPV105" s="33" t="s">
        <v>334</v>
      </c>
      <c r="QPW105" s="33" t="s">
        <v>334</v>
      </c>
      <c r="QPX105" s="33" t="s">
        <v>334</v>
      </c>
      <c r="QPY105" s="33" t="s">
        <v>334</v>
      </c>
      <c r="QPZ105" s="33" t="s">
        <v>334</v>
      </c>
      <c r="QQA105" s="33" t="s">
        <v>334</v>
      </c>
      <c r="QQB105" s="33" t="s">
        <v>334</v>
      </c>
      <c r="QQC105" s="33" t="s">
        <v>334</v>
      </c>
      <c r="QQD105" s="33" t="s">
        <v>334</v>
      </c>
      <c r="QQE105" s="33" t="s">
        <v>334</v>
      </c>
      <c r="QQF105" s="33" t="s">
        <v>334</v>
      </c>
      <c r="QQG105" s="33" t="s">
        <v>334</v>
      </c>
      <c r="QQH105" s="33" t="s">
        <v>334</v>
      </c>
      <c r="QQI105" s="33" t="s">
        <v>334</v>
      </c>
      <c r="QQJ105" s="33" t="s">
        <v>334</v>
      </c>
      <c r="QQK105" s="33" t="s">
        <v>334</v>
      </c>
      <c r="QQL105" s="33" t="s">
        <v>334</v>
      </c>
      <c r="QQM105" s="33" t="s">
        <v>334</v>
      </c>
      <c r="QQN105" s="33" t="s">
        <v>334</v>
      </c>
      <c r="QQO105" s="33" t="s">
        <v>334</v>
      </c>
      <c r="QQP105" s="33" t="s">
        <v>334</v>
      </c>
      <c r="QQQ105" s="33" t="s">
        <v>334</v>
      </c>
      <c r="QQR105" s="33" t="s">
        <v>334</v>
      </c>
      <c r="QQS105" s="33" t="s">
        <v>334</v>
      </c>
      <c r="QQT105" s="33" t="s">
        <v>334</v>
      </c>
      <c r="QQU105" s="33" t="s">
        <v>334</v>
      </c>
      <c r="QQV105" s="33" t="s">
        <v>334</v>
      </c>
      <c r="QQW105" s="33" t="s">
        <v>334</v>
      </c>
      <c r="QQX105" s="33" t="s">
        <v>334</v>
      </c>
      <c r="QQY105" s="33" t="s">
        <v>334</v>
      </c>
      <c r="QQZ105" s="33" t="s">
        <v>334</v>
      </c>
      <c r="QRA105" s="33" t="s">
        <v>334</v>
      </c>
      <c r="QRB105" s="33" t="s">
        <v>334</v>
      </c>
      <c r="QRC105" s="33" t="s">
        <v>334</v>
      </c>
      <c r="QRD105" s="33" t="s">
        <v>334</v>
      </c>
      <c r="QRE105" s="33" t="s">
        <v>334</v>
      </c>
      <c r="QRF105" s="33" t="s">
        <v>334</v>
      </c>
      <c r="QRG105" s="33" t="s">
        <v>334</v>
      </c>
      <c r="QRH105" s="33" t="s">
        <v>334</v>
      </c>
      <c r="QRI105" s="33" t="s">
        <v>334</v>
      </c>
      <c r="QRJ105" s="33" t="s">
        <v>334</v>
      </c>
      <c r="QRK105" s="33" t="s">
        <v>334</v>
      </c>
      <c r="QRL105" s="33" t="s">
        <v>334</v>
      </c>
      <c r="QRM105" s="33" t="s">
        <v>334</v>
      </c>
      <c r="QRN105" s="33" t="s">
        <v>334</v>
      </c>
      <c r="QRO105" s="33" t="s">
        <v>334</v>
      </c>
      <c r="QRP105" s="33" t="s">
        <v>334</v>
      </c>
      <c r="QRQ105" s="33" t="s">
        <v>334</v>
      </c>
      <c r="QRR105" s="33" t="s">
        <v>334</v>
      </c>
      <c r="QRS105" s="33" t="s">
        <v>334</v>
      </c>
      <c r="QRT105" s="33" t="s">
        <v>334</v>
      </c>
      <c r="QRU105" s="33" t="s">
        <v>334</v>
      </c>
      <c r="QRV105" s="33" t="s">
        <v>334</v>
      </c>
      <c r="QRW105" s="33" t="s">
        <v>334</v>
      </c>
      <c r="QRX105" s="33" t="s">
        <v>334</v>
      </c>
      <c r="QRY105" s="33" t="s">
        <v>334</v>
      </c>
      <c r="QRZ105" s="33" t="s">
        <v>334</v>
      </c>
      <c r="QSA105" s="33" t="s">
        <v>334</v>
      </c>
      <c r="QSB105" s="33" t="s">
        <v>334</v>
      </c>
      <c r="QSC105" s="33" t="s">
        <v>334</v>
      </c>
      <c r="QSD105" s="33" t="s">
        <v>334</v>
      </c>
      <c r="QSE105" s="33" t="s">
        <v>334</v>
      </c>
      <c r="QSF105" s="33" t="s">
        <v>334</v>
      </c>
      <c r="QSG105" s="33" t="s">
        <v>334</v>
      </c>
      <c r="QSH105" s="33" t="s">
        <v>334</v>
      </c>
      <c r="QSI105" s="33" t="s">
        <v>334</v>
      </c>
      <c r="QSJ105" s="33" t="s">
        <v>334</v>
      </c>
      <c r="QSK105" s="33" t="s">
        <v>334</v>
      </c>
      <c r="QSL105" s="33" t="s">
        <v>334</v>
      </c>
      <c r="QSM105" s="33" t="s">
        <v>334</v>
      </c>
      <c r="QSN105" s="33" t="s">
        <v>334</v>
      </c>
      <c r="QSO105" s="33" t="s">
        <v>334</v>
      </c>
      <c r="QSP105" s="33" t="s">
        <v>334</v>
      </c>
      <c r="QSQ105" s="33" t="s">
        <v>334</v>
      </c>
      <c r="QSR105" s="33" t="s">
        <v>334</v>
      </c>
      <c r="QSS105" s="33" t="s">
        <v>334</v>
      </c>
      <c r="QST105" s="33" t="s">
        <v>334</v>
      </c>
      <c r="QSU105" s="33" t="s">
        <v>334</v>
      </c>
      <c r="QSV105" s="33" t="s">
        <v>334</v>
      </c>
      <c r="QSW105" s="33" t="s">
        <v>334</v>
      </c>
      <c r="QSX105" s="33" t="s">
        <v>334</v>
      </c>
      <c r="QSY105" s="33" t="s">
        <v>334</v>
      </c>
      <c r="QSZ105" s="33" t="s">
        <v>334</v>
      </c>
      <c r="QTA105" s="33" t="s">
        <v>334</v>
      </c>
      <c r="QTB105" s="33" t="s">
        <v>334</v>
      </c>
      <c r="QTC105" s="33" t="s">
        <v>334</v>
      </c>
      <c r="QTD105" s="33" t="s">
        <v>334</v>
      </c>
      <c r="QTE105" s="33" t="s">
        <v>334</v>
      </c>
      <c r="QTF105" s="33" t="s">
        <v>334</v>
      </c>
      <c r="QTG105" s="33" t="s">
        <v>334</v>
      </c>
      <c r="QTH105" s="33" t="s">
        <v>334</v>
      </c>
      <c r="QTI105" s="33" t="s">
        <v>334</v>
      </c>
      <c r="QTJ105" s="33" t="s">
        <v>334</v>
      </c>
      <c r="QTK105" s="33" t="s">
        <v>334</v>
      </c>
      <c r="QTL105" s="33" t="s">
        <v>334</v>
      </c>
      <c r="QTM105" s="33" t="s">
        <v>334</v>
      </c>
      <c r="QTN105" s="33" t="s">
        <v>334</v>
      </c>
      <c r="QTO105" s="33" t="s">
        <v>334</v>
      </c>
      <c r="QTP105" s="33" t="s">
        <v>334</v>
      </c>
      <c r="QTQ105" s="33" t="s">
        <v>334</v>
      </c>
      <c r="QTR105" s="33" t="s">
        <v>334</v>
      </c>
      <c r="QTS105" s="33" t="s">
        <v>334</v>
      </c>
      <c r="QTT105" s="33" t="s">
        <v>334</v>
      </c>
      <c r="QTU105" s="33" t="s">
        <v>334</v>
      </c>
      <c r="QTV105" s="33" t="s">
        <v>334</v>
      </c>
      <c r="QTW105" s="33" t="s">
        <v>334</v>
      </c>
      <c r="QTX105" s="33" t="s">
        <v>334</v>
      </c>
      <c r="QTY105" s="33" t="s">
        <v>334</v>
      </c>
      <c r="QTZ105" s="33" t="s">
        <v>334</v>
      </c>
      <c r="QUA105" s="33" t="s">
        <v>334</v>
      </c>
      <c r="QUB105" s="33" t="s">
        <v>334</v>
      </c>
      <c r="QUC105" s="33" t="s">
        <v>334</v>
      </c>
      <c r="QUD105" s="33" t="s">
        <v>334</v>
      </c>
      <c r="QUE105" s="33" t="s">
        <v>334</v>
      </c>
      <c r="QUF105" s="33" t="s">
        <v>334</v>
      </c>
      <c r="QUG105" s="33" t="s">
        <v>334</v>
      </c>
      <c r="QUH105" s="33" t="s">
        <v>334</v>
      </c>
      <c r="QUI105" s="33" t="s">
        <v>334</v>
      </c>
      <c r="QUJ105" s="33" t="s">
        <v>334</v>
      </c>
      <c r="QUK105" s="33" t="s">
        <v>334</v>
      </c>
      <c r="QUL105" s="33" t="s">
        <v>334</v>
      </c>
      <c r="QUM105" s="33" t="s">
        <v>334</v>
      </c>
      <c r="QUN105" s="33" t="s">
        <v>334</v>
      </c>
      <c r="QUO105" s="33" t="s">
        <v>334</v>
      </c>
      <c r="QUP105" s="33" t="s">
        <v>334</v>
      </c>
      <c r="QUQ105" s="33" t="s">
        <v>334</v>
      </c>
      <c r="QUR105" s="33" t="s">
        <v>334</v>
      </c>
      <c r="QUS105" s="33" t="s">
        <v>334</v>
      </c>
      <c r="QUT105" s="33" t="s">
        <v>334</v>
      </c>
      <c r="QUU105" s="33" t="s">
        <v>334</v>
      </c>
      <c r="QUV105" s="33" t="s">
        <v>334</v>
      </c>
      <c r="QUW105" s="33" t="s">
        <v>334</v>
      </c>
      <c r="QUX105" s="33" t="s">
        <v>334</v>
      </c>
      <c r="QUY105" s="33" t="s">
        <v>334</v>
      </c>
      <c r="QUZ105" s="33" t="s">
        <v>334</v>
      </c>
      <c r="QVA105" s="33" t="s">
        <v>334</v>
      </c>
      <c r="QVB105" s="33" t="s">
        <v>334</v>
      </c>
      <c r="QVC105" s="33" t="s">
        <v>334</v>
      </c>
      <c r="QVD105" s="33" t="s">
        <v>334</v>
      </c>
      <c r="QVE105" s="33" t="s">
        <v>334</v>
      </c>
      <c r="QVF105" s="33" t="s">
        <v>334</v>
      </c>
      <c r="QVG105" s="33" t="s">
        <v>334</v>
      </c>
      <c r="QVH105" s="33" t="s">
        <v>334</v>
      </c>
      <c r="QVI105" s="33" t="s">
        <v>334</v>
      </c>
      <c r="QVJ105" s="33" t="s">
        <v>334</v>
      </c>
      <c r="QVK105" s="33" t="s">
        <v>334</v>
      </c>
      <c r="QVL105" s="33" t="s">
        <v>334</v>
      </c>
      <c r="QVM105" s="33" t="s">
        <v>334</v>
      </c>
      <c r="QVN105" s="33" t="s">
        <v>334</v>
      </c>
      <c r="QVO105" s="33" t="s">
        <v>334</v>
      </c>
      <c r="QVP105" s="33" t="s">
        <v>334</v>
      </c>
      <c r="QVQ105" s="33" t="s">
        <v>334</v>
      </c>
      <c r="QVR105" s="33" t="s">
        <v>334</v>
      </c>
      <c r="QVS105" s="33" t="s">
        <v>334</v>
      </c>
      <c r="QVT105" s="33" t="s">
        <v>334</v>
      </c>
      <c r="QVU105" s="33" t="s">
        <v>334</v>
      </c>
      <c r="QVV105" s="33" t="s">
        <v>334</v>
      </c>
      <c r="QVW105" s="33" t="s">
        <v>334</v>
      </c>
      <c r="QVX105" s="33" t="s">
        <v>334</v>
      </c>
      <c r="QVY105" s="33" t="s">
        <v>334</v>
      </c>
      <c r="QVZ105" s="33" t="s">
        <v>334</v>
      </c>
      <c r="QWA105" s="33" t="s">
        <v>334</v>
      </c>
      <c r="QWB105" s="33" t="s">
        <v>334</v>
      </c>
      <c r="QWC105" s="33" t="s">
        <v>334</v>
      </c>
      <c r="QWD105" s="33" t="s">
        <v>334</v>
      </c>
      <c r="QWE105" s="33" t="s">
        <v>334</v>
      </c>
      <c r="QWF105" s="33" t="s">
        <v>334</v>
      </c>
      <c r="QWG105" s="33" t="s">
        <v>334</v>
      </c>
      <c r="QWH105" s="33" t="s">
        <v>334</v>
      </c>
      <c r="QWI105" s="33" t="s">
        <v>334</v>
      </c>
      <c r="QWJ105" s="33" t="s">
        <v>334</v>
      </c>
      <c r="QWK105" s="33" t="s">
        <v>334</v>
      </c>
      <c r="QWL105" s="33" t="s">
        <v>334</v>
      </c>
      <c r="QWM105" s="33" t="s">
        <v>334</v>
      </c>
      <c r="QWN105" s="33" t="s">
        <v>334</v>
      </c>
      <c r="QWO105" s="33" t="s">
        <v>334</v>
      </c>
      <c r="QWP105" s="33" t="s">
        <v>334</v>
      </c>
      <c r="QWQ105" s="33" t="s">
        <v>334</v>
      </c>
      <c r="QWR105" s="33" t="s">
        <v>334</v>
      </c>
      <c r="QWS105" s="33" t="s">
        <v>334</v>
      </c>
      <c r="QWT105" s="33" t="s">
        <v>334</v>
      </c>
      <c r="QWU105" s="33" t="s">
        <v>334</v>
      </c>
      <c r="QWV105" s="33" t="s">
        <v>334</v>
      </c>
      <c r="QWW105" s="33" t="s">
        <v>334</v>
      </c>
      <c r="QWX105" s="33" t="s">
        <v>334</v>
      </c>
      <c r="QWY105" s="33" t="s">
        <v>334</v>
      </c>
      <c r="QWZ105" s="33" t="s">
        <v>334</v>
      </c>
      <c r="QXA105" s="33" t="s">
        <v>334</v>
      </c>
      <c r="QXB105" s="33" t="s">
        <v>334</v>
      </c>
      <c r="QXC105" s="33" t="s">
        <v>334</v>
      </c>
      <c r="QXD105" s="33" t="s">
        <v>334</v>
      </c>
      <c r="QXE105" s="33" t="s">
        <v>334</v>
      </c>
      <c r="QXF105" s="33" t="s">
        <v>334</v>
      </c>
      <c r="QXG105" s="33" t="s">
        <v>334</v>
      </c>
      <c r="QXH105" s="33" t="s">
        <v>334</v>
      </c>
      <c r="QXI105" s="33" t="s">
        <v>334</v>
      </c>
      <c r="QXJ105" s="33" t="s">
        <v>334</v>
      </c>
      <c r="QXK105" s="33" t="s">
        <v>334</v>
      </c>
      <c r="QXL105" s="33" t="s">
        <v>334</v>
      </c>
      <c r="QXM105" s="33" t="s">
        <v>334</v>
      </c>
      <c r="QXN105" s="33" t="s">
        <v>334</v>
      </c>
      <c r="QXO105" s="33" t="s">
        <v>334</v>
      </c>
      <c r="QXP105" s="33" t="s">
        <v>334</v>
      </c>
      <c r="QXQ105" s="33" t="s">
        <v>334</v>
      </c>
      <c r="QXR105" s="33" t="s">
        <v>334</v>
      </c>
      <c r="QXS105" s="33" t="s">
        <v>334</v>
      </c>
      <c r="QXT105" s="33" t="s">
        <v>334</v>
      </c>
      <c r="QXU105" s="33" t="s">
        <v>334</v>
      </c>
      <c r="QXV105" s="33" t="s">
        <v>334</v>
      </c>
      <c r="QXW105" s="33" t="s">
        <v>334</v>
      </c>
      <c r="QXX105" s="33" t="s">
        <v>334</v>
      </c>
      <c r="QXY105" s="33" t="s">
        <v>334</v>
      </c>
      <c r="QXZ105" s="33" t="s">
        <v>334</v>
      </c>
      <c r="QYA105" s="33" t="s">
        <v>334</v>
      </c>
      <c r="QYB105" s="33" t="s">
        <v>334</v>
      </c>
      <c r="QYC105" s="33" t="s">
        <v>334</v>
      </c>
      <c r="QYD105" s="33" t="s">
        <v>334</v>
      </c>
      <c r="QYE105" s="33" t="s">
        <v>334</v>
      </c>
      <c r="QYF105" s="33" t="s">
        <v>334</v>
      </c>
      <c r="QYG105" s="33" t="s">
        <v>334</v>
      </c>
      <c r="QYH105" s="33" t="s">
        <v>334</v>
      </c>
      <c r="QYI105" s="33" t="s">
        <v>334</v>
      </c>
      <c r="QYJ105" s="33" t="s">
        <v>334</v>
      </c>
      <c r="QYK105" s="33" t="s">
        <v>334</v>
      </c>
      <c r="QYL105" s="33" t="s">
        <v>334</v>
      </c>
      <c r="QYM105" s="33" t="s">
        <v>334</v>
      </c>
      <c r="QYN105" s="33" t="s">
        <v>334</v>
      </c>
      <c r="QYO105" s="33" t="s">
        <v>334</v>
      </c>
      <c r="QYP105" s="33" t="s">
        <v>334</v>
      </c>
      <c r="QYQ105" s="33" t="s">
        <v>334</v>
      </c>
      <c r="QYR105" s="33" t="s">
        <v>334</v>
      </c>
      <c r="QYS105" s="33" t="s">
        <v>334</v>
      </c>
      <c r="QYT105" s="33" t="s">
        <v>334</v>
      </c>
      <c r="QYU105" s="33" t="s">
        <v>334</v>
      </c>
      <c r="QYV105" s="33" t="s">
        <v>334</v>
      </c>
      <c r="QYW105" s="33" t="s">
        <v>334</v>
      </c>
      <c r="QYX105" s="33" t="s">
        <v>334</v>
      </c>
      <c r="QYY105" s="33" t="s">
        <v>334</v>
      </c>
      <c r="QYZ105" s="33" t="s">
        <v>334</v>
      </c>
      <c r="QZA105" s="33" t="s">
        <v>334</v>
      </c>
      <c r="QZB105" s="33" t="s">
        <v>334</v>
      </c>
      <c r="QZC105" s="33" t="s">
        <v>334</v>
      </c>
      <c r="QZD105" s="33" t="s">
        <v>334</v>
      </c>
      <c r="QZE105" s="33" t="s">
        <v>334</v>
      </c>
      <c r="QZF105" s="33" t="s">
        <v>334</v>
      </c>
      <c r="QZG105" s="33" t="s">
        <v>334</v>
      </c>
      <c r="QZH105" s="33" t="s">
        <v>334</v>
      </c>
      <c r="QZI105" s="33" t="s">
        <v>334</v>
      </c>
      <c r="QZJ105" s="33" t="s">
        <v>334</v>
      </c>
      <c r="QZK105" s="33" t="s">
        <v>334</v>
      </c>
      <c r="QZL105" s="33" t="s">
        <v>334</v>
      </c>
      <c r="QZM105" s="33" t="s">
        <v>334</v>
      </c>
      <c r="QZN105" s="33" t="s">
        <v>334</v>
      </c>
      <c r="QZO105" s="33" t="s">
        <v>334</v>
      </c>
      <c r="QZP105" s="33" t="s">
        <v>334</v>
      </c>
      <c r="QZQ105" s="33" t="s">
        <v>334</v>
      </c>
      <c r="QZR105" s="33" t="s">
        <v>334</v>
      </c>
      <c r="QZS105" s="33" t="s">
        <v>334</v>
      </c>
      <c r="QZT105" s="33" t="s">
        <v>334</v>
      </c>
      <c r="QZU105" s="33" t="s">
        <v>334</v>
      </c>
      <c r="QZV105" s="33" t="s">
        <v>334</v>
      </c>
      <c r="QZW105" s="33" t="s">
        <v>334</v>
      </c>
      <c r="QZX105" s="33" t="s">
        <v>334</v>
      </c>
      <c r="QZY105" s="33" t="s">
        <v>334</v>
      </c>
      <c r="QZZ105" s="33" t="s">
        <v>334</v>
      </c>
      <c r="RAA105" s="33" t="s">
        <v>334</v>
      </c>
      <c r="RAB105" s="33" t="s">
        <v>334</v>
      </c>
      <c r="RAC105" s="33" t="s">
        <v>334</v>
      </c>
      <c r="RAD105" s="33" t="s">
        <v>334</v>
      </c>
      <c r="RAE105" s="33" t="s">
        <v>334</v>
      </c>
      <c r="RAF105" s="33" t="s">
        <v>334</v>
      </c>
      <c r="RAG105" s="33" t="s">
        <v>334</v>
      </c>
      <c r="RAH105" s="33" t="s">
        <v>334</v>
      </c>
      <c r="RAI105" s="33" t="s">
        <v>334</v>
      </c>
      <c r="RAJ105" s="33" t="s">
        <v>334</v>
      </c>
      <c r="RAK105" s="33" t="s">
        <v>334</v>
      </c>
      <c r="RAL105" s="33" t="s">
        <v>334</v>
      </c>
      <c r="RAM105" s="33" t="s">
        <v>334</v>
      </c>
      <c r="RAN105" s="33" t="s">
        <v>334</v>
      </c>
      <c r="RAO105" s="33" t="s">
        <v>334</v>
      </c>
      <c r="RAP105" s="33" t="s">
        <v>334</v>
      </c>
      <c r="RAQ105" s="33" t="s">
        <v>334</v>
      </c>
      <c r="RAR105" s="33" t="s">
        <v>334</v>
      </c>
      <c r="RAS105" s="33" t="s">
        <v>334</v>
      </c>
      <c r="RAT105" s="33" t="s">
        <v>334</v>
      </c>
      <c r="RAU105" s="33" t="s">
        <v>334</v>
      </c>
      <c r="RAV105" s="33" t="s">
        <v>334</v>
      </c>
      <c r="RAW105" s="33" t="s">
        <v>334</v>
      </c>
      <c r="RAX105" s="33" t="s">
        <v>334</v>
      </c>
      <c r="RAY105" s="33" t="s">
        <v>334</v>
      </c>
      <c r="RAZ105" s="33" t="s">
        <v>334</v>
      </c>
      <c r="RBA105" s="33" t="s">
        <v>334</v>
      </c>
      <c r="RBB105" s="33" t="s">
        <v>334</v>
      </c>
      <c r="RBC105" s="33" t="s">
        <v>334</v>
      </c>
      <c r="RBD105" s="33" t="s">
        <v>334</v>
      </c>
      <c r="RBE105" s="33" t="s">
        <v>334</v>
      </c>
      <c r="RBF105" s="33" t="s">
        <v>334</v>
      </c>
      <c r="RBG105" s="33" t="s">
        <v>334</v>
      </c>
      <c r="RBH105" s="33" t="s">
        <v>334</v>
      </c>
      <c r="RBI105" s="33" t="s">
        <v>334</v>
      </c>
      <c r="RBJ105" s="33" t="s">
        <v>334</v>
      </c>
      <c r="RBK105" s="33" t="s">
        <v>334</v>
      </c>
      <c r="RBL105" s="33" t="s">
        <v>334</v>
      </c>
      <c r="RBM105" s="33" t="s">
        <v>334</v>
      </c>
      <c r="RBN105" s="33" t="s">
        <v>334</v>
      </c>
      <c r="RBO105" s="33" t="s">
        <v>334</v>
      </c>
      <c r="RBP105" s="33" t="s">
        <v>334</v>
      </c>
      <c r="RBQ105" s="33" t="s">
        <v>334</v>
      </c>
      <c r="RBR105" s="33" t="s">
        <v>334</v>
      </c>
      <c r="RBS105" s="33" t="s">
        <v>334</v>
      </c>
      <c r="RBT105" s="33" t="s">
        <v>334</v>
      </c>
      <c r="RBU105" s="33" t="s">
        <v>334</v>
      </c>
      <c r="RBV105" s="33" t="s">
        <v>334</v>
      </c>
      <c r="RBW105" s="33" t="s">
        <v>334</v>
      </c>
      <c r="RBX105" s="33" t="s">
        <v>334</v>
      </c>
      <c r="RBY105" s="33" t="s">
        <v>334</v>
      </c>
      <c r="RBZ105" s="33" t="s">
        <v>334</v>
      </c>
      <c r="RCA105" s="33" t="s">
        <v>334</v>
      </c>
      <c r="RCB105" s="33" t="s">
        <v>334</v>
      </c>
      <c r="RCC105" s="33" t="s">
        <v>334</v>
      </c>
      <c r="RCD105" s="33" t="s">
        <v>334</v>
      </c>
      <c r="RCE105" s="33" t="s">
        <v>334</v>
      </c>
      <c r="RCF105" s="33" t="s">
        <v>334</v>
      </c>
      <c r="RCG105" s="33" t="s">
        <v>334</v>
      </c>
      <c r="RCH105" s="33" t="s">
        <v>334</v>
      </c>
      <c r="RCI105" s="33" t="s">
        <v>334</v>
      </c>
      <c r="RCJ105" s="33" t="s">
        <v>334</v>
      </c>
      <c r="RCK105" s="33" t="s">
        <v>334</v>
      </c>
      <c r="RCL105" s="33" t="s">
        <v>334</v>
      </c>
      <c r="RCM105" s="33" t="s">
        <v>334</v>
      </c>
      <c r="RCN105" s="33" t="s">
        <v>334</v>
      </c>
      <c r="RCO105" s="33" t="s">
        <v>334</v>
      </c>
      <c r="RCP105" s="33" t="s">
        <v>334</v>
      </c>
      <c r="RCQ105" s="33" t="s">
        <v>334</v>
      </c>
      <c r="RCR105" s="33" t="s">
        <v>334</v>
      </c>
      <c r="RCS105" s="33" t="s">
        <v>334</v>
      </c>
      <c r="RCT105" s="33" t="s">
        <v>334</v>
      </c>
      <c r="RCU105" s="33" t="s">
        <v>334</v>
      </c>
      <c r="RCV105" s="33" t="s">
        <v>334</v>
      </c>
      <c r="RCW105" s="33" t="s">
        <v>334</v>
      </c>
      <c r="RCX105" s="33" t="s">
        <v>334</v>
      </c>
      <c r="RCY105" s="33" t="s">
        <v>334</v>
      </c>
      <c r="RCZ105" s="33" t="s">
        <v>334</v>
      </c>
      <c r="RDA105" s="33" t="s">
        <v>334</v>
      </c>
      <c r="RDB105" s="33" t="s">
        <v>334</v>
      </c>
      <c r="RDC105" s="33" t="s">
        <v>334</v>
      </c>
      <c r="RDD105" s="33" t="s">
        <v>334</v>
      </c>
      <c r="RDE105" s="33" t="s">
        <v>334</v>
      </c>
      <c r="RDF105" s="33" t="s">
        <v>334</v>
      </c>
      <c r="RDG105" s="33" t="s">
        <v>334</v>
      </c>
      <c r="RDH105" s="33" t="s">
        <v>334</v>
      </c>
      <c r="RDI105" s="33" t="s">
        <v>334</v>
      </c>
      <c r="RDJ105" s="33" t="s">
        <v>334</v>
      </c>
      <c r="RDK105" s="33" t="s">
        <v>334</v>
      </c>
      <c r="RDL105" s="33" t="s">
        <v>334</v>
      </c>
      <c r="RDM105" s="33" t="s">
        <v>334</v>
      </c>
      <c r="RDN105" s="33" t="s">
        <v>334</v>
      </c>
      <c r="RDO105" s="33" t="s">
        <v>334</v>
      </c>
      <c r="RDP105" s="33" t="s">
        <v>334</v>
      </c>
      <c r="RDQ105" s="33" t="s">
        <v>334</v>
      </c>
      <c r="RDR105" s="33" t="s">
        <v>334</v>
      </c>
      <c r="RDS105" s="33" t="s">
        <v>334</v>
      </c>
      <c r="RDT105" s="33" t="s">
        <v>334</v>
      </c>
      <c r="RDU105" s="33" t="s">
        <v>334</v>
      </c>
      <c r="RDV105" s="33" t="s">
        <v>334</v>
      </c>
      <c r="RDW105" s="33" t="s">
        <v>334</v>
      </c>
      <c r="RDX105" s="33" t="s">
        <v>334</v>
      </c>
      <c r="RDY105" s="33" t="s">
        <v>334</v>
      </c>
      <c r="RDZ105" s="33" t="s">
        <v>334</v>
      </c>
      <c r="REA105" s="33" t="s">
        <v>334</v>
      </c>
      <c r="REB105" s="33" t="s">
        <v>334</v>
      </c>
      <c r="REC105" s="33" t="s">
        <v>334</v>
      </c>
      <c r="RED105" s="33" t="s">
        <v>334</v>
      </c>
      <c r="REE105" s="33" t="s">
        <v>334</v>
      </c>
      <c r="REF105" s="33" t="s">
        <v>334</v>
      </c>
      <c r="REG105" s="33" t="s">
        <v>334</v>
      </c>
      <c r="REH105" s="33" t="s">
        <v>334</v>
      </c>
      <c r="REI105" s="33" t="s">
        <v>334</v>
      </c>
      <c r="REJ105" s="33" t="s">
        <v>334</v>
      </c>
      <c r="REK105" s="33" t="s">
        <v>334</v>
      </c>
      <c r="REL105" s="33" t="s">
        <v>334</v>
      </c>
      <c r="REM105" s="33" t="s">
        <v>334</v>
      </c>
      <c r="REN105" s="33" t="s">
        <v>334</v>
      </c>
      <c r="REO105" s="33" t="s">
        <v>334</v>
      </c>
      <c r="REP105" s="33" t="s">
        <v>334</v>
      </c>
      <c r="REQ105" s="33" t="s">
        <v>334</v>
      </c>
      <c r="RER105" s="33" t="s">
        <v>334</v>
      </c>
      <c r="RES105" s="33" t="s">
        <v>334</v>
      </c>
      <c r="RET105" s="33" t="s">
        <v>334</v>
      </c>
      <c r="REU105" s="33" t="s">
        <v>334</v>
      </c>
      <c r="REV105" s="33" t="s">
        <v>334</v>
      </c>
      <c r="REW105" s="33" t="s">
        <v>334</v>
      </c>
      <c r="REX105" s="33" t="s">
        <v>334</v>
      </c>
      <c r="REY105" s="33" t="s">
        <v>334</v>
      </c>
      <c r="REZ105" s="33" t="s">
        <v>334</v>
      </c>
      <c r="RFA105" s="33" t="s">
        <v>334</v>
      </c>
      <c r="RFB105" s="33" t="s">
        <v>334</v>
      </c>
      <c r="RFC105" s="33" t="s">
        <v>334</v>
      </c>
      <c r="RFD105" s="33" t="s">
        <v>334</v>
      </c>
      <c r="RFE105" s="33" t="s">
        <v>334</v>
      </c>
      <c r="RFF105" s="33" t="s">
        <v>334</v>
      </c>
      <c r="RFG105" s="33" t="s">
        <v>334</v>
      </c>
      <c r="RFH105" s="33" t="s">
        <v>334</v>
      </c>
      <c r="RFI105" s="33" t="s">
        <v>334</v>
      </c>
      <c r="RFJ105" s="33" t="s">
        <v>334</v>
      </c>
      <c r="RFK105" s="33" t="s">
        <v>334</v>
      </c>
      <c r="RFL105" s="33" t="s">
        <v>334</v>
      </c>
      <c r="RFM105" s="33" t="s">
        <v>334</v>
      </c>
      <c r="RFN105" s="33" t="s">
        <v>334</v>
      </c>
      <c r="RFO105" s="33" t="s">
        <v>334</v>
      </c>
      <c r="RFP105" s="33" t="s">
        <v>334</v>
      </c>
      <c r="RFQ105" s="33" t="s">
        <v>334</v>
      </c>
      <c r="RFR105" s="33" t="s">
        <v>334</v>
      </c>
      <c r="RFS105" s="33" t="s">
        <v>334</v>
      </c>
      <c r="RFT105" s="33" t="s">
        <v>334</v>
      </c>
      <c r="RFU105" s="33" t="s">
        <v>334</v>
      </c>
      <c r="RFV105" s="33" t="s">
        <v>334</v>
      </c>
      <c r="RFW105" s="33" t="s">
        <v>334</v>
      </c>
      <c r="RFX105" s="33" t="s">
        <v>334</v>
      </c>
      <c r="RFY105" s="33" t="s">
        <v>334</v>
      </c>
      <c r="RFZ105" s="33" t="s">
        <v>334</v>
      </c>
      <c r="RGA105" s="33" t="s">
        <v>334</v>
      </c>
      <c r="RGB105" s="33" t="s">
        <v>334</v>
      </c>
      <c r="RGC105" s="33" t="s">
        <v>334</v>
      </c>
      <c r="RGD105" s="33" t="s">
        <v>334</v>
      </c>
      <c r="RGE105" s="33" t="s">
        <v>334</v>
      </c>
      <c r="RGF105" s="33" t="s">
        <v>334</v>
      </c>
      <c r="RGG105" s="33" t="s">
        <v>334</v>
      </c>
      <c r="RGH105" s="33" t="s">
        <v>334</v>
      </c>
      <c r="RGI105" s="33" t="s">
        <v>334</v>
      </c>
      <c r="RGJ105" s="33" t="s">
        <v>334</v>
      </c>
      <c r="RGK105" s="33" t="s">
        <v>334</v>
      </c>
      <c r="RGL105" s="33" t="s">
        <v>334</v>
      </c>
      <c r="RGM105" s="33" t="s">
        <v>334</v>
      </c>
      <c r="RGN105" s="33" t="s">
        <v>334</v>
      </c>
      <c r="RGO105" s="33" t="s">
        <v>334</v>
      </c>
      <c r="RGP105" s="33" t="s">
        <v>334</v>
      </c>
      <c r="RGQ105" s="33" t="s">
        <v>334</v>
      </c>
      <c r="RGR105" s="33" t="s">
        <v>334</v>
      </c>
      <c r="RGS105" s="33" t="s">
        <v>334</v>
      </c>
      <c r="RGT105" s="33" t="s">
        <v>334</v>
      </c>
      <c r="RGU105" s="33" t="s">
        <v>334</v>
      </c>
      <c r="RGV105" s="33" t="s">
        <v>334</v>
      </c>
      <c r="RGW105" s="33" t="s">
        <v>334</v>
      </c>
      <c r="RGX105" s="33" t="s">
        <v>334</v>
      </c>
      <c r="RGY105" s="33" t="s">
        <v>334</v>
      </c>
      <c r="RGZ105" s="33" t="s">
        <v>334</v>
      </c>
      <c r="RHA105" s="33" t="s">
        <v>334</v>
      </c>
      <c r="RHB105" s="33" t="s">
        <v>334</v>
      </c>
      <c r="RHC105" s="33" t="s">
        <v>334</v>
      </c>
      <c r="RHD105" s="33" t="s">
        <v>334</v>
      </c>
      <c r="RHE105" s="33" t="s">
        <v>334</v>
      </c>
      <c r="RHF105" s="33" t="s">
        <v>334</v>
      </c>
      <c r="RHG105" s="33" t="s">
        <v>334</v>
      </c>
      <c r="RHH105" s="33" t="s">
        <v>334</v>
      </c>
      <c r="RHI105" s="33" t="s">
        <v>334</v>
      </c>
      <c r="RHJ105" s="33" t="s">
        <v>334</v>
      </c>
      <c r="RHK105" s="33" t="s">
        <v>334</v>
      </c>
      <c r="RHL105" s="33" t="s">
        <v>334</v>
      </c>
      <c r="RHM105" s="33" t="s">
        <v>334</v>
      </c>
      <c r="RHN105" s="33" t="s">
        <v>334</v>
      </c>
      <c r="RHO105" s="33" t="s">
        <v>334</v>
      </c>
      <c r="RHP105" s="33" t="s">
        <v>334</v>
      </c>
      <c r="RHQ105" s="33" t="s">
        <v>334</v>
      </c>
      <c r="RHR105" s="33" t="s">
        <v>334</v>
      </c>
      <c r="RHS105" s="33" t="s">
        <v>334</v>
      </c>
      <c r="RHT105" s="33" t="s">
        <v>334</v>
      </c>
      <c r="RHU105" s="33" t="s">
        <v>334</v>
      </c>
      <c r="RHV105" s="33" t="s">
        <v>334</v>
      </c>
      <c r="RHW105" s="33" t="s">
        <v>334</v>
      </c>
      <c r="RHX105" s="33" t="s">
        <v>334</v>
      </c>
      <c r="RHY105" s="33" t="s">
        <v>334</v>
      </c>
      <c r="RHZ105" s="33" t="s">
        <v>334</v>
      </c>
      <c r="RIA105" s="33" t="s">
        <v>334</v>
      </c>
      <c r="RIB105" s="33" t="s">
        <v>334</v>
      </c>
      <c r="RIC105" s="33" t="s">
        <v>334</v>
      </c>
      <c r="RID105" s="33" t="s">
        <v>334</v>
      </c>
      <c r="RIE105" s="33" t="s">
        <v>334</v>
      </c>
      <c r="RIF105" s="33" t="s">
        <v>334</v>
      </c>
      <c r="RIG105" s="33" t="s">
        <v>334</v>
      </c>
      <c r="RIH105" s="33" t="s">
        <v>334</v>
      </c>
      <c r="RII105" s="33" t="s">
        <v>334</v>
      </c>
      <c r="RIJ105" s="33" t="s">
        <v>334</v>
      </c>
      <c r="RIK105" s="33" t="s">
        <v>334</v>
      </c>
      <c r="RIL105" s="33" t="s">
        <v>334</v>
      </c>
      <c r="RIM105" s="33" t="s">
        <v>334</v>
      </c>
      <c r="RIN105" s="33" t="s">
        <v>334</v>
      </c>
      <c r="RIO105" s="33" t="s">
        <v>334</v>
      </c>
      <c r="RIP105" s="33" t="s">
        <v>334</v>
      </c>
      <c r="RIQ105" s="33" t="s">
        <v>334</v>
      </c>
      <c r="RIR105" s="33" t="s">
        <v>334</v>
      </c>
      <c r="RIS105" s="33" t="s">
        <v>334</v>
      </c>
      <c r="RIT105" s="33" t="s">
        <v>334</v>
      </c>
      <c r="RIU105" s="33" t="s">
        <v>334</v>
      </c>
      <c r="RIV105" s="33" t="s">
        <v>334</v>
      </c>
      <c r="RIW105" s="33" t="s">
        <v>334</v>
      </c>
      <c r="RIX105" s="33" t="s">
        <v>334</v>
      </c>
      <c r="RIY105" s="33" t="s">
        <v>334</v>
      </c>
      <c r="RIZ105" s="33" t="s">
        <v>334</v>
      </c>
      <c r="RJA105" s="33" t="s">
        <v>334</v>
      </c>
      <c r="RJB105" s="33" t="s">
        <v>334</v>
      </c>
      <c r="RJC105" s="33" t="s">
        <v>334</v>
      </c>
      <c r="RJD105" s="33" t="s">
        <v>334</v>
      </c>
      <c r="RJE105" s="33" t="s">
        <v>334</v>
      </c>
      <c r="RJF105" s="33" t="s">
        <v>334</v>
      </c>
      <c r="RJG105" s="33" t="s">
        <v>334</v>
      </c>
      <c r="RJH105" s="33" t="s">
        <v>334</v>
      </c>
      <c r="RJI105" s="33" t="s">
        <v>334</v>
      </c>
      <c r="RJJ105" s="33" t="s">
        <v>334</v>
      </c>
      <c r="RJK105" s="33" t="s">
        <v>334</v>
      </c>
      <c r="RJL105" s="33" t="s">
        <v>334</v>
      </c>
      <c r="RJM105" s="33" t="s">
        <v>334</v>
      </c>
      <c r="RJN105" s="33" t="s">
        <v>334</v>
      </c>
      <c r="RJO105" s="33" t="s">
        <v>334</v>
      </c>
      <c r="RJP105" s="33" t="s">
        <v>334</v>
      </c>
      <c r="RJQ105" s="33" t="s">
        <v>334</v>
      </c>
      <c r="RJR105" s="33" t="s">
        <v>334</v>
      </c>
      <c r="RJS105" s="33" t="s">
        <v>334</v>
      </c>
      <c r="RJT105" s="33" t="s">
        <v>334</v>
      </c>
      <c r="RJU105" s="33" t="s">
        <v>334</v>
      </c>
      <c r="RJV105" s="33" t="s">
        <v>334</v>
      </c>
      <c r="RJW105" s="33" t="s">
        <v>334</v>
      </c>
      <c r="RJX105" s="33" t="s">
        <v>334</v>
      </c>
      <c r="RJY105" s="33" t="s">
        <v>334</v>
      </c>
      <c r="RJZ105" s="33" t="s">
        <v>334</v>
      </c>
      <c r="RKA105" s="33" t="s">
        <v>334</v>
      </c>
      <c r="RKB105" s="33" t="s">
        <v>334</v>
      </c>
      <c r="RKC105" s="33" t="s">
        <v>334</v>
      </c>
      <c r="RKD105" s="33" t="s">
        <v>334</v>
      </c>
      <c r="RKE105" s="33" t="s">
        <v>334</v>
      </c>
      <c r="RKF105" s="33" t="s">
        <v>334</v>
      </c>
      <c r="RKG105" s="33" t="s">
        <v>334</v>
      </c>
      <c r="RKH105" s="33" t="s">
        <v>334</v>
      </c>
      <c r="RKI105" s="33" t="s">
        <v>334</v>
      </c>
      <c r="RKJ105" s="33" t="s">
        <v>334</v>
      </c>
      <c r="RKK105" s="33" t="s">
        <v>334</v>
      </c>
      <c r="RKL105" s="33" t="s">
        <v>334</v>
      </c>
      <c r="RKM105" s="33" t="s">
        <v>334</v>
      </c>
      <c r="RKN105" s="33" t="s">
        <v>334</v>
      </c>
      <c r="RKO105" s="33" t="s">
        <v>334</v>
      </c>
      <c r="RKP105" s="33" t="s">
        <v>334</v>
      </c>
      <c r="RKQ105" s="33" t="s">
        <v>334</v>
      </c>
      <c r="RKR105" s="33" t="s">
        <v>334</v>
      </c>
      <c r="RKS105" s="33" t="s">
        <v>334</v>
      </c>
      <c r="RKT105" s="33" t="s">
        <v>334</v>
      </c>
      <c r="RKU105" s="33" t="s">
        <v>334</v>
      </c>
      <c r="RKV105" s="33" t="s">
        <v>334</v>
      </c>
      <c r="RKW105" s="33" t="s">
        <v>334</v>
      </c>
      <c r="RKX105" s="33" t="s">
        <v>334</v>
      </c>
      <c r="RKY105" s="33" t="s">
        <v>334</v>
      </c>
      <c r="RKZ105" s="33" t="s">
        <v>334</v>
      </c>
      <c r="RLA105" s="33" t="s">
        <v>334</v>
      </c>
      <c r="RLB105" s="33" t="s">
        <v>334</v>
      </c>
      <c r="RLC105" s="33" t="s">
        <v>334</v>
      </c>
      <c r="RLD105" s="33" t="s">
        <v>334</v>
      </c>
      <c r="RLE105" s="33" t="s">
        <v>334</v>
      </c>
      <c r="RLF105" s="33" t="s">
        <v>334</v>
      </c>
      <c r="RLG105" s="33" t="s">
        <v>334</v>
      </c>
      <c r="RLH105" s="33" t="s">
        <v>334</v>
      </c>
      <c r="RLI105" s="33" t="s">
        <v>334</v>
      </c>
      <c r="RLJ105" s="33" t="s">
        <v>334</v>
      </c>
      <c r="RLK105" s="33" t="s">
        <v>334</v>
      </c>
      <c r="RLL105" s="33" t="s">
        <v>334</v>
      </c>
      <c r="RLM105" s="33" t="s">
        <v>334</v>
      </c>
      <c r="RLN105" s="33" t="s">
        <v>334</v>
      </c>
      <c r="RLO105" s="33" t="s">
        <v>334</v>
      </c>
      <c r="RLP105" s="33" t="s">
        <v>334</v>
      </c>
      <c r="RLQ105" s="33" t="s">
        <v>334</v>
      </c>
      <c r="RLR105" s="33" t="s">
        <v>334</v>
      </c>
      <c r="RLS105" s="33" t="s">
        <v>334</v>
      </c>
      <c r="RLT105" s="33" t="s">
        <v>334</v>
      </c>
      <c r="RLU105" s="33" t="s">
        <v>334</v>
      </c>
      <c r="RLV105" s="33" t="s">
        <v>334</v>
      </c>
      <c r="RLW105" s="33" t="s">
        <v>334</v>
      </c>
      <c r="RLX105" s="33" t="s">
        <v>334</v>
      </c>
      <c r="RLY105" s="33" t="s">
        <v>334</v>
      </c>
      <c r="RLZ105" s="33" t="s">
        <v>334</v>
      </c>
      <c r="RMA105" s="33" t="s">
        <v>334</v>
      </c>
      <c r="RMB105" s="33" t="s">
        <v>334</v>
      </c>
      <c r="RMC105" s="33" t="s">
        <v>334</v>
      </c>
      <c r="RMD105" s="33" t="s">
        <v>334</v>
      </c>
      <c r="RME105" s="33" t="s">
        <v>334</v>
      </c>
      <c r="RMF105" s="33" t="s">
        <v>334</v>
      </c>
      <c r="RMG105" s="33" t="s">
        <v>334</v>
      </c>
      <c r="RMH105" s="33" t="s">
        <v>334</v>
      </c>
      <c r="RMI105" s="33" t="s">
        <v>334</v>
      </c>
      <c r="RMJ105" s="33" t="s">
        <v>334</v>
      </c>
      <c r="RMK105" s="33" t="s">
        <v>334</v>
      </c>
      <c r="RML105" s="33" t="s">
        <v>334</v>
      </c>
      <c r="RMM105" s="33" t="s">
        <v>334</v>
      </c>
      <c r="RMN105" s="33" t="s">
        <v>334</v>
      </c>
      <c r="RMO105" s="33" t="s">
        <v>334</v>
      </c>
      <c r="RMP105" s="33" t="s">
        <v>334</v>
      </c>
      <c r="RMQ105" s="33" t="s">
        <v>334</v>
      </c>
      <c r="RMR105" s="33" t="s">
        <v>334</v>
      </c>
      <c r="RMS105" s="33" t="s">
        <v>334</v>
      </c>
      <c r="RMT105" s="33" t="s">
        <v>334</v>
      </c>
      <c r="RMU105" s="33" t="s">
        <v>334</v>
      </c>
      <c r="RMV105" s="33" t="s">
        <v>334</v>
      </c>
      <c r="RMW105" s="33" t="s">
        <v>334</v>
      </c>
      <c r="RMX105" s="33" t="s">
        <v>334</v>
      </c>
      <c r="RMY105" s="33" t="s">
        <v>334</v>
      </c>
      <c r="RMZ105" s="33" t="s">
        <v>334</v>
      </c>
      <c r="RNA105" s="33" t="s">
        <v>334</v>
      </c>
      <c r="RNB105" s="33" t="s">
        <v>334</v>
      </c>
      <c r="RNC105" s="33" t="s">
        <v>334</v>
      </c>
      <c r="RND105" s="33" t="s">
        <v>334</v>
      </c>
      <c r="RNE105" s="33" t="s">
        <v>334</v>
      </c>
      <c r="RNF105" s="33" t="s">
        <v>334</v>
      </c>
      <c r="RNG105" s="33" t="s">
        <v>334</v>
      </c>
      <c r="RNH105" s="33" t="s">
        <v>334</v>
      </c>
      <c r="RNI105" s="33" t="s">
        <v>334</v>
      </c>
      <c r="RNJ105" s="33" t="s">
        <v>334</v>
      </c>
      <c r="RNK105" s="33" t="s">
        <v>334</v>
      </c>
      <c r="RNL105" s="33" t="s">
        <v>334</v>
      </c>
      <c r="RNM105" s="33" t="s">
        <v>334</v>
      </c>
      <c r="RNN105" s="33" t="s">
        <v>334</v>
      </c>
      <c r="RNO105" s="33" t="s">
        <v>334</v>
      </c>
      <c r="RNP105" s="33" t="s">
        <v>334</v>
      </c>
      <c r="RNQ105" s="33" t="s">
        <v>334</v>
      </c>
      <c r="RNR105" s="33" t="s">
        <v>334</v>
      </c>
      <c r="RNS105" s="33" t="s">
        <v>334</v>
      </c>
      <c r="RNT105" s="33" t="s">
        <v>334</v>
      </c>
      <c r="RNU105" s="33" t="s">
        <v>334</v>
      </c>
      <c r="RNV105" s="33" t="s">
        <v>334</v>
      </c>
      <c r="RNW105" s="33" t="s">
        <v>334</v>
      </c>
      <c r="RNX105" s="33" t="s">
        <v>334</v>
      </c>
      <c r="RNY105" s="33" t="s">
        <v>334</v>
      </c>
      <c r="RNZ105" s="33" t="s">
        <v>334</v>
      </c>
      <c r="ROA105" s="33" t="s">
        <v>334</v>
      </c>
      <c r="ROB105" s="33" t="s">
        <v>334</v>
      </c>
      <c r="ROC105" s="33" t="s">
        <v>334</v>
      </c>
      <c r="ROD105" s="33" t="s">
        <v>334</v>
      </c>
      <c r="ROE105" s="33" t="s">
        <v>334</v>
      </c>
      <c r="ROF105" s="33" t="s">
        <v>334</v>
      </c>
      <c r="ROG105" s="33" t="s">
        <v>334</v>
      </c>
      <c r="ROH105" s="33" t="s">
        <v>334</v>
      </c>
      <c r="ROI105" s="33" t="s">
        <v>334</v>
      </c>
      <c r="ROJ105" s="33" t="s">
        <v>334</v>
      </c>
      <c r="ROK105" s="33" t="s">
        <v>334</v>
      </c>
      <c r="ROL105" s="33" t="s">
        <v>334</v>
      </c>
      <c r="ROM105" s="33" t="s">
        <v>334</v>
      </c>
      <c r="RON105" s="33" t="s">
        <v>334</v>
      </c>
      <c r="ROO105" s="33" t="s">
        <v>334</v>
      </c>
      <c r="ROP105" s="33" t="s">
        <v>334</v>
      </c>
      <c r="ROQ105" s="33" t="s">
        <v>334</v>
      </c>
      <c r="ROR105" s="33" t="s">
        <v>334</v>
      </c>
      <c r="ROS105" s="33" t="s">
        <v>334</v>
      </c>
      <c r="ROT105" s="33" t="s">
        <v>334</v>
      </c>
      <c r="ROU105" s="33" t="s">
        <v>334</v>
      </c>
      <c r="ROV105" s="33" t="s">
        <v>334</v>
      </c>
      <c r="ROW105" s="33" t="s">
        <v>334</v>
      </c>
      <c r="ROX105" s="33" t="s">
        <v>334</v>
      </c>
      <c r="ROY105" s="33" t="s">
        <v>334</v>
      </c>
      <c r="ROZ105" s="33" t="s">
        <v>334</v>
      </c>
      <c r="RPA105" s="33" t="s">
        <v>334</v>
      </c>
      <c r="RPB105" s="33" t="s">
        <v>334</v>
      </c>
      <c r="RPC105" s="33" t="s">
        <v>334</v>
      </c>
      <c r="RPD105" s="33" t="s">
        <v>334</v>
      </c>
      <c r="RPE105" s="33" t="s">
        <v>334</v>
      </c>
      <c r="RPF105" s="33" t="s">
        <v>334</v>
      </c>
      <c r="RPG105" s="33" t="s">
        <v>334</v>
      </c>
      <c r="RPH105" s="33" t="s">
        <v>334</v>
      </c>
      <c r="RPI105" s="33" t="s">
        <v>334</v>
      </c>
      <c r="RPJ105" s="33" t="s">
        <v>334</v>
      </c>
      <c r="RPK105" s="33" t="s">
        <v>334</v>
      </c>
      <c r="RPL105" s="33" t="s">
        <v>334</v>
      </c>
      <c r="RPM105" s="33" t="s">
        <v>334</v>
      </c>
      <c r="RPN105" s="33" t="s">
        <v>334</v>
      </c>
      <c r="RPO105" s="33" t="s">
        <v>334</v>
      </c>
      <c r="RPP105" s="33" t="s">
        <v>334</v>
      </c>
      <c r="RPQ105" s="33" t="s">
        <v>334</v>
      </c>
      <c r="RPR105" s="33" t="s">
        <v>334</v>
      </c>
      <c r="RPS105" s="33" t="s">
        <v>334</v>
      </c>
      <c r="RPT105" s="33" t="s">
        <v>334</v>
      </c>
      <c r="RPU105" s="33" t="s">
        <v>334</v>
      </c>
      <c r="RPV105" s="33" t="s">
        <v>334</v>
      </c>
      <c r="RPW105" s="33" t="s">
        <v>334</v>
      </c>
      <c r="RPX105" s="33" t="s">
        <v>334</v>
      </c>
      <c r="RPY105" s="33" t="s">
        <v>334</v>
      </c>
      <c r="RPZ105" s="33" t="s">
        <v>334</v>
      </c>
      <c r="RQA105" s="33" t="s">
        <v>334</v>
      </c>
      <c r="RQB105" s="33" t="s">
        <v>334</v>
      </c>
      <c r="RQC105" s="33" t="s">
        <v>334</v>
      </c>
      <c r="RQD105" s="33" t="s">
        <v>334</v>
      </c>
      <c r="RQE105" s="33" t="s">
        <v>334</v>
      </c>
      <c r="RQF105" s="33" t="s">
        <v>334</v>
      </c>
      <c r="RQG105" s="33" t="s">
        <v>334</v>
      </c>
      <c r="RQH105" s="33" t="s">
        <v>334</v>
      </c>
      <c r="RQI105" s="33" t="s">
        <v>334</v>
      </c>
      <c r="RQJ105" s="33" t="s">
        <v>334</v>
      </c>
      <c r="RQK105" s="33" t="s">
        <v>334</v>
      </c>
      <c r="RQL105" s="33" t="s">
        <v>334</v>
      </c>
      <c r="RQM105" s="33" t="s">
        <v>334</v>
      </c>
      <c r="RQN105" s="33" t="s">
        <v>334</v>
      </c>
      <c r="RQO105" s="33" t="s">
        <v>334</v>
      </c>
      <c r="RQP105" s="33" t="s">
        <v>334</v>
      </c>
      <c r="RQQ105" s="33" t="s">
        <v>334</v>
      </c>
      <c r="RQR105" s="33" t="s">
        <v>334</v>
      </c>
      <c r="RQS105" s="33" t="s">
        <v>334</v>
      </c>
      <c r="RQT105" s="33" t="s">
        <v>334</v>
      </c>
      <c r="RQU105" s="33" t="s">
        <v>334</v>
      </c>
      <c r="RQV105" s="33" t="s">
        <v>334</v>
      </c>
      <c r="RQW105" s="33" t="s">
        <v>334</v>
      </c>
      <c r="RQX105" s="33" t="s">
        <v>334</v>
      </c>
      <c r="RQY105" s="33" t="s">
        <v>334</v>
      </c>
      <c r="RQZ105" s="33" t="s">
        <v>334</v>
      </c>
      <c r="RRA105" s="33" t="s">
        <v>334</v>
      </c>
      <c r="RRB105" s="33" t="s">
        <v>334</v>
      </c>
      <c r="RRC105" s="33" t="s">
        <v>334</v>
      </c>
      <c r="RRD105" s="33" t="s">
        <v>334</v>
      </c>
      <c r="RRE105" s="33" t="s">
        <v>334</v>
      </c>
      <c r="RRF105" s="33" t="s">
        <v>334</v>
      </c>
      <c r="RRG105" s="33" t="s">
        <v>334</v>
      </c>
      <c r="RRH105" s="33" t="s">
        <v>334</v>
      </c>
      <c r="RRI105" s="33" t="s">
        <v>334</v>
      </c>
      <c r="RRJ105" s="33" t="s">
        <v>334</v>
      </c>
      <c r="RRK105" s="33" t="s">
        <v>334</v>
      </c>
      <c r="RRL105" s="33" t="s">
        <v>334</v>
      </c>
      <c r="RRM105" s="33" t="s">
        <v>334</v>
      </c>
      <c r="RRN105" s="33" t="s">
        <v>334</v>
      </c>
      <c r="RRO105" s="33" t="s">
        <v>334</v>
      </c>
      <c r="RRP105" s="33" t="s">
        <v>334</v>
      </c>
      <c r="RRQ105" s="33" t="s">
        <v>334</v>
      </c>
      <c r="RRR105" s="33" t="s">
        <v>334</v>
      </c>
      <c r="RRS105" s="33" t="s">
        <v>334</v>
      </c>
      <c r="RRT105" s="33" t="s">
        <v>334</v>
      </c>
      <c r="RRU105" s="33" t="s">
        <v>334</v>
      </c>
      <c r="RRV105" s="33" t="s">
        <v>334</v>
      </c>
      <c r="RRW105" s="33" t="s">
        <v>334</v>
      </c>
      <c r="RRX105" s="33" t="s">
        <v>334</v>
      </c>
      <c r="RRY105" s="33" t="s">
        <v>334</v>
      </c>
      <c r="RRZ105" s="33" t="s">
        <v>334</v>
      </c>
      <c r="RSA105" s="33" t="s">
        <v>334</v>
      </c>
      <c r="RSB105" s="33" t="s">
        <v>334</v>
      </c>
      <c r="RSC105" s="33" t="s">
        <v>334</v>
      </c>
      <c r="RSD105" s="33" t="s">
        <v>334</v>
      </c>
      <c r="RSE105" s="33" t="s">
        <v>334</v>
      </c>
      <c r="RSF105" s="33" t="s">
        <v>334</v>
      </c>
      <c r="RSG105" s="33" t="s">
        <v>334</v>
      </c>
      <c r="RSH105" s="33" t="s">
        <v>334</v>
      </c>
      <c r="RSI105" s="33" t="s">
        <v>334</v>
      </c>
      <c r="RSJ105" s="33" t="s">
        <v>334</v>
      </c>
      <c r="RSK105" s="33" t="s">
        <v>334</v>
      </c>
      <c r="RSL105" s="33" t="s">
        <v>334</v>
      </c>
      <c r="RSM105" s="33" t="s">
        <v>334</v>
      </c>
      <c r="RSN105" s="33" t="s">
        <v>334</v>
      </c>
      <c r="RSO105" s="33" t="s">
        <v>334</v>
      </c>
      <c r="RSP105" s="33" t="s">
        <v>334</v>
      </c>
      <c r="RSQ105" s="33" t="s">
        <v>334</v>
      </c>
      <c r="RSR105" s="33" t="s">
        <v>334</v>
      </c>
      <c r="RSS105" s="33" t="s">
        <v>334</v>
      </c>
      <c r="RST105" s="33" t="s">
        <v>334</v>
      </c>
      <c r="RSU105" s="33" t="s">
        <v>334</v>
      </c>
      <c r="RSV105" s="33" t="s">
        <v>334</v>
      </c>
      <c r="RSW105" s="33" t="s">
        <v>334</v>
      </c>
      <c r="RSX105" s="33" t="s">
        <v>334</v>
      </c>
      <c r="RSY105" s="33" t="s">
        <v>334</v>
      </c>
      <c r="RSZ105" s="33" t="s">
        <v>334</v>
      </c>
      <c r="RTA105" s="33" t="s">
        <v>334</v>
      </c>
      <c r="RTB105" s="33" t="s">
        <v>334</v>
      </c>
      <c r="RTC105" s="33" t="s">
        <v>334</v>
      </c>
      <c r="RTD105" s="33" t="s">
        <v>334</v>
      </c>
      <c r="RTE105" s="33" t="s">
        <v>334</v>
      </c>
      <c r="RTF105" s="33" t="s">
        <v>334</v>
      </c>
      <c r="RTG105" s="33" t="s">
        <v>334</v>
      </c>
      <c r="RTH105" s="33" t="s">
        <v>334</v>
      </c>
      <c r="RTI105" s="33" t="s">
        <v>334</v>
      </c>
      <c r="RTJ105" s="33" t="s">
        <v>334</v>
      </c>
      <c r="RTK105" s="33" t="s">
        <v>334</v>
      </c>
      <c r="RTL105" s="33" t="s">
        <v>334</v>
      </c>
      <c r="RTM105" s="33" t="s">
        <v>334</v>
      </c>
      <c r="RTN105" s="33" t="s">
        <v>334</v>
      </c>
      <c r="RTO105" s="33" t="s">
        <v>334</v>
      </c>
      <c r="RTP105" s="33" t="s">
        <v>334</v>
      </c>
      <c r="RTQ105" s="33" t="s">
        <v>334</v>
      </c>
      <c r="RTR105" s="33" t="s">
        <v>334</v>
      </c>
      <c r="RTS105" s="33" t="s">
        <v>334</v>
      </c>
      <c r="RTT105" s="33" t="s">
        <v>334</v>
      </c>
      <c r="RTU105" s="33" t="s">
        <v>334</v>
      </c>
      <c r="RTV105" s="33" t="s">
        <v>334</v>
      </c>
      <c r="RTW105" s="33" t="s">
        <v>334</v>
      </c>
      <c r="RTX105" s="33" t="s">
        <v>334</v>
      </c>
      <c r="RTY105" s="33" t="s">
        <v>334</v>
      </c>
      <c r="RTZ105" s="33" t="s">
        <v>334</v>
      </c>
      <c r="RUA105" s="33" t="s">
        <v>334</v>
      </c>
      <c r="RUB105" s="33" t="s">
        <v>334</v>
      </c>
      <c r="RUC105" s="33" t="s">
        <v>334</v>
      </c>
      <c r="RUD105" s="33" t="s">
        <v>334</v>
      </c>
      <c r="RUE105" s="33" t="s">
        <v>334</v>
      </c>
      <c r="RUF105" s="33" t="s">
        <v>334</v>
      </c>
      <c r="RUG105" s="33" t="s">
        <v>334</v>
      </c>
      <c r="RUH105" s="33" t="s">
        <v>334</v>
      </c>
      <c r="RUI105" s="33" t="s">
        <v>334</v>
      </c>
      <c r="RUJ105" s="33" t="s">
        <v>334</v>
      </c>
      <c r="RUK105" s="33" t="s">
        <v>334</v>
      </c>
      <c r="RUL105" s="33" t="s">
        <v>334</v>
      </c>
      <c r="RUM105" s="33" t="s">
        <v>334</v>
      </c>
      <c r="RUN105" s="33" t="s">
        <v>334</v>
      </c>
      <c r="RUO105" s="33" t="s">
        <v>334</v>
      </c>
      <c r="RUP105" s="33" t="s">
        <v>334</v>
      </c>
      <c r="RUQ105" s="33" t="s">
        <v>334</v>
      </c>
      <c r="RUR105" s="33" t="s">
        <v>334</v>
      </c>
      <c r="RUS105" s="33" t="s">
        <v>334</v>
      </c>
      <c r="RUT105" s="33" t="s">
        <v>334</v>
      </c>
      <c r="RUU105" s="33" t="s">
        <v>334</v>
      </c>
      <c r="RUV105" s="33" t="s">
        <v>334</v>
      </c>
      <c r="RUW105" s="33" t="s">
        <v>334</v>
      </c>
      <c r="RUX105" s="33" t="s">
        <v>334</v>
      </c>
      <c r="RUY105" s="33" t="s">
        <v>334</v>
      </c>
      <c r="RUZ105" s="33" t="s">
        <v>334</v>
      </c>
      <c r="RVA105" s="33" t="s">
        <v>334</v>
      </c>
      <c r="RVB105" s="33" t="s">
        <v>334</v>
      </c>
      <c r="RVC105" s="33" t="s">
        <v>334</v>
      </c>
      <c r="RVD105" s="33" t="s">
        <v>334</v>
      </c>
      <c r="RVE105" s="33" t="s">
        <v>334</v>
      </c>
      <c r="RVF105" s="33" t="s">
        <v>334</v>
      </c>
      <c r="RVG105" s="33" t="s">
        <v>334</v>
      </c>
      <c r="RVH105" s="33" t="s">
        <v>334</v>
      </c>
      <c r="RVI105" s="33" t="s">
        <v>334</v>
      </c>
      <c r="RVJ105" s="33" t="s">
        <v>334</v>
      </c>
      <c r="RVK105" s="33" t="s">
        <v>334</v>
      </c>
      <c r="RVL105" s="33" t="s">
        <v>334</v>
      </c>
      <c r="RVM105" s="33" t="s">
        <v>334</v>
      </c>
      <c r="RVN105" s="33" t="s">
        <v>334</v>
      </c>
      <c r="RVO105" s="33" t="s">
        <v>334</v>
      </c>
      <c r="RVP105" s="33" t="s">
        <v>334</v>
      </c>
      <c r="RVQ105" s="33" t="s">
        <v>334</v>
      </c>
      <c r="RVR105" s="33" t="s">
        <v>334</v>
      </c>
      <c r="RVS105" s="33" t="s">
        <v>334</v>
      </c>
      <c r="RVT105" s="33" t="s">
        <v>334</v>
      </c>
      <c r="RVU105" s="33" t="s">
        <v>334</v>
      </c>
      <c r="RVV105" s="33" t="s">
        <v>334</v>
      </c>
      <c r="RVW105" s="33" t="s">
        <v>334</v>
      </c>
      <c r="RVX105" s="33" t="s">
        <v>334</v>
      </c>
      <c r="RVY105" s="33" t="s">
        <v>334</v>
      </c>
      <c r="RVZ105" s="33" t="s">
        <v>334</v>
      </c>
      <c r="RWA105" s="33" t="s">
        <v>334</v>
      </c>
      <c r="RWB105" s="33" t="s">
        <v>334</v>
      </c>
      <c r="RWC105" s="33" t="s">
        <v>334</v>
      </c>
      <c r="RWD105" s="33" t="s">
        <v>334</v>
      </c>
      <c r="RWE105" s="33" t="s">
        <v>334</v>
      </c>
      <c r="RWF105" s="33" t="s">
        <v>334</v>
      </c>
      <c r="RWG105" s="33" t="s">
        <v>334</v>
      </c>
      <c r="RWH105" s="33" t="s">
        <v>334</v>
      </c>
      <c r="RWI105" s="33" t="s">
        <v>334</v>
      </c>
      <c r="RWJ105" s="33" t="s">
        <v>334</v>
      </c>
      <c r="RWK105" s="33" t="s">
        <v>334</v>
      </c>
      <c r="RWL105" s="33" t="s">
        <v>334</v>
      </c>
      <c r="RWM105" s="33" t="s">
        <v>334</v>
      </c>
      <c r="RWN105" s="33" t="s">
        <v>334</v>
      </c>
      <c r="RWO105" s="33" t="s">
        <v>334</v>
      </c>
      <c r="RWP105" s="33" t="s">
        <v>334</v>
      </c>
      <c r="RWQ105" s="33" t="s">
        <v>334</v>
      </c>
      <c r="RWR105" s="33" t="s">
        <v>334</v>
      </c>
      <c r="RWS105" s="33" t="s">
        <v>334</v>
      </c>
      <c r="RWT105" s="33" t="s">
        <v>334</v>
      </c>
      <c r="RWU105" s="33" t="s">
        <v>334</v>
      </c>
      <c r="RWV105" s="33" t="s">
        <v>334</v>
      </c>
      <c r="RWW105" s="33" t="s">
        <v>334</v>
      </c>
      <c r="RWX105" s="33" t="s">
        <v>334</v>
      </c>
      <c r="RWY105" s="33" t="s">
        <v>334</v>
      </c>
      <c r="RWZ105" s="33" t="s">
        <v>334</v>
      </c>
      <c r="RXA105" s="33" t="s">
        <v>334</v>
      </c>
      <c r="RXB105" s="33" t="s">
        <v>334</v>
      </c>
      <c r="RXC105" s="33" t="s">
        <v>334</v>
      </c>
      <c r="RXD105" s="33" t="s">
        <v>334</v>
      </c>
      <c r="RXE105" s="33" t="s">
        <v>334</v>
      </c>
      <c r="RXF105" s="33" t="s">
        <v>334</v>
      </c>
      <c r="RXG105" s="33" t="s">
        <v>334</v>
      </c>
      <c r="RXH105" s="33" t="s">
        <v>334</v>
      </c>
      <c r="RXI105" s="33" t="s">
        <v>334</v>
      </c>
      <c r="RXJ105" s="33" t="s">
        <v>334</v>
      </c>
      <c r="RXK105" s="33" t="s">
        <v>334</v>
      </c>
      <c r="RXL105" s="33" t="s">
        <v>334</v>
      </c>
      <c r="RXM105" s="33" t="s">
        <v>334</v>
      </c>
      <c r="RXN105" s="33" t="s">
        <v>334</v>
      </c>
      <c r="RXO105" s="33" t="s">
        <v>334</v>
      </c>
      <c r="RXP105" s="33" t="s">
        <v>334</v>
      </c>
      <c r="RXQ105" s="33" t="s">
        <v>334</v>
      </c>
      <c r="RXR105" s="33" t="s">
        <v>334</v>
      </c>
      <c r="RXS105" s="33" t="s">
        <v>334</v>
      </c>
      <c r="RXT105" s="33" t="s">
        <v>334</v>
      </c>
      <c r="RXU105" s="33" t="s">
        <v>334</v>
      </c>
      <c r="RXV105" s="33" t="s">
        <v>334</v>
      </c>
      <c r="RXW105" s="33" t="s">
        <v>334</v>
      </c>
      <c r="RXX105" s="33" t="s">
        <v>334</v>
      </c>
      <c r="RXY105" s="33" t="s">
        <v>334</v>
      </c>
      <c r="RXZ105" s="33" t="s">
        <v>334</v>
      </c>
      <c r="RYA105" s="33" t="s">
        <v>334</v>
      </c>
      <c r="RYB105" s="33" t="s">
        <v>334</v>
      </c>
      <c r="RYC105" s="33" t="s">
        <v>334</v>
      </c>
      <c r="RYD105" s="33" t="s">
        <v>334</v>
      </c>
      <c r="RYE105" s="33" t="s">
        <v>334</v>
      </c>
      <c r="RYF105" s="33" t="s">
        <v>334</v>
      </c>
      <c r="RYG105" s="33" t="s">
        <v>334</v>
      </c>
      <c r="RYH105" s="33" t="s">
        <v>334</v>
      </c>
      <c r="RYI105" s="33" t="s">
        <v>334</v>
      </c>
      <c r="RYJ105" s="33" t="s">
        <v>334</v>
      </c>
      <c r="RYK105" s="33" t="s">
        <v>334</v>
      </c>
      <c r="RYL105" s="33" t="s">
        <v>334</v>
      </c>
      <c r="RYM105" s="33" t="s">
        <v>334</v>
      </c>
      <c r="RYN105" s="33" t="s">
        <v>334</v>
      </c>
      <c r="RYO105" s="33" t="s">
        <v>334</v>
      </c>
      <c r="RYP105" s="33" t="s">
        <v>334</v>
      </c>
      <c r="RYQ105" s="33" t="s">
        <v>334</v>
      </c>
      <c r="RYR105" s="33" t="s">
        <v>334</v>
      </c>
      <c r="RYS105" s="33" t="s">
        <v>334</v>
      </c>
      <c r="RYT105" s="33" t="s">
        <v>334</v>
      </c>
      <c r="RYU105" s="33" t="s">
        <v>334</v>
      </c>
      <c r="RYV105" s="33" t="s">
        <v>334</v>
      </c>
      <c r="RYW105" s="33" t="s">
        <v>334</v>
      </c>
      <c r="RYX105" s="33" t="s">
        <v>334</v>
      </c>
      <c r="RYY105" s="33" t="s">
        <v>334</v>
      </c>
      <c r="RYZ105" s="33" t="s">
        <v>334</v>
      </c>
      <c r="RZA105" s="33" t="s">
        <v>334</v>
      </c>
      <c r="RZB105" s="33" t="s">
        <v>334</v>
      </c>
      <c r="RZC105" s="33" t="s">
        <v>334</v>
      </c>
      <c r="RZD105" s="33" t="s">
        <v>334</v>
      </c>
      <c r="RZE105" s="33" t="s">
        <v>334</v>
      </c>
      <c r="RZF105" s="33" t="s">
        <v>334</v>
      </c>
      <c r="RZG105" s="33" t="s">
        <v>334</v>
      </c>
      <c r="RZH105" s="33" t="s">
        <v>334</v>
      </c>
      <c r="RZI105" s="33" t="s">
        <v>334</v>
      </c>
      <c r="RZJ105" s="33" t="s">
        <v>334</v>
      </c>
      <c r="RZK105" s="33" t="s">
        <v>334</v>
      </c>
      <c r="RZL105" s="33" t="s">
        <v>334</v>
      </c>
      <c r="RZM105" s="33" t="s">
        <v>334</v>
      </c>
      <c r="RZN105" s="33" t="s">
        <v>334</v>
      </c>
      <c r="RZO105" s="33" t="s">
        <v>334</v>
      </c>
      <c r="RZP105" s="33" t="s">
        <v>334</v>
      </c>
      <c r="RZQ105" s="33" t="s">
        <v>334</v>
      </c>
      <c r="RZR105" s="33" t="s">
        <v>334</v>
      </c>
      <c r="RZS105" s="33" t="s">
        <v>334</v>
      </c>
      <c r="RZT105" s="33" t="s">
        <v>334</v>
      </c>
      <c r="RZU105" s="33" t="s">
        <v>334</v>
      </c>
      <c r="RZV105" s="33" t="s">
        <v>334</v>
      </c>
      <c r="RZW105" s="33" t="s">
        <v>334</v>
      </c>
      <c r="RZX105" s="33" t="s">
        <v>334</v>
      </c>
      <c r="RZY105" s="33" t="s">
        <v>334</v>
      </c>
      <c r="RZZ105" s="33" t="s">
        <v>334</v>
      </c>
      <c r="SAA105" s="33" t="s">
        <v>334</v>
      </c>
      <c r="SAB105" s="33" t="s">
        <v>334</v>
      </c>
      <c r="SAC105" s="33" t="s">
        <v>334</v>
      </c>
      <c r="SAD105" s="33" t="s">
        <v>334</v>
      </c>
      <c r="SAE105" s="33" t="s">
        <v>334</v>
      </c>
      <c r="SAF105" s="33" t="s">
        <v>334</v>
      </c>
      <c r="SAG105" s="33" t="s">
        <v>334</v>
      </c>
      <c r="SAH105" s="33" t="s">
        <v>334</v>
      </c>
      <c r="SAI105" s="33" t="s">
        <v>334</v>
      </c>
      <c r="SAJ105" s="33" t="s">
        <v>334</v>
      </c>
      <c r="SAK105" s="33" t="s">
        <v>334</v>
      </c>
      <c r="SAL105" s="33" t="s">
        <v>334</v>
      </c>
      <c r="SAM105" s="33" t="s">
        <v>334</v>
      </c>
      <c r="SAN105" s="33" t="s">
        <v>334</v>
      </c>
      <c r="SAO105" s="33" t="s">
        <v>334</v>
      </c>
      <c r="SAP105" s="33" t="s">
        <v>334</v>
      </c>
      <c r="SAQ105" s="33" t="s">
        <v>334</v>
      </c>
      <c r="SAR105" s="33" t="s">
        <v>334</v>
      </c>
      <c r="SAS105" s="33" t="s">
        <v>334</v>
      </c>
      <c r="SAT105" s="33" t="s">
        <v>334</v>
      </c>
      <c r="SAU105" s="33" t="s">
        <v>334</v>
      </c>
      <c r="SAV105" s="33" t="s">
        <v>334</v>
      </c>
      <c r="SAW105" s="33" t="s">
        <v>334</v>
      </c>
      <c r="SAX105" s="33" t="s">
        <v>334</v>
      </c>
      <c r="SAY105" s="33" t="s">
        <v>334</v>
      </c>
      <c r="SAZ105" s="33" t="s">
        <v>334</v>
      </c>
      <c r="SBA105" s="33" t="s">
        <v>334</v>
      </c>
      <c r="SBB105" s="33" t="s">
        <v>334</v>
      </c>
      <c r="SBC105" s="33" t="s">
        <v>334</v>
      </c>
      <c r="SBD105" s="33" t="s">
        <v>334</v>
      </c>
      <c r="SBE105" s="33" t="s">
        <v>334</v>
      </c>
      <c r="SBF105" s="33" t="s">
        <v>334</v>
      </c>
      <c r="SBG105" s="33" t="s">
        <v>334</v>
      </c>
      <c r="SBH105" s="33" t="s">
        <v>334</v>
      </c>
      <c r="SBI105" s="33" t="s">
        <v>334</v>
      </c>
      <c r="SBJ105" s="33" t="s">
        <v>334</v>
      </c>
      <c r="SBK105" s="33" t="s">
        <v>334</v>
      </c>
      <c r="SBL105" s="33" t="s">
        <v>334</v>
      </c>
      <c r="SBM105" s="33" t="s">
        <v>334</v>
      </c>
      <c r="SBN105" s="33" t="s">
        <v>334</v>
      </c>
      <c r="SBO105" s="33" t="s">
        <v>334</v>
      </c>
      <c r="SBP105" s="33" t="s">
        <v>334</v>
      </c>
      <c r="SBQ105" s="33" t="s">
        <v>334</v>
      </c>
      <c r="SBR105" s="33" t="s">
        <v>334</v>
      </c>
      <c r="SBS105" s="33" t="s">
        <v>334</v>
      </c>
      <c r="SBT105" s="33" t="s">
        <v>334</v>
      </c>
      <c r="SBU105" s="33" t="s">
        <v>334</v>
      </c>
      <c r="SBV105" s="33" t="s">
        <v>334</v>
      </c>
      <c r="SBW105" s="33" t="s">
        <v>334</v>
      </c>
      <c r="SBX105" s="33" t="s">
        <v>334</v>
      </c>
      <c r="SBY105" s="33" t="s">
        <v>334</v>
      </c>
      <c r="SBZ105" s="33" t="s">
        <v>334</v>
      </c>
      <c r="SCA105" s="33" t="s">
        <v>334</v>
      </c>
      <c r="SCB105" s="33" t="s">
        <v>334</v>
      </c>
      <c r="SCC105" s="33" t="s">
        <v>334</v>
      </c>
      <c r="SCD105" s="33" t="s">
        <v>334</v>
      </c>
      <c r="SCE105" s="33" t="s">
        <v>334</v>
      </c>
      <c r="SCF105" s="33" t="s">
        <v>334</v>
      </c>
      <c r="SCG105" s="33" t="s">
        <v>334</v>
      </c>
      <c r="SCH105" s="33" t="s">
        <v>334</v>
      </c>
      <c r="SCI105" s="33" t="s">
        <v>334</v>
      </c>
      <c r="SCJ105" s="33" t="s">
        <v>334</v>
      </c>
      <c r="SCK105" s="33" t="s">
        <v>334</v>
      </c>
      <c r="SCL105" s="33" t="s">
        <v>334</v>
      </c>
      <c r="SCM105" s="33" t="s">
        <v>334</v>
      </c>
      <c r="SCN105" s="33" t="s">
        <v>334</v>
      </c>
      <c r="SCO105" s="33" t="s">
        <v>334</v>
      </c>
      <c r="SCP105" s="33" t="s">
        <v>334</v>
      </c>
      <c r="SCQ105" s="33" t="s">
        <v>334</v>
      </c>
      <c r="SCR105" s="33" t="s">
        <v>334</v>
      </c>
      <c r="SCS105" s="33" t="s">
        <v>334</v>
      </c>
      <c r="SCT105" s="33" t="s">
        <v>334</v>
      </c>
      <c r="SCU105" s="33" t="s">
        <v>334</v>
      </c>
      <c r="SCV105" s="33" t="s">
        <v>334</v>
      </c>
      <c r="SCW105" s="33" t="s">
        <v>334</v>
      </c>
      <c r="SCX105" s="33" t="s">
        <v>334</v>
      </c>
      <c r="SCY105" s="33" t="s">
        <v>334</v>
      </c>
      <c r="SCZ105" s="33" t="s">
        <v>334</v>
      </c>
      <c r="SDA105" s="33" t="s">
        <v>334</v>
      </c>
      <c r="SDB105" s="33" t="s">
        <v>334</v>
      </c>
      <c r="SDC105" s="33" t="s">
        <v>334</v>
      </c>
      <c r="SDD105" s="33" t="s">
        <v>334</v>
      </c>
      <c r="SDE105" s="33" t="s">
        <v>334</v>
      </c>
      <c r="SDF105" s="33" t="s">
        <v>334</v>
      </c>
      <c r="SDG105" s="33" t="s">
        <v>334</v>
      </c>
      <c r="SDH105" s="33" t="s">
        <v>334</v>
      </c>
      <c r="SDI105" s="33" t="s">
        <v>334</v>
      </c>
      <c r="SDJ105" s="33" t="s">
        <v>334</v>
      </c>
      <c r="SDK105" s="33" t="s">
        <v>334</v>
      </c>
      <c r="SDL105" s="33" t="s">
        <v>334</v>
      </c>
      <c r="SDM105" s="33" t="s">
        <v>334</v>
      </c>
      <c r="SDN105" s="33" t="s">
        <v>334</v>
      </c>
      <c r="SDO105" s="33" t="s">
        <v>334</v>
      </c>
      <c r="SDP105" s="33" t="s">
        <v>334</v>
      </c>
      <c r="SDQ105" s="33" t="s">
        <v>334</v>
      </c>
      <c r="SDR105" s="33" t="s">
        <v>334</v>
      </c>
      <c r="SDS105" s="33" t="s">
        <v>334</v>
      </c>
      <c r="SDT105" s="33" t="s">
        <v>334</v>
      </c>
      <c r="SDU105" s="33" t="s">
        <v>334</v>
      </c>
      <c r="SDV105" s="33" t="s">
        <v>334</v>
      </c>
      <c r="SDW105" s="33" t="s">
        <v>334</v>
      </c>
      <c r="SDX105" s="33" t="s">
        <v>334</v>
      </c>
      <c r="SDY105" s="33" t="s">
        <v>334</v>
      </c>
      <c r="SDZ105" s="33" t="s">
        <v>334</v>
      </c>
      <c r="SEA105" s="33" t="s">
        <v>334</v>
      </c>
      <c r="SEB105" s="33" t="s">
        <v>334</v>
      </c>
      <c r="SEC105" s="33" t="s">
        <v>334</v>
      </c>
      <c r="SED105" s="33" t="s">
        <v>334</v>
      </c>
      <c r="SEE105" s="33" t="s">
        <v>334</v>
      </c>
      <c r="SEF105" s="33" t="s">
        <v>334</v>
      </c>
      <c r="SEG105" s="33" t="s">
        <v>334</v>
      </c>
      <c r="SEH105" s="33" t="s">
        <v>334</v>
      </c>
      <c r="SEI105" s="33" t="s">
        <v>334</v>
      </c>
      <c r="SEJ105" s="33" t="s">
        <v>334</v>
      </c>
      <c r="SEK105" s="33" t="s">
        <v>334</v>
      </c>
      <c r="SEL105" s="33" t="s">
        <v>334</v>
      </c>
      <c r="SEM105" s="33" t="s">
        <v>334</v>
      </c>
      <c r="SEN105" s="33" t="s">
        <v>334</v>
      </c>
      <c r="SEO105" s="33" t="s">
        <v>334</v>
      </c>
      <c r="SEP105" s="33" t="s">
        <v>334</v>
      </c>
      <c r="SEQ105" s="33" t="s">
        <v>334</v>
      </c>
      <c r="SER105" s="33" t="s">
        <v>334</v>
      </c>
      <c r="SES105" s="33" t="s">
        <v>334</v>
      </c>
      <c r="SET105" s="33" t="s">
        <v>334</v>
      </c>
      <c r="SEU105" s="33" t="s">
        <v>334</v>
      </c>
      <c r="SEV105" s="33" t="s">
        <v>334</v>
      </c>
      <c r="SEW105" s="33" t="s">
        <v>334</v>
      </c>
      <c r="SEX105" s="33" t="s">
        <v>334</v>
      </c>
      <c r="SEY105" s="33" t="s">
        <v>334</v>
      </c>
      <c r="SEZ105" s="33" t="s">
        <v>334</v>
      </c>
      <c r="SFA105" s="33" t="s">
        <v>334</v>
      </c>
      <c r="SFB105" s="33" t="s">
        <v>334</v>
      </c>
      <c r="SFC105" s="33" t="s">
        <v>334</v>
      </c>
      <c r="SFD105" s="33" t="s">
        <v>334</v>
      </c>
      <c r="SFE105" s="33" t="s">
        <v>334</v>
      </c>
      <c r="SFF105" s="33" t="s">
        <v>334</v>
      </c>
      <c r="SFG105" s="33" t="s">
        <v>334</v>
      </c>
      <c r="SFH105" s="33" t="s">
        <v>334</v>
      </c>
      <c r="SFI105" s="33" t="s">
        <v>334</v>
      </c>
      <c r="SFJ105" s="33" t="s">
        <v>334</v>
      </c>
      <c r="SFK105" s="33" t="s">
        <v>334</v>
      </c>
      <c r="SFL105" s="33" t="s">
        <v>334</v>
      </c>
      <c r="SFM105" s="33" t="s">
        <v>334</v>
      </c>
      <c r="SFN105" s="33" t="s">
        <v>334</v>
      </c>
      <c r="SFO105" s="33" t="s">
        <v>334</v>
      </c>
      <c r="SFP105" s="33" t="s">
        <v>334</v>
      </c>
      <c r="SFQ105" s="33" t="s">
        <v>334</v>
      </c>
      <c r="SFR105" s="33" t="s">
        <v>334</v>
      </c>
      <c r="SFS105" s="33" t="s">
        <v>334</v>
      </c>
      <c r="SFT105" s="33" t="s">
        <v>334</v>
      </c>
      <c r="SFU105" s="33" t="s">
        <v>334</v>
      </c>
      <c r="SFV105" s="33" t="s">
        <v>334</v>
      </c>
      <c r="SFW105" s="33" t="s">
        <v>334</v>
      </c>
      <c r="SFX105" s="33" t="s">
        <v>334</v>
      </c>
      <c r="SFY105" s="33" t="s">
        <v>334</v>
      </c>
      <c r="SFZ105" s="33" t="s">
        <v>334</v>
      </c>
      <c r="SGA105" s="33" t="s">
        <v>334</v>
      </c>
      <c r="SGB105" s="33" t="s">
        <v>334</v>
      </c>
      <c r="SGC105" s="33" t="s">
        <v>334</v>
      </c>
      <c r="SGD105" s="33" t="s">
        <v>334</v>
      </c>
      <c r="SGE105" s="33" t="s">
        <v>334</v>
      </c>
      <c r="SGF105" s="33" t="s">
        <v>334</v>
      </c>
      <c r="SGG105" s="33" t="s">
        <v>334</v>
      </c>
      <c r="SGH105" s="33" t="s">
        <v>334</v>
      </c>
      <c r="SGI105" s="33" t="s">
        <v>334</v>
      </c>
      <c r="SGJ105" s="33" t="s">
        <v>334</v>
      </c>
      <c r="SGK105" s="33" t="s">
        <v>334</v>
      </c>
      <c r="SGL105" s="33" t="s">
        <v>334</v>
      </c>
      <c r="SGM105" s="33" t="s">
        <v>334</v>
      </c>
      <c r="SGN105" s="33" t="s">
        <v>334</v>
      </c>
      <c r="SGO105" s="33" t="s">
        <v>334</v>
      </c>
      <c r="SGP105" s="33" t="s">
        <v>334</v>
      </c>
      <c r="SGQ105" s="33" t="s">
        <v>334</v>
      </c>
      <c r="SGR105" s="33" t="s">
        <v>334</v>
      </c>
      <c r="SGS105" s="33" t="s">
        <v>334</v>
      </c>
      <c r="SGT105" s="33" t="s">
        <v>334</v>
      </c>
      <c r="SGU105" s="33" t="s">
        <v>334</v>
      </c>
      <c r="SGV105" s="33" t="s">
        <v>334</v>
      </c>
      <c r="SGW105" s="33" t="s">
        <v>334</v>
      </c>
      <c r="SGX105" s="33" t="s">
        <v>334</v>
      </c>
      <c r="SGY105" s="33" t="s">
        <v>334</v>
      </c>
      <c r="SGZ105" s="33" t="s">
        <v>334</v>
      </c>
      <c r="SHA105" s="33" t="s">
        <v>334</v>
      </c>
      <c r="SHB105" s="33" t="s">
        <v>334</v>
      </c>
      <c r="SHC105" s="33" t="s">
        <v>334</v>
      </c>
      <c r="SHD105" s="33" t="s">
        <v>334</v>
      </c>
      <c r="SHE105" s="33" t="s">
        <v>334</v>
      </c>
      <c r="SHF105" s="33" t="s">
        <v>334</v>
      </c>
      <c r="SHG105" s="33" t="s">
        <v>334</v>
      </c>
      <c r="SHH105" s="33" t="s">
        <v>334</v>
      </c>
      <c r="SHI105" s="33" t="s">
        <v>334</v>
      </c>
      <c r="SHJ105" s="33" t="s">
        <v>334</v>
      </c>
      <c r="SHK105" s="33" t="s">
        <v>334</v>
      </c>
      <c r="SHL105" s="33" t="s">
        <v>334</v>
      </c>
      <c r="SHM105" s="33" t="s">
        <v>334</v>
      </c>
      <c r="SHN105" s="33" t="s">
        <v>334</v>
      </c>
      <c r="SHO105" s="33" t="s">
        <v>334</v>
      </c>
      <c r="SHP105" s="33" t="s">
        <v>334</v>
      </c>
      <c r="SHQ105" s="33" t="s">
        <v>334</v>
      </c>
      <c r="SHR105" s="33" t="s">
        <v>334</v>
      </c>
      <c r="SHS105" s="33" t="s">
        <v>334</v>
      </c>
      <c r="SHT105" s="33" t="s">
        <v>334</v>
      </c>
      <c r="SHU105" s="33" t="s">
        <v>334</v>
      </c>
      <c r="SHV105" s="33" t="s">
        <v>334</v>
      </c>
      <c r="SHW105" s="33" t="s">
        <v>334</v>
      </c>
      <c r="SHX105" s="33" t="s">
        <v>334</v>
      </c>
      <c r="SHY105" s="33" t="s">
        <v>334</v>
      </c>
      <c r="SHZ105" s="33" t="s">
        <v>334</v>
      </c>
      <c r="SIA105" s="33" t="s">
        <v>334</v>
      </c>
      <c r="SIB105" s="33" t="s">
        <v>334</v>
      </c>
      <c r="SIC105" s="33" t="s">
        <v>334</v>
      </c>
      <c r="SID105" s="33" t="s">
        <v>334</v>
      </c>
      <c r="SIE105" s="33" t="s">
        <v>334</v>
      </c>
      <c r="SIF105" s="33" t="s">
        <v>334</v>
      </c>
      <c r="SIG105" s="33" t="s">
        <v>334</v>
      </c>
      <c r="SIH105" s="33" t="s">
        <v>334</v>
      </c>
      <c r="SII105" s="33" t="s">
        <v>334</v>
      </c>
      <c r="SIJ105" s="33" t="s">
        <v>334</v>
      </c>
      <c r="SIK105" s="33" t="s">
        <v>334</v>
      </c>
      <c r="SIL105" s="33" t="s">
        <v>334</v>
      </c>
      <c r="SIM105" s="33" t="s">
        <v>334</v>
      </c>
      <c r="SIN105" s="33" t="s">
        <v>334</v>
      </c>
      <c r="SIO105" s="33" t="s">
        <v>334</v>
      </c>
      <c r="SIP105" s="33" t="s">
        <v>334</v>
      </c>
      <c r="SIQ105" s="33" t="s">
        <v>334</v>
      </c>
      <c r="SIR105" s="33" t="s">
        <v>334</v>
      </c>
      <c r="SIS105" s="33" t="s">
        <v>334</v>
      </c>
      <c r="SIT105" s="33" t="s">
        <v>334</v>
      </c>
      <c r="SIU105" s="33" t="s">
        <v>334</v>
      </c>
      <c r="SIV105" s="33" t="s">
        <v>334</v>
      </c>
      <c r="SIW105" s="33" t="s">
        <v>334</v>
      </c>
      <c r="SIX105" s="33" t="s">
        <v>334</v>
      </c>
      <c r="SIY105" s="33" t="s">
        <v>334</v>
      </c>
      <c r="SIZ105" s="33" t="s">
        <v>334</v>
      </c>
      <c r="SJA105" s="33" t="s">
        <v>334</v>
      </c>
      <c r="SJB105" s="33" t="s">
        <v>334</v>
      </c>
      <c r="SJC105" s="33" t="s">
        <v>334</v>
      </c>
      <c r="SJD105" s="33" t="s">
        <v>334</v>
      </c>
      <c r="SJE105" s="33" t="s">
        <v>334</v>
      </c>
      <c r="SJF105" s="33" t="s">
        <v>334</v>
      </c>
      <c r="SJG105" s="33" t="s">
        <v>334</v>
      </c>
      <c r="SJH105" s="33" t="s">
        <v>334</v>
      </c>
      <c r="SJI105" s="33" t="s">
        <v>334</v>
      </c>
      <c r="SJJ105" s="33" t="s">
        <v>334</v>
      </c>
      <c r="SJK105" s="33" t="s">
        <v>334</v>
      </c>
      <c r="SJL105" s="33" t="s">
        <v>334</v>
      </c>
      <c r="SJM105" s="33" t="s">
        <v>334</v>
      </c>
      <c r="SJN105" s="33" t="s">
        <v>334</v>
      </c>
      <c r="SJO105" s="33" t="s">
        <v>334</v>
      </c>
      <c r="SJP105" s="33" t="s">
        <v>334</v>
      </c>
      <c r="SJQ105" s="33" t="s">
        <v>334</v>
      </c>
      <c r="SJR105" s="33" t="s">
        <v>334</v>
      </c>
      <c r="SJS105" s="33" t="s">
        <v>334</v>
      </c>
      <c r="SJT105" s="33" t="s">
        <v>334</v>
      </c>
      <c r="SJU105" s="33" t="s">
        <v>334</v>
      </c>
      <c r="SJV105" s="33" t="s">
        <v>334</v>
      </c>
      <c r="SJW105" s="33" t="s">
        <v>334</v>
      </c>
      <c r="SJX105" s="33" t="s">
        <v>334</v>
      </c>
      <c r="SJY105" s="33" t="s">
        <v>334</v>
      </c>
      <c r="SJZ105" s="33" t="s">
        <v>334</v>
      </c>
      <c r="SKA105" s="33" t="s">
        <v>334</v>
      </c>
      <c r="SKB105" s="33" t="s">
        <v>334</v>
      </c>
      <c r="SKC105" s="33" t="s">
        <v>334</v>
      </c>
      <c r="SKD105" s="33" t="s">
        <v>334</v>
      </c>
      <c r="SKE105" s="33" t="s">
        <v>334</v>
      </c>
      <c r="SKF105" s="33" t="s">
        <v>334</v>
      </c>
      <c r="SKG105" s="33" t="s">
        <v>334</v>
      </c>
      <c r="SKH105" s="33" t="s">
        <v>334</v>
      </c>
      <c r="SKI105" s="33" t="s">
        <v>334</v>
      </c>
      <c r="SKJ105" s="33" t="s">
        <v>334</v>
      </c>
      <c r="SKK105" s="33" t="s">
        <v>334</v>
      </c>
      <c r="SKL105" s="33" t="s">
        <v>334</v>
      </c>
      <c r="SKM105" s="33" t="s">
        <v>334</v>
      </c>
      <c r="SKN105" s="33" t="s">
        <v>334</v>
      </c>
      <c r="SKO105" s="33" t="s">
        <v>334</v>
      </c>
      <c r="SKP105" s="33" t="s">
        <v>334</v>
      </c>
      <c r="SKQ105" s="33" t="s">
        <v>334</v>
      </c>
      <c r="SKR105" s="33" t="s">
        <v>334</v>
      </c>
      <c r="SKS105" s="33" t="s">
        <v>334</v>
      </c>
      <c r="SKT105" s="33" t="s">
        <v>334</v>
      </c>
      <c r="SKU105" s="33" t="s">
        <v>334</v>
      </c>
      <c r="SKV105" s="33" t="s">
        <v>334</v>
      </c>
      <c r="SKW105" s="33" t="s">
        <v>334</v>
      </c>
      <c r="SKX105" s="33" t="s">
        <v>334</v>
      </c>
      <c r="SKY105" s="33" t="s">
        <v>334</v>
      </c>
      <c r="SKZ105" s="33" t="s">
        <v>334</v>
      </c>
      <c r="SLA105" s="33" t="s">
        <v>334</v>
      </c>
      <c r="SLB105" s="33" t="s">
        <v>334</v>
      </c>
      <c r="SLC105" s="33" t="s">
        <v>334</v>
      </c>
      <c r="SLD105" s="33" t="s">
        <v>334</v>
      </c>
      <c r="SLE105" s="33" t="s">
        <v>334</v>
      </c>
      <c r="SLF105" s="33" t="s">
        <v>334</v>
      </c>
      <c r="SLG105" s="33" t="s">
        <v>334</v>
      </c>
      <c r="SLH105" s="33" t="s">
        <v>334</v>
      </c>
      <c r="SLI105" s="33" t="s">
        <v>334</v>
      </c>
      <c r="SLJ105" s="33" t="s">
        <v>334</v>
      </c>
      <c r="SLK105" s="33" t="s">
        <v>334</v>
      </c>
      <c r="SLL105" s="33" t="s">
        <v>334</v>
      </c>
      <c r="SLM105" s="33" t="s">
        <v>334</v>
      </c>
      <c r="SLN105" s="33" t="s">
        <v>334</v>
      </c>
      <c r="SLO105" s="33" t="s">
        <v>334</v>
      </c>
      <c r="SLP105" s="33" t="s">
        <v>334</v>
      </c>
      <c r="SLQ105" s="33" t="s">
        <v>334</v>
      </c>
      <c r="SLR105" s="33" t="s">
        <v>334</v>
      </c>
      <c r="SLS105" s="33" t="s">
        <v>334</v>
      </c>
      <c r="SLT105" s="33" t="s">
        <v>334</v>
      </c>
      <c r="SLU105" s="33" t="s">
        <v>334</v>
      </c>
      <c r="SLV105" s="33" t="s">
        <v>334</v>
      </c>
      <c r="SLW105" s="33" t="s">
        <v>334</v>
      </c>
      <c r="SLX105" s="33" t="s">
        <v>334</v>
      </c>
      <c r="SLY105" s="33" t="s">
        <v>334</v>
      </c>
      <c r="SLZ105" s="33" t="s">
        <v>334</v>
      </c>
      <c r="SMA105" s="33" t="s">
        <v>334</v>
      </c>
      <c r="SMB105" s="33" t="s">
        <v>334</v>
      </c>
      <c r="SMC105" s="33" t="s">
        <v>334</v>
      </c>
      <c r="SMD105" s="33" t="s">
        <v>334</v>
      </c>
      <c r="SME105" s="33" t="s">
        <v>334</v>
      </c>
      <c r="SMF105" s="33" t="s">
        <v>334</v>
      </c>
      <c r="SMG105" s="33" t="s">
        <v>334</v>
      </c>
      <c r="SMH105" s="33" t="s">
        <v>334</v>
      </c>
      <c r="SMI105" s="33" t="s">
        <v>334</v>
      </c>
      <c r="SMJ105" s="33" t="s">
        <v>334</v>
      </c>
      <c r="SMK105" s="33" t="s">
        <v>334</v>
      </c>
      <c r="SML105" s="33" t="s">
        <v>334</v>
      </c>
      <c r="SMM105" s="33" t="s">
        <v>334</v>
      </c>
      <c r="SMN105" s="33" t="s">
        <v>334</v>
      </c>
      <c r="SMO105" s="33" t="s">
        <v>334</v>
      </c>
      <c r="SMP105" s="33" t="s">
        <v>334</v>
      </c>
      <c r="SMQ105" s="33" t="s">
        <v>334</v>
      </c>
      <c r="SMR105" s="33" t="s">
        <v>334</v>
      </c>
      <c r="SMS105" s="33" t="s">
        <v>334</v>
      </c>
      <c r="SMT105" s="33" t="s">
        <v>334</v>
      </c>
      <c r="SMU105" s="33" t="s">
        <v>334</v>
      </c>
      <c r="SMV105" s="33" t="s">
        <v>334</v>
      </c>
      <c r="SMW105" s="33" t="s">
        <v>334</v>
      </c>
      <c r="SMX105" s="33" t="s">
        <v>334</v>
      </c>
      <c r="SMY105" s="33" t="s">
        <v>334</v>
      </c>
      <c r="SMZ105" s="33" t="s">
        <v>334</v>
      </c>
      <c r="SNA105" s="33" t="s">
        <v>334</v>
      </c>
      <c r="SNB105" s="33" t="s">
        <v>334</v>
      </c>
      <c r="SNC105" s="33" t="s">
        <v>334</v>
      </c>
      <c r="SND105" s="33" t="s">
        <v>334</v>
      </c>
      <c r="SNE105" s="33" t="s">
        <v>334</v>
      </c>
      <c r="SNF105" s="33" t="s">
        <v>334</v>
      </c>
      <c r="SNG105" s="33" t="s">
        <v>334</v>
      </c>
      <c r="SNH105" s="33" t="s">
        <v>334</v>
      </c>
      <c r="SNI105" s="33" t="s">
        <v>334</v>
      </c>
      <c r="SNJ105" s="33" t="s">
        <v>334</v>
      </c>
      <c r="SNK105" s="33" t="s">
        <v>334</v>
      </c>
      <c r="SNL105" s="33" t="s">
        <v>334</v>
      </c>
      <c r="SNM105" s="33" t="s">
        <v>334</v>
      </c>
      <c r="SNN105" s="33" t="s">
        <v>334</v>
      </c>
      <c r="SNO105" s="33" t="s">
        <v>334</v>
      </c>
      <c r="SNP105" s="33" t="s">
        <v>334</v>
      </c>
      <c r="SNQ105" s="33" t="s">
        <v>334</v>
      </c>
      <c r="SNR105" s="33" t="s">
        <v>334</v>
      </c>
      <c r="SNS105" s="33" t="s">
        <v>334</v>
      </c>
      <c r="SNT105" s="33" t="s">
        <v>334</v>
      </c>
      <c r="SNU105" s="33" t="s">
        <v>334</v>
      </c>
      <c r="SNV105" s="33" t="s">
        <v>334</v>
      </c>
      <c r="SNW105" s="33" t="s">
        <v>334</v>
      </c>
      <c r="SNX105" s="33" t="s">
        <v>334</v>
      </c>
      <c r="SNY105" s="33" t="s">
        <v>334</v>
      </c>
      <c r="SNZ105" s="33" t="s">
        <v>334</v>
      </c>
      <c r="SOA105" s="33" t="s">
        <v>334</v>
      </c>
      <c r="SOB105" s="33" t="s">
        <v>334</v>
      </c>
      <c r="SOC105" s="33" t="s">
        <v>334</v>
      </c>
      <c r="SOD105" s="33" t="s">
        <v>334</v>
      </c>
      <c r="SOE105" s="33" t="s">
        <v>334</v>
      </c>
      <c r="SOF105" s="33" t="s">
        <v>334</v>
      </c>
      <c r="SOG105" s="33" t="s">
        <v>334</v>
      </c>
      <c r="SOH105" s="33" t="s">
        <v>334</v>
      </c>
      <c r="SOI105" s="33" t="s">
        <v>334</v>
      </c>
      <c r="SOJ105" s="33" t="s">
        <v>334</v>
      </c>
      <c r="SOK105" s="33" t="s">
        <v>334</v>
      </c>
      <c r="SOL105" s="33" t="s">
        <v>334</v>
      </c>
      <c r="SOM105" s="33" t="s">
        <v>334</v>
      </c>
      <c r="SON105" s="33" t="s">
        <v>334</v>
      </c>
      <c r="SOO105" s="33" t="s">
        <v>334</v>
      </c>
      <c r="SOP105" s="33" t="s">
        <v>334</v>
      </c>
      <c r="SOQ105" s="33" t="s">
        <v>334</v>
      </c>
      <c r="SOR105" s="33" t="s">
        <v>334</v>
      </c>
      <c r="SOS105" s="33" t="s">
        <v>334</v>
      </c>
      <c r="SOT105" s="33" t="s">
        <v>334</v>
      </c>
      <c r="SOU105" s="33" t="s">
        <v>334</v>
      </c>
      <c r="SOV105" s="33" t="s">
        <v>334</v>
      </c>
      <c r="SOW105" s="33" t="s">
        <v>334</v>
      </c>
      <c r="SOX105" s="33" t="s">
        <v>334</v>
      </c>
      <c r="SOY105" s="33" t="s">
        <v>334</v>
      </c>
      <c r="SOZ105" s="33" t="s">
        <v>334</v>
      </c>
      <c r="SPA105" s="33" t="s">
        <v>334</v>
      </c>
      <c r="SPB105" s="33" t="s">
        <v>334</v>
      </c>
      <c r="SPC105" s="33" t="s">
        <v>334</v>
      </c>
      <c r="SPD105" s="33" t="s">
        <v>334</v>
      </c>
      <c r="SPE105" s="33" t="s">
        <v>334</v>
      </c>
      <c r="SPF105" s="33" t="s">
        <v>334</v>
      </c>
      <c r="SPG105" s="33" t="s">
        <v>334</v>
      </c>
      <c r="SPH105" s="33" t="s">
        <v>334</v>
      </c>
      <c r="SPI105" s="33" t="s">
        <v>334</v>
      </c>
      <c r="SPJ105" s="33" t="s">
        <v>334</v>
      </c>
      <c r="SPK105" s="33" t="s">
        <v>334</v>
      </c>
      <c r="SPL105" s="33" t="s">
        <v>334</v>
      </c>
      <c r="SPM105" s="33" t="s">
        <v>334</v>
      </c>
      <c r="SPN105" s="33" t="s">
        <v>334</v>
      </c>
      <c r="SPO105" s="33" t="s">
        <v>334</v>
      </c>
      <c r="SPP105" s="33" t="s">
        <v>334</v>
      </c>
      <c r="SPQ105" s="33" t="s">
        <v>334</v>
      </c>
      <c r="SPR105" s="33" t="s">
        <v>334</v>
      </c>
      <c r="SPS105" s="33" t="s">
        <v>334</v>
      </c>
      <c r="SPT105" s="33" t="s">
        <v>334</v>
      </c>
      <c r="SPU105" s="33" t="s">
        <v>334</v>
      </c>
      <c r="SPV105" s="33" t="s">
        <v>334</v>
      </c>
      <c r="SPW105" s="33" t="s">
        <v>334</v>
      </c>
      <c r="SPX105" s="33" t="s">
        <v>334</v>
      </c>
      <c r="SPY105" s="33" t="s">
        <v>334</v>
      </c>
      <c r="SPZ105" s="33" t="s">
        <v>334</v>
      </c>
      <c r="SQA105" s="33" t="s">
        <v>334</v>
      </c>
      <c r="SQB105" s="33" t="s">
        <v>334</v>
      </c>
      <c r="SQC105" s="33" t="s">
        <v>334</v>
      </c>
      <c r="SQD105" s="33" t="s">
        <v>334</v>
      </c>
      <c r="SQE105" s="33" t="s">
        <v>334</v>
      </c>
      <c r="SQF105" s="33" t="s">
        <v>334</v>
      </c>
      <c r="SQG105" s="33" t="s">
        <v>334</v>
      </c>
      <c r="SQH105" s="33" t="s">
        <v>334</v>
      </c>
      <c r="SQI105" s="33" t="s">
        <v>334</v>
      </c>
      <c r="SQJ105" s="33" t="s">
        <v>334</v>
      </c>
      <c r="SQK105" s="33" t="s">
        <v>334</v>
      </c>
      <c r="SQL105" s="33" t="s">
        <v>334</v>
      </c>
      <c r="SQM105" s="33" t="s">
        <v>334</v>
      </c>
      <c r="SQN105" s="33" t="s">
        <v>334</v>
      </c>
      <c r="SQO105" s="33" t="s">
        <v>334</v>
      </c>
      <c r="SQP105" s="33" t="s">
        <v>334</v>
      </c>
      <c r="SQQ105" s="33" t="s">
        <v>334</v>
      </c>
      <c r="SQR105" s="33" t="s">
        <v>334</v>
      </c>
      <c r="SQS105" s="33" t="s">
        <v>334</v>
      </c>
      <c r="SQT105" s="33" t="s">
        <v>334</v>
      </c>
      <c r="SQU105" s="33" t="s">
        <v>334</v>
      </c>
      <c r="SQV105" s="33" t="s">
        <v>334</v>
      </c>
      <c r="SQW105" s="33" t="s">
        <v>334</v>
      </c>
      <c r="SQX105" s="33" t="s">
        <v>334</v>
      </c>
      <c r="SQY105" s="33" t="s">
        <v>334</v>
      </c>
      <c r="SQZ105" s="33" t="s">
        <v>334</v>
      </c>
      <c r="SRA105" s="33" t="s">
        <v>334</v>
      </c>
      <c r="SRB105" s="33" t="s">
        <v>334</v>
      </c>
      <c r="SRC105" s="33" t="s">
        <v>334</v>
      </c>
      <c r="SRD105" s="33" t="s">
        <v>334</v>
      </c>
      <c r="SRE105" s="33" t="s">
        <v>334</v>
      </c>
      <c r="SRF105" s="33" t="s">
        <v>334</v>
      </c>
      <c r="SRG105" s="33" t="s">
        <v>334</v>
      </c>
      <c r="SRH105" s="33" t="s">
        <v>334</v>
      </c>
      <c r="SRI105" s="33" t="s">
        <v>334</v>
      </c>
      <c r="SRJ105" s="33" t="s">
        <v>334</v>
      </c>
      <c r="SRK105" s="33" t="s">
        <v>334</v>
      </c>
      <c r="SRL105" s="33" t="s">
        <v>334</v>
      </c>
      <c r="SRM105" s="33" t="s">
        <v>334</v>
      </c>
      <c r="SRN105" s="33" t="s">
        <v>334</v>
      </c>
      <c r="SRO105" s="33" t="s">
        <v>334</v>
      </c>
      <c r="SRP105" s="33" t="s">
        <v>334</v>
      </c>
      <c r="SRQ105" s="33" t="s">
        <v>334</v>
      </c>
      <c r="SRR105" s="33" t="s">
        <v>334</v>
      </c>
      <c r="SRS105" s="33" t="s">
        <v>334</v>
      </c>
      <c r="SRT105" s="33" t="s">
        <v>334</v>
      </c>
      <c r="SRU105" s="33" t="s">
        <v>334</v>
      </c>
      <c r="SRV105" s="33" t="s">
        <v>334</v>
      </c>
      <c r="SRW105" s="33" t="s">
        <v>334</v>
      </c>
      <c r="SRX105" s="33" t="s">
        <v>334</v>
      </c>
      <c r="SRY105" s="33" t="s">
        <v>334</v>
      </c>
      <c r="SRZ105" s="33" t="s">
        <v>334</v>
      </c>
      <c r="SSA105" s="33" t="s">
        <v>334</v>
      </c>
      <c r="SSB105" s="33" t="s">
        <v>334</v>
      </c>
      <c r="SSC105" s="33" t="s">
        <v>334</v>
      </c>
      <c r="SSD105" s="33" t="s">
        <v>334</v>
      </c>
      <c r="SSE105" s="33" t="s">
        <v>334</v>
      </c>
      <c r="SSF105" s="33" t="s">
        <v>334</v>
      </c>
      <c r="SSG105" s="33" t="s">
        <v>334</v>
      </c>
      <c r="SSH105" s="33" t="s">
        <v>334</v>
      </c>
      <c r="SSI105" s="33" t="s">
        <v>334</v>
      </c>
      <c r="SSJ105" s="33" t="s">
        <v>334</v>
      </c>
      <c r="SSK105" s="33" t="s">
        <v>334</v>
      </c>
      <c r="SSL105" s="33" t="s">
        <v>334</v>
      </c>
      <c r="SSM105" s="33" t="s">
        <v>334</v>
      </c>
      <c r="SSN105" s="33" t="s">
        <v>334</v>
      </c>
      <c r="SSO105" s="33" t="s">
        <v>334</v>
      </c>
      <c r="SSP105" s="33" t="s">
        <v>334</v>
      </c>
      <c r="SSQ105" s="33" t="s">
        <v>334</v>
      </c>
      <c r="SSR105" s="33" t="s">
        <v>334</v>
      </c>
      <c r="SSS105" s="33" t="s">
        <v>334</v>
      </c>
      <c r="SST105" s="33" t="s">
        <v>334</v>
      </c>
      <c r="SSU105" s="33" t="s">
        <v>334</v>
      </c>
      <c r="SSV105" s="33" t="s">
        <v>334</v>
      </c>
      <c r="SSW105" s="33" t="s">
        <v>334</v>
      </c>
      <c r="SSX105" s="33" t="s">
        <v>334</v>
      </c>
      <c r="SSY105" s="33" t="s">
        <v>334</v>
      </c>
      <c r="SSZ105" s="33" t="s">
        <v>334</v>
      </c>
      <c r="STA105" s="33" t="s">
        <v>334</v>
      </c>
      <c r="STB105" s="33" t="s">
        <v>334</v>
      </c>
      <c r="STC105" s="33" t="s">
        <v>334</v>
      </c>
      <c r="STD105" s="33" t="s">
        <v>334</v>
      </c>
      <c r="STE105" s="33" t="s">
        <v>334</v>
      </c>
      <c r="STF105" s="33" t="s">
        <v>334</v>
      </c>
      <c r="STG105" s="33" t="s">
        <v>334</v>
      </c>
      <c r="STH105" s="33" t="s">
        <v>334</v>
      </c>
      <c r="STI105" s="33" t="s">
        <v>334</v>
      </c>
      <c r="STJ105" s="33" t="s">
        <v>334</v>
      </c>
      <c r="STK105" s="33" t="s">
        <v>334</v>
      </c>
      <c r="STL105" s="33" t="s">
        <v>334</v>
      </c>
      <c r="STM105" s="33" t="s">
        <v>334</v>
      </c>
      <c r="STN105" s="33" t="s">
        <v>334</v>
      </c>
      <c r="STO105" s="33" t="s">
        <v>334</v>
      </c>
      <c r="STP105" s="33" t="s">
        <v>334</v>
      </c>
      <c r="STQ105" s="33" t="s">
        <v>334</v>
      </c>
      <c r="STR105" s="33" t="s">
        <v>334</v>
      </c>
      <c r="STS105" s="33" t="s">
        <v>334</v>
      </c>
      <c r="STT105" s="33" t="s">
        <v>334</v>
      </c>
      <c r="STU105" s="33" t="s">
        <v>334</v>
      </c>
      <c r="STV105" s="33" t="s">
        <v>334</v>
      </c>
      <c r="STW105" s="33" t="s">
        <v>334</v>
      </c>
      <c r="STX105" s="33" t="s">
        <v>334</v>
      </c>
      <c r="STY105" s="33" t="s">
        <v>334</v>
      </c>
      <c r="STZ105" s="33" t="s">
        <v>334</v>
      </c>
      <c r="SUA105" s="33" t="s">
        <v>334</v>
      </c>
      <c r="SUB105" s="33" t="s">
        <v>334</v>
      </c>
      <c r="SUC105" s="33" t="s">
        <v>334</v>
      </c>
      <c r="SUD105" s="33" t="s">
        <v>334</v>
      </c>
      <c r="SUE105" s="33" t="s">
        <v>334</v>
      </c>
      <c r="SUF105" s="33" t="s">
        <v>334</v>
      </c>
      <c r="SUG105" s="33" t="s">
        <v>334</v>
      </c>
      <c r="SUH105" s="33" t="s">
        <v>334</v>
      </c>
      <c r="SUI105" s="33" t="s">
        <v>334</v>
      </c>
      <c r="SUJ105" s="33" t="s">
        <v>334</v>
      </c>
      <c r="SUK105" s="33" t="s">
        <v>334</v>
      </c>
      <c r="SUL105" s="33" t="s">
        <v>334</v>
      </c>
      <c r="SUM105" s="33" t="s">
        <v>334</v>
      </c>
      <c r="SUN105" s="33" t="s">
        <v>334</v>
      </c>
      <c r="SUO105" s="33" t="s">
        <v>334</v>
      </c>
      <c r="SUP105" s="33" t="s">
        <v>334</v>
      </c>
      <c r="SUQ105" s="33" t="s">
        <v>334</v>
      </c>
      <c r="SUR105" s="33" t="s">
        <v>334</v>
      </c>
      <c r="SUS105" s="33" t="s">
        <v>334</v>
      </c>
      <c r="SUT105" s="33" t="s">
        <v>334</v>
      </c>
      <c r="SUU105" s="33" t="s">
        <v>334</v>
      </c>
      <c r="SUV105" s="33" t="s">
        <v>334</v>
      </c>
      <c r="SUW105" s="33" t="s">
        <v>334</v>
      </c>
      <c r="SUX105" s="33" t="s">
        <v>334</v>
      </c>
      <c r="SUY105" s="33" t="s">
        <v>334</v>
      </c>
      <c r="SUZ105" s="33" t="s">
        <v>334</v>
      </c>
      <c r="SVA105" s="33" t="s">
        <v>334</v>
      </c>
      <c r="SVB105" s="33" t="s">
        <v>334</v>
      </c>
      <c r="SVC105" s="33" t="s">
        <v>334</v>
      </c>
      <c r="SVD105" s="33" t="s">
        <v>334</v>
      </c>
      <c r="SVE105" s="33" t="s">
        <v>334</v>
      </c>
      <c r="SVF105" s="33" t="s">
        <v>334</v>
      </c>
      <c r="SVG105" s="33" t="s">
        <v>334</v>
      </c>
      <c r="SVH105" s="33" t="s">
        <v>334</v>
      </c>
      <c r="SVI105" s="33" t="s">
        <v>334</v>
      </c>
      <c r="SVJ105" s="33" t="s">
        <v>334</v>
      </c>
      <c r="SVK105" s="33" t="s">
        <v>334</v>
      </c>
      <c r="SVL105" s="33" t="s">
        <v>334</v>
      </c>
      <c r="SVM105" s="33" t="s">
        <v>334</v>
      </c>
      <c r="SVN105" s="33" t="s">
        <v>334</v>
      </c>
      <c r="SVO105" s="33" t="s">
        <v>334</v>
      </c>
      <c r="SVP105" s="33" t="s">
        <v>334</v>
      </c>
      <c r="SVQ105" s="33" t="s">
        <v>334</v>
      </c>
      <c r="SVR105" s="33" t="s">
        <v>334</v>
      </c>
      <c r="SVS105" s="33" t="s">
        <v>334</v>
      </c>
      <c r="SVT105" s="33" t="s">
        <v>334</v>
      </c>
      <c r="SVU105" s="33" t="s">
        <v>334</v>
      </c>
      <c r="SVV105" s="33" t="s">
        <v>334</v>
      </c>
      <c r="SVW105" s="33" t="s">
        <v>334</v>
      </c>
      <c r="SVX105" s="33" t="s">
        <v>334</v>
      </c>
      <c r="SVY105" s="33" t="s">
        <v>334</v>
      </c>
      <c r="SVZ105" s="33" t="s">
        <v>334</v>
      </c>
      <c r="SWA105" s="33" t="s">
        <v>334</v>
      </c>
      <c r="SWB105" s="33" t="s">
        <v>334</v>
      </c>
      <c r="SWC105" s="33" t="s">
        <v>334</v>
      </c>
      <c r="SWD105" s="33" t="s">
        <v>334</v>
      </c>
      <c r="SWE105" s="33" t="s">
        <v>334</v>
      </c>
      <c r="SWF105" s="33" t="s">
        <v>334</v>
      </c>
      <c r="SWG105" s="33" t="s">
        <v>334</v>
      </c>
      <c r="SWH105" s="33" t="s">
        <v>334</v>
      </c>
      <c r="SWI105" s="33" t="s">
        <v>334</v>
      </c>
      <c r="SWJ105" s="33" t="s">
        <v>334</v>
      </c>
      <c r="SWK105" s="33" t="s">
        <v>334</v>
      </c>
      <c r="SWL105" s="33" t="s">
        <v>334</v>
      </c>
      <c r="SWM105" s="33" t="s">
        <v>334</v>
      </c>
      <c r="SWN105" s="33" t="s">
        <v>334</v>
      </c>
      <c r="SWO105" s="33" t="s">
        <v>334</v>
      </c>
      <c r="SWP105" s="33" t="s">
        <v>334</v>
      </c>
      <c r="SWQ105" s="33" t="s">
        <v>334</v>
      </c>
      <c r="SWR105" s="33" t="s">
        <v>334</v>
      </c>
      <c r="SWS105" s="33" t="s">
        <v>334</v>
      </c>
      <c r="SWT105" s="33" t="s">
        <v>334</v>
      </c>
      <c r="SWU105" s="33" t="s">
        <v>334</v>
      </c>
      <c r="SWV105" s="33" t="s">
        <v>334</v>
      </c>
      <c r="SWW105" s="33" t="s">
        <v>334</v>
      </c>
      <c r="SWX105" s="33" t="s">
        <v>334</v>
      </c>
      <c r="SWY105" s="33" t="s">
        <v>334</v>
      </c>
      <c r="SWZ105" s="33" t="s">
        <v>334</v>
      </c>
      <c r="SXA105" s="33" t="s">
        <v>334</v>
      </c>
      <c r="SXB105" s="33" t="s">
        <v>334</v>
      </c>
      <c r="SXC105" s="33" t="s">
        <v>334</v>
      </c>
      <c r="SXD105" s="33" t="s">
        <v>334</v>
      </c>
      <c r="SXE105" s="33" t="s">
        <v>334</v>
      </c>
      <c r="SXF105" s="33" t="s">
        <v>334</v>
      </c>
      <c r="SXG105" s="33" t="s">
        <v>334</v>
      </c>
      <c r="SXH105" s="33" t="s">
        <v>334</v>
      </c>
      <c r="SXI105" s="33" t="s">
        <v>334</v>
      </c>
      <c r="SXJ105" s="33" t="s">
        <v>334</v>
      </c>
      <c r="SXK105" s="33" t="s">
        <v>334</v>
      </c>
      <c r="SXL105" s="33" t="s">
        <v>334</v>
      </c>
      <c r="SXM105" s="33" t="s">
        <v>334</v>
      </c>
      <c r="SXN105" s="33" t="s">
        <v>334</v>
      </c>
      <c r="SXO105" s="33" t="s">
        <v>334</v>
      </c>
      <c r="SXP105" s="33" t="s">
        <v>334</v>
      </c>
      <c r="SXQ105" s="33" t="s">
        <v>334</v>
      </c>
      <c r="SXR105" s="33" t="s">
        <v>334</v>
      </c>
      <c r="SXS105" s="33" t="s">
        <v>334</v>
      </c>
      <c r="SXT105" s="33" t="s">
        <v>334</v>
      </c>
      <c r="SXU105" s="33" t="s">
        <v>334</v>
      </c>
      <c r="SXV105" s="33" t="s">
        <v>334</v>
      </c>
      <c r="SXW105" s="33" t="s">
        <v>334</v>
      </c>
      <c r="SXX105" s="33" t="s">
        <v>334</v>
      </c>
      <c r="SXY105" s="33" t="s">
        <v>334</v>
      </c>
      <c r="SXZ105" s="33" t="s">
        <v>334</v>
      </c>
      <c r="SYA105" s="33" t="s">
        <v>334</v>
      </c>
      <c r="SYB105" s="33" t="s">
        <v>334</v>
      </c>
      <c r="SYC105" s="33" t="s">
        <v>334</v>
      </c>
      <c r="SYD105" s="33" t="s">
        <v>334</v>
      </c>
      <c r="SYE105" s="33" t="s">
        <v>334</v>
      </c>
      <c r="SYF105" s="33" t="s">
        <v>334</v>
      </c>
      <c r="SYG105" s="33" t="s">
        <v>334</v>
      </c>
      <c r="SYH105" s="33" t="s">
        <v>334</v>
      </c>
      <c r="SYI105" s="33" t="s">
        <v>334</v>
      </c>
      <c r="SYJ105" s="33" t="s">
        <v>334</v>
      </c>
      <c r="SYK105" s="33" t="s">
        <v>334</v>
      </c>
      <c r="SYL105" s="33" t="s">
        <v>334</v>
      </c>
      <c r="SYM105" s="33" t="s">
        <v>334</v>
      </c>
      <c r="SYN105" s="33" t="s">
        <v>334</v>
      </c>
      <c r="SYO105" s="33" t="s">
        <v>334</v>
      </c>
      <c r="SYP105" s="33" t="s">
        <v>334</v>
      </c>
      <c r="SYQ105" s="33" t="s">
        <v>334</v>
      </c>
      <c r="SYR105" s="33" t="s">
        <v>334</v>
      </c>
      <c r="SYS105" s="33" t="s">
        <v>334</v>
      </c>
      <c r="SYT105" s="33" t="s">
        <v>334</v>
      </c>
      <c r="SYU105" s="33" t="s">
        <v>334</v>
      </c>
      <c r="SYV105" s="33" t="s">
        <v>334</v>
      </c>
      <c r="SYW105" s="33" t="s">
        <v>334</v>
      </c>
      <c r="SYX105" s="33" t="s">
        <v>334</v>
      </c>
      <c r="SYY105" s="33" t="s">
        <v>334</v>
      </c>
      <c r="SYZ105" s="33" t="s">
        <v>334</v>
      </c>
      <c r="SZA105" s="33" t="s">
        <v>334</v>
      </c>
      <c r="SZB105" s="33" t="s">
        <v>334</v>
      </c>
      <c r="SZC105" s="33" t="s">
        <v>334</v>
      </c>
      <c r="SZD105" s="33" t="s">
        <v>334</v>
      </c>
      <c r="SZE105" s="33" t="s">
        <v>334</v>
      </c>
      <c r="SZF105" s="33" t="s">
        <v>334</v>
      </c>
      <c r="SZG105" s="33" t="s">
        <v>334</v>
      </c>
      <c r="SZH105" s="33" t="s">
        <v>334</v>
      </c>
      <c r="SZI105" s="33" t="s">
        <v>334</v>
      </c>
      <c r="SZJ105" s="33" t="s">
        <v>334</v>
      </c>
      <c r="SZK105" s="33" t="s">
        <v>334</v>
      </c>
      <c r="SZL105" s="33" t="s">
        <v>334</v>
      </c>
      <c r="SZM105" s="33" t="s">
        <v>334</v>
      </c>
      <c r="SZN105" s="33" t="s">
        <v>334</v>
      </c>
      <c r="SZO105" s="33" t="s">
        <v>334</v>
      </c>
      <c r="SZP105" s="33" t="s">
        <v>334</v>
      </c>
      <c r="SZQ105" s="33" t="s">
        <v>334</v>
      </c>
      <c r="SZR105" s="33" t="s">
        <v>334</v>
      </c>
      <c r="SZS105" s="33" t="s">
        <v>334</v>
      </c>
      <c r="SZT105" s="33" t="s">
        <v>334</v>
      </c>
      <c r="SZU105" s="33" t="s">
        <v>334</v>
      </c>
      <c r="SZV105" s="33" t="s">
        <v>334</v>
      </c>
      <c r="SZW105" s="33" t="s">
        <v>334</v>
      </c>
      <c r="SZX105" s="33" t="s">
        <v>334</v>
      </c>
      <c r="SZY105" s="33" t="s">
        <v>334</v>
      </c>
      <c r="SZZ105" s="33" t="s">
        <v>334</v>
      </c>
      <c r="TAA105" s="33" t="s">
        <v>334</v>
      </c>
      <c r="TAB105" s="33" t="s">
        <v>334</v>
      </c>
      <c r="TAC105" s="33" t="s">
        <v>334</v>
      </c>
      <c r="TAD105" s="33" t="s">
        <v>334</v>
      </c>
      <c r="TAE105" s="33" t="s">
        <v>334</v>
      </c>
      <c r="TAF105" s="33" t="s">
        <v>334</v>
      </c>
      <c r="TAG105" s="33" t="s">
        <v>334</v>
      </c>
      <c r="TAH105" s="33" t="s">
        <v>334</v>
      </c>
      <c r="TAI105" s="33" t="s">
        <v>334</v>
      </c>
      <c r="TAJ105" s="33" t="s">
        <v>334</v>
      </c>
      <c r="TAK105" s="33" t="s">
        <v>334</v>
      </c>
      <c r="TAL105" s="33" t="s">
        <v>334</v>
      </c>
      <c r="TAM105" s="33" t="s">
        <v>334</v>
      </c>
      <c r="TAN105" s="33" t="s">
        <v>334</v>
      </c>
      <c r="TAO105" s="33" t="s">
        <v>334</v>
      </c>
      <c r="TAP105" s="33" t="s">
        <v>334</v>
      </c>
      <c r="TAQ105" s="33" t="s">
        <v>334</v>
      </c>
      <c r="TAR105" s="33" t="s">
        <v>334</v>
      </c>
      <c r="TAS105" s="33" t="s">
        <v>334</v>
      </c>
      <c r="TAT105" s="33" t="s">
        <v>334</v>
      </c>
      <c r="TAU105" s="33" t="s">
        <v>334</v>
      </c>
      <c r="TAV105" s="33" t="s">
        <v>334</v>
      </c>
      <c r="TAW105" s="33" t="s">
        <v>334</v>
      </c>
      <c r="TAX105" s="33" t="s">
        <v>334</v>
      </c>
      <c r="TAY105" s="33" t="s">
        <v>334</v>
      </c>
      <c r="TAZ105" s="33" t="s">
        <v>334</v>
      </c>
      <c r="TBA105" s="33" t="s">
        <v>334</v>
      </c>
      <c r="TBB105" s="33" t="s">
        <v>334</v>
      </c>
      <c r="TBC105" s="33" t="s">
        <v>334</v>
      </c>
      <c r="TBD105" s="33" t="s">
        <v>334</v>
      </c>
      <c r="TBE105" s="33" t="s">
        <v>334</v>
      </c>
      <c r="TBF105" s="33" t="s">
        <v>334</v>
      </c>
      <c r="TBG105" s="33" t="s">
        <v>334</v>
      </c>
      <c r="TBH105" s="33" t="s">
        <v>334</v>
      </c>
      <c r="TBI105" s="33" t="s">
        <v>334</v>
      </c>
      <c r="TBJ105" s="33" t="s">
        <v>334</v>
      </c>
      <c r="TBK105" s="33" t="s">
        <v>334</v>
      </c>
      <c r="TBL105" s="33" t="s">
        <v>334</v>
      </c>
      <c r="TBM105" s="33" t="s">
        <v>334</v>
      </c>
      <c r="TBN105" s="33" t="s">
        <v>334</v>
      </c>
      <c r="TBO105" s="33" t="s">
        <v>334</v>
      </c>
      <c r="TBP105" s="33" t="s">
        <v>334</v>
      </c>
      <c r="TBQ105" s="33" t="s">
        <v>334</v>
      </c>
      <c r="TBR105" s="33" t="s">
        <v>334</v>
      </c>
      <c r="TBS105" s="33" t="s">
        <v>334</v>
      </c>
      <c r="TBT105" s="33" t="s">
        <v>334</v>
      </c>
      <c r="TBU105" s="33" t="s">
        <v>334</v>
      </c>
      <c r="TBV105" s="33" t="s">
        <v>334</v>
      </c>
      <c r="TBW105" s="33" t="s">
        <v>334</v>
      </c>
      <c r="TBX105" s="33" t="s">
        <v>334</v>
      </c>
      <c r="TBY105" s="33" t="s">
        <v>334</v>
      </c>
      <c r="TBZ105" s="33" t="s">
        <v>334</v>
      </c>
      <c r="TCA105" s="33" t="s">
        <v>334</v>
      </c>
      <c r="TCB105" s="33" t="s">
        <v>334</v>
      </c>
      <c r="TCC105" s="33" t="s">
        <v>334</v>
      </c>
      <c r="TCD105" s="33" t="s">
        <v>334</v>
      </c>
      <c r="TCE105" s="33" t="s">
        <v>334</v>
      </c>
      <c r="TCF105" s="33" t="s">
        <v>334</v>
      </c>
      <c r="TCG105" s="33" t="s">
        <v>334</v>
      </c>
      <c r="TCH105" s="33" t="s">
        <v>334</v>
      </c>
      <c r="TCI105" s="33" t="s">
        <v>334</v>
      </c>
      <c r="TCJ105" s="33" t="s">
        <v>334</v>
      </c>
      <c r="TCK105" s="33" t="s">
        <v>334</v>
      </c>
      <c r="TCL105" s="33" t="s">
        <v>334</v>
      </c>
      <c r="TCM105" s="33" t="s">
        <v>334</v>
      </c>
      <c r="TCN105" s="33" t="s">
        <v>334</v>
      </c>
      <c r="TCO105" s="33" t="s">
        <v>334</v>
      </c>
      <c r="TCP105" s="33" t="s">
        <v>334</v>
      </c>
      <c r="TCQ105" s="33" t="s">
        <v>334</v>
      </c>
      <c r="TCR105" s="33" t="s">
        <v>334</v>
      </c>
      <c r="TCS105" s="33" t="s">
        <v>334</v>
      </c>
      <c r="TCT105" s="33" t="s">
        <v>334</v>
      </c>
      <c r="TCU105" s="33" t="s">
        <v>334</v>
      </c>
      <c r="TCV105" s="33" t="s">
        <v>334</v>
      </c>
      <c r="TCW105" s="33" t="s">
        <v>334</v>
      </c>
      <c r="TCX105" s="33" t="s">
        <v>334</v>
      </c>
      <c r="TCY105" s="33" t="s">
        <v>334</v>
      </c>
      <c r="TCZ105" s="33" t="s">
        <v>334</v>
      </c>
      <c r="TDA105" s="33" t="s">
        <v>334</v>
      </c>
      <c r="TDB105" s="33" t="s">
        <v>334</v>
      </c>
      <c r="TDC105" s="33" t="s">
        <v>334</v>
      </c>
      <c r="TDD105" s="33" t="s">
        <v>334</v>
      </c>
      <c r="TDE105" s="33" t="s">
        <v>334</v>
      </c>
      <c r="TDF105" s="33" t="s">
        <v>334</v>
      </c>
      <c r="TDG105" s="33" t="s">
        <v>334</v>
      </c>
      <c r="TDH105" s="33" t="s">
        <v>334</v>
      </c>
      <c r="TDI105" s="33" t="s">
        <v>334</v>
      </c>
      <c r="TDJ105" s="33" t="s">
        <v>334</v>
      </c>
      <c r="TDK105" s="33" t="s">
        <v>334</v>
      </c>
      <c r="TDL105" s="33" t="s">
        <v>334</v>
      </c>
      <c r="TDM105" s="33" t="s">
        <v>334</v>
      </c>
      <c r="TDN105" s="33" t="s">
        <v>334</v>
      </c>
      <c r="TDO105" s="33" t="s">
        <v>334</v>
      </c>
      <c r="TDP105" s="33" t="s">
        <v>334</v>
      </c>
      <c r="TDQ105" s="33" t="s">
        <v>334</v>
      </c>
      <c r="TDR105" s="33" t="s">
        <v>334</v>
      </c>
      <c r="TDS105" s="33" t="s">
        <v>334</v>
      </c>
      <c r="TDT105" s="33" t="s">
        <v>334</v>
      </c>
      <c r="TDU105" s="33" t="s">
        <v>334</v>
      </c>
      <c r="TDV105" s="33" t="s">
        <v>334</v>
      </c>
      <c r="TDW105" s="33" t="s">
        <v>334</v>
      </c>
      <c r="TDX105" s="33" t="s">
        <v>334</v>
      </c>
      <c r="TDY105" s="33" t="s">
        <v>334</v>
      </c>
      <c r="TDZ105" s="33" t="s">
        <v>334</v>
      </c>
      <c r="TEA105" s="33" t="s">
        <v>334</v>
      </c>
      <c r="TEB105" s="33" t="s">
        <v>334</v>
      </c>
      <c r="TEC105" s="33" t="s">
        <v>334</v>
      </c>
      <c r="TED105" s="33" t="s">
        <v>334</v>
      </c>
      <c r="TEE105" s="33" t="s">
        <v>334</v>
      </c>
      <c r="TEF105" s="33" t="s">
        <v>334</v>
      </c>
      <c r="TEG105" s="33" t="s">
        <v>334</v>
      </c>
      <c r="TEH105" s="33" t="s">
        <v>334</v>
      </c>
      <c r="TEI105" s="33" t="s">
        <v>334</v>
      </c>
      <c r="TEJ105" s="33" t="s">
        <v>334</v>
      </c>
      <c r="TEK105" s="33" t="s">
        <v>334</v>
      </c>
      <c r="TEL105" s="33" t="s">
        <v>334</v>
      </c>
      <c r="TEM105" s="33" t="s">
        <v>334</v>
      </c>
      <c r="TEN105" s="33" t="s">
        <v>334</v>
      </c>
      <c r="TEO105" s="33" t="s">
        <v>334</v>
      </c>
      <c r="TEP105" s="33" t="s">
        <v>334</v>
      </c>
      <c r="TEQ105" s="33" t="s">
        <v>334</v>
      </c>
      <c r="TER105" s="33" t="s">
        <v>334</v>
      </c>
      <c r="TES105" s="33" t="s">
        <v>334</v>
      </c>
      <c r="TET105" s="33" t="s">
        <v>334</v>
      </c>
      <c r="TEU105" s="33" t="s">
        <v>334</v>
      </c>
      <c r="TEV105" s="33" t="s">
        <v>334</v>
      </c>
      <c r="TEW105" s="33" t="s">
        <v>334</v>
      </c>
      <c r="TEX105" s="33" t="s">
        <v>334</v>
      </c>
      <c r="TEY105" s="33" t="s">
        <v>334</v>
      </c>
      <c r="TEZ105" s="33" t="s">
        <v>334</v>
      </c>
      <c r="TFA105" s="33" t="s">
        <v>334</v>
      </c>
      <c r="TFB105" s="33" t="s">
        <v>334</v>
      </c>
      <c r="TFC105" s="33" t="s">
        <v>334</v>
      </c>
      <c r="TFD105" s="33" t="s">
        <v>334</v>
      </c>
      <c r="TFE105" s="33" t="s">
        <v>334</v>
      </c>
      <c r="TFF105" s="33" t="s">
        <v>334</v>
      </c>
      <c r="TFG105" s="33" t="s">
        <v>334</v>
      </c>
      <c r="TFH105" s="33" t="s">
        <v>334</v>
      </c>
      <c r="TFI105" s="33" t="s">
        <v>334</v>
      </c>
      <c r="TFJ105" s="33" t="s">
        <v>334</v>
      </c>
      <c r="TFK105" s="33" t="s">
        <v>334</v>
      </c>
      <c r="TFL105" s="33" t="s">
        <v>334</v>
      </c>
      <c r="TFM105" s="33" t="s">
        <v>334</v>
      </c>
      <c r="TFN105" s="33" t="s">
        <v>334</v>
      </c>
      <c r="TFO105" s="33" t="s">
        <v>334</v>
      </c>
      <c r="TFP105" s="33" t="s">
        <v>334</v>
      </c>
      <c r="TFQ105" s="33" t="s">
        <v>334</v>
      </c>
      <c r="TFR105" s="33" t="s">
        <v>334</v>
      </c>
      <c r="TFS105" s="33" t="s">
        <v>334</v>
      </c>
      <c r="TFT105" s="33" t="s">
        <v>334</v>
      </c>
      <c r="TFU105" s="33" t="s">
        <v>334</v>
      </c>
      <c r="TFV105" s="33" t="s">
        <v>334</v>
      </c>
      <c r="TFW105" s="33" t="s">
        <v>334</v>
      </c>
      <c r="TFX105" s="33" t="s">
        <v>334</v>
      </c>
      <c r="TFY105" s="33" t="s">
        <v>334</v>
      </c>
      <c r="TFZ105" s="33" t="s">
        <v>334</v>
      </c>
      <c r="TGA105" s="33" t="s">
        <v>334</v>
      </c>
      <c r="TGB105" s="33" t="s">
        <v>334</v>
      </c>
      <c r="TGC105" s="33" t="s">
        <v>334</v>
      </c>
      <c r="TGD105" s="33" t="s">
        <v>334</v>
      </c>
      <c r="TGE105" s="33" t="s">
        <v>334</v>
      </c>
      <c r="TGF105" s="33" t="s">
        <v>334</v>
      </c>
      <c r="TGG105" s="33" t="s">
        <v>334</v>
      </c>
      <c r="TGH105" s="33" t="s">
        <v>334</v>
      </c>
      <c r="TGI105" s="33" t="s">
        <v>334</v>
      </c>
      <c r="TGJ105" s="33" t="s">
        <v>334</v>
      </c>
      <c r="TGK105" s="33" t="s">
        <v>334</v>
      </c>
      <c r="TGL105" s="33" t="s">
        <v>334</v>
      </c>
      <c r="TGM105" s="33" t="s">
        <v>334</v>
      </c>
      <c r="TGN105" s="33" t="s">
        <v>334</v>
      </c>
      <c r="TGO105" s="33" t="s">
        <v>334</v>
      </c>
      <c r="TGP105" s="33" t="s">
        <v>334</v>
      </c>
      <c r="TGQ105" s="33" t="s">
        <v>334</v>
      </c>
      <c r="TGR105" s="33" t="s">
        <v>334</v>
      </c>
      <c r="TGS105" s="33" t="s">
        <v>334</v>
      </c>
      <c r="TGT105" s="33" t="s">
        <v>334</v>
      </c>
      <c r="TGU105" s="33" t="s">
        <v>334</v>
      </c>
      <c r="TGV105" s="33" t="s">
        <v>334</v>
      </c>
      <c r="TGW105" s="33" t="s">
        <v>334</v>
      </c>
      <c r="TGX105" s="33" t="s">
        <v>334</v>
      </c>
      <c r="TGY105" s="33" t="s">
        <v>334</v>
      </c>
      <c r="TGZ105" s="33" t="s">
        <v>334</v>
      </c>
      <c r="THA105" s="33" t="s">
        <v>334</v>
      </c>
      <c r="THB105" s="33" t="s">
        <v>334</v>
      </c>
      <c r="THC105" s="33" t="s">
        <v>334</v>
      </c>
      <c r="THD105" s="33" t="s">
        <v>334</v>
      </c>
      <c r="THE105" s="33" t="s">
        <v>334</v>
      </c>
      <c r="THF105" s="33" t="s">
        <v>334</v>
      </c>
      <c r="THG105" s="33" t="s">
        <v>334</v>
      </c>
      <c r="THH105" s="33" t="s">
        <v>334</v>
      </c>
      <c r="THI105" s="33" t="s">
        <v>334</v>
      </c>
      <c r="THJ105" s="33" t="s">
        <v>334</v>
      </c>
      <c r="THK105" s="33" t="s">
        <v>334</v>
      </c>
      <c r="THL105" s="33" t="s">
        <v>334</v>
      </c>
      <c r="THM105" s="33" t="s">
        <v>334</v>
      </c>
      <c r="THN105" s="33" t="s">
        <v>334</v>
      </c>
      <c r="THO105" s="33" t="s">
        <v>334</v>
      </c>
      <c r="THP105" s="33" t="s">
        <v>334</v>
      </c>
      <c r="THQ105" s="33" t="s">
        <v>334</v>
      </c>
      <c r="THR105" s="33" t="s">
        <v>334</v>
      </c>
      <c r="THS105" s="33" t="s">
        <v>334</v>
      </c>
      <c r="THT105" s="33" t="s">
        <v>334</v>
      </c>
      <c r="THU105" s="33" t="s">
        <v>334</v>
      </c>
      <c r="THV105" s="33" t="s">
        <v>334</v>
      </c>
      <c r="THW105" s="33" t="s">
        <v>334</v>
      </c>
      <c r="THX105" s="33" t="s">
        <v>334</v>
      </c>
      <c r="THY105" s="33" t="s">
        <v>334</v>
      </c>
      <c r="THZ105" s="33" t="s">
        <v>334</v>
      </c>
      <c r="TIA105" s="33" t="s">
        <v>334</v>
      </c>
      <c r="TIB105" s="33" t="s">
        <v>334</v>
      </c>
      <c r="TIC105" s="33" t="s">
        <v>334</v>
      </c>
      <c r="TID105" s="33" t="s">
        <v>334</v>
      </c>
      <c r="TIE105" s="33" t="s">
        <v>334</v>
      </c>
      <c r="TIF105" s="33" t="s">
        <v>334</v>
      </c>
      <c r="TIG105" s="33" t="s">
        <v>334</v>
      </c>
      <c r="TIH105" s="33" t="s">
        <v>334</v>
      </c>
      <c r="TII105" s="33" t="s">
        <v>334</v>
      </c>
      <c r="TIJ105" s="33" t="s">
        <v>334</v>
      </c>
      <c r="TIK105" s="33" t="s">
        <v>334</v>
      </c>
      <c r="TIL105" s="33" t="s">
        <v>334</v>
      </c>
      <c r="TIM105" s="33" t="s">
        <v>334</v>
      </c>
      <c r="TIN105" s="33" t="s">
        <v>334</v>
      </c>
      <c r="TIO105" s="33" t="s">
        <v>334</v>
      </c>
      <c r="TIP105" s="33" t="s">
        <v>334</v>
      </c>
      <c r="TIQ105" s="33" t="s">
        <v>334</v>
      </c>
      <c r="TIR105" s="33" t="s">
        <v>334</v>
      </c>
      <c r="TIS105" s="33" t="s">
        <v>334</v>
      </c>
      <c r="TIT105" s="33" t="s">
        <v>334</v>
      </c>
      <c r="TIU105" s="33" t="s">
        <v>334</v>
      </c>
      <c r="TIV105" s="33" t="s">
        <v>334</v>
      </c>
      <c r="TIW105" s="33" t="s">
        <v>334</v>
      </c>
      <c r="TIX105" s="33" t="s">
        <v>334</v>
      </c>
      <c r="TIY105" s="33" t="s">
        <v>334</v>
      </c>
      <c r="TIZ105" s="33" t="s">
        <v>334</v>
      </c>
      <c r="TJA105" s="33" t="s">
        <v>334</v>
      </c>
      <c r="TJB105" s="33" t="s">
        <v>334</v>
      </c>
      <c r="TJC105" s="33" t="s">
        <v>334</v>
      </c>
      <c r="TJD105" s="33" t="s">
        <v>334</v>
      </c>
      <c r="TJE105" s="33" t="s">
        <v>334</v>
      </c>
      <c r="TJF105" s="33" t="s">
        <v>334</v>
      </c>
      <c r="TJG105" s="33" t="s">
        <v>334</v>
      </c>
      <c r="TJH105" s="33" t="s">
        <v>334</v>
      </c>
      <c r="TJI105" s="33" t="s">
        <v>334</v>
      </c>
      <c r="TJJ105" s="33" t="s">
        <v>334</v>
      </c>
      <c r="TJK105" s="33" t="s">
        <v>334</v>
      </c>
      <c r="TJL105" s="33" t="s">
        <v>334</v>
      </c>
      <c r="TJM105" s="33" t="s">
        <v>334</v>
      </c>
      <c r="TJN105" s="33" t="s">
        <v>334</v>
      </c>
      <c r="TJO105" s="33" t="s">
        <v>334</v>
      </c>
      <c r="TJP105" s="33" t="s">
        <v>334</v>
      </c>
      <c r="TJQ105" s="33" t="s">
        <v>334</v>
      </c>
      <c r="TJR105" s="33" t="s">
        <v>334</v>
      </c>
      <c r="TJS105" s="33" t="s">
        <v>334</v>
      </c>
      <c r="TJT105" s="33" t="s">
        <v>334</v>
      </c>
      <c r="TJU105" s="33" t="s">
        <v>334</v>
      </c>
      <c r="TJV105" s="33" t="s">
        <v>334</v>
      </c>
      <c r="TJW105" s="33" t="s">
        <v>334</v>
      </c>
      <c r="TJX105" s="33" t="s">
        <v>334</v>
      </c>
      <c r="TJY105" s="33" t="s">
        <v>334</v>
      </c>
      <c r="TJZ105" s="33" t="s">
        <v>334</v>
      </c>
      <c r="TKA105" s="33" t="s">
        <v>334</v>
      </c>
      <c r="TKB105" s="33" t="s">
        <v>334</v>
      </c>
      <c r="TKC105" s="33" t="s">
        <v>334</v>
      </c>
      <c r="TKD105" s="33" t="s">
        <v>334</v>
      </c>
      <c r="TKE105" s="33" t="s">
        <v>334</v>
      </c>
      <c r="TKF105" s="33" t="s">
        <v>334</v>
      </c>
      <c r="TKG105" s="33" t="s">
        <v>334</v>
      </c>
      <c r="TKH105" s="33" t="s">
        <v>334</v>
      </c>
      <c r="TKI105" s="33" t="s">
        <v>334</v>
      </c>
      <c r="TKJ105" s="33" t="s">
        <v>334</v>
      </c>
      <c r="TKK105" s="33" t="s">
        <v>334</v>
      </c>
      <c r="TKL105" s="33" t="s">
        <v>334</v>
      </c>
      <c r="TKM105" s="33" t="s">
        <v>334</v>
      </c>
      <c r="TKN105" s="33" t="s">
        <v>334</v>
      </c>
      <c r="TKO105" s="33" t="s">
        <v>334</v>
      </c>
      <c r="TKP105" s="33" t="s">
        <v>334</v>
      </c>
      <c r="TKQ105" s="33" t="s">
        <v>334</v>
      </c>
      <c r="TKR105" s="33" t="s">
        <v>334</v>
      </c>
      <c r="TKS105" s="33" t="s">
        <v>334</v>
      </c>
      <c r="TKT105" s="33" t="s">
        <v>334</v>
      </c>
      <c r="TKU105" s="33" t="s">
        <v>334</v>
      </c>
      <c r="TKV105" s="33" t="s">
        <v>334</v>
      </c>
      <c r="TKW105" s="33" t="s">
        <v>334</v>
      </c>
      <c r="TKX105" s="33" t="s">
        <v>334</v>
      </c>
      <c r="TKY105" s="33" t="s">
        <v>334</v>
      </c>
      <c r="TKZ105" s="33" t="s">
        <v>334</v>
      </c>
      <c r="TLA105" s="33" t="s">
        <v>334</v>
      </c>
      <c r="TLB105" s="33" t="s">
        <v>334</v>
      </c>
      <c r="TLC105" s="33" t="s">
        <v>334</v>
      </c>
      <c r="TLD105" s="33" t="s">
        <v>334</v>
      </c>
      <c r="TLE105" s="33" t="s">
        <v>334</v>
      </c>
      <c r="TLF105" s="33" t="s">
        <v>334</v>
      </c>
      <c r="TLG105" s="33" t="s">
        <v>334</v>
      </c>
      <c r="TLH105" s="33" t="s">
        <v>334</v>
      </c>
      <c r="TLI105" s="33" t="s">
        <v>334</v>
      </c>
      <c r="TLJ105" s="33" t="s">
        <v>334</v>
      </c>
      <c r="TLK105" s="33" t="s">
        <v>334</v>
      </c>
      <c r="TLL105" s="33" t="s">
        <v>334</v>
      </c>
      <c r="TLM105" s="33" t="s">
        <v>334</v>
      </c>
      <c r="TLN105" s="33" t="s">
        <v>334</v>
      </c>
      <c r="TLO105" s="33" t="s">
        <v>334</v>
      </c>
      <c r="TLP105" s="33" t="s">
        <v>334</v>
      </c>
      <c r="TLQ105" s="33" t="s">
        <v>334</v>
      </c>
      <c r="TLR105" s="33" t="s">
        <v>334</v>
      </c>
      <c r="TLS105" s="33" t="s">
        <v>334</v>
      </c>
      <c r="TLT105" s="33" t="s">
        <v>334</v>
      </c>
      <c r="TLU105" s="33" t="s">
        <v>334</v>
      </c>
      <c r="TLV105" s="33" t="s">
        <v>334</v>
      </c>
      <c r="TLW105" s="33" t="s">
        <v>334</v>
      </c>
      <c r="TLX105" s="33" t="s">
        <v>334</v>
      </c>
      <c r="TLY105" s="33" t="s">
        <v>334</v>
      </c>
      <c r="TLZ105" s="33" t="s">
        <v>334</v>
      </c>
      <c r="TMA105" s="33" t="s">
        <v>334</v>
      </c>
      <c r="TMB105" s="33" t="s">
        <v>334</v>
      </c>
      <c r="TMC105" s="33" t="s">
        <v>334</v>
      </c>
      <c r="TMD105" s="33" t="s">
        <v>334</v>
      </c>
      <c r="TME105" s="33" t="s">
        <v>334</v>
      </c>
      <c r="TMF105" s="33" t="s">
        <v>334</v>
      </c>
      <c r="TMG105" s="33" t="s">
        <v>334</v>
      </c>
      <c r="TMH105" s="33" t="s">
        <v>334</v>
      </c>
      <c r="TMI105" s="33" t="s">
        <v>334</v>
      </c>
      <c r="TMJ105" s="33" t="s">
        <v>334</v>
      </c>
      <c r="TMK105" s="33" t="s">
        <v>334</v>
      </c>
      <c r="TML105" s="33" t="s">
        <v>334</v>
      </c>
      <c r="TMM105" s="33" t="s">
        <v>334</v>
      </c>
      <c r="TMN105" s="33" t="s">
        <v>334</v>
      </c>
      <c r="TMO105" s="33" t="s">
        <v>334</v>
      </c>
      <c r="TMP105" s="33" t="s">
        <v>334</v>
      </c>
      <c r="TMQ105" s="33" t="s">
        <v>334</v>
      </c>
      <c r="TMR105" s="33" t="s">
        <v>334</v>
      </c>
      <c r="TMS105" s="33" t="s">
        <v>334</v>
      </c>
      <c r="TMT105" s="33" t="s">
        <v>334</v>
      </c>
      <c r="TMU105" s="33" t="s">
        <v>334</v>
      </c>
      <c r="TMV105" s="33" t="s">
        <v>334</v>
      </c>
      <c r="TMW105" s="33" t="s">
        <v>334</v>
      </c>
      <c r="TMX105" s="33" t="s">
        <v>334</v>
      </c>
      <c r="TMY105" s="33" t="s">
        <v>334</v>
      </c>
      <c r="TMZ105" s="33" t="s">
        <v>334</v>
      </c>
      <c r="TNA105" s="33" t="s">
        <v>334</v>
      </c>
      <c r="TNB105" s="33" t="s">
        <v>334</v>
      </c>
      <c r="TNC105" s="33" t="s">
        <v>334</v>
      </c>
      <c r="TND105" s="33" t="s">
        <v>334</v>
      </c>
      <c r="TNE105" s="33" t="s">
        <v>334</v>
      </c>
      <c r="TNF105" s="33" t="s">
        <v>334</v>
      </c>
      <c r="TNG105" s="33" t="s">
        <v>334</v>
      </c>
      <c r="TNH105" s="33" t="s">
        <v>334</v>
      </c>
      <c r="TNI105" s="33" t="s">
        <v>334</v>
      </c>
      <c r="TNJ105" s="33" t="s">
        <v>334</v>
      </c>
      <c r="TNK105" s="33" t="s">
        <v>334</v>
      </c>
      <c r="TNL105" s="33" t="s">
        <v>334</v>
      </c>
      <c r="TNM105" s="33" t="s">
        <v>334</v>
      </c>
      <c r="TNN105" s="33" t="s">
        <v>334</v>
      </c>
      <c r="TNO105" s="33" t="s">
        <v>334</v>
      </c>
      <c r="TNP105" s="33" t="s">
        <v>334</v>
      </c>
      <c r="TNQ105" s="33" t="s">
        <v>334</v>
      </c>
      <c r="TNR105" s="33" t="s">
        <v>334</v>
      </c>
      <c r="TNS105" s="33" t="s">
        <v>334</v>
      </c>
      <c r="TNT105" s="33" t="s">
        <v>334</v>
      </c>
      <c r="TNU105" s="33" t="s">
        <v>334</v>
      </c>
      <c r="TNV105" s="33" t="s">
        <v>334</v>
      </c>
      <c r="TNW105" s="33" t="s">
        <v>334</v>
      </c>
      <c r="TNX105" s="33" t="s">
        <v>334</v>
      </c>
      <c r="TNY105" s="33" t="s">
        <v>334</v>
      </c>
      <c r="TNZ105" s="33" t="s">
        <v>334</v>
      </c>
      <c r="TOA105" s="33" t="s">
        <v>334</v>
      </c>
      <c r="TOB105" s="33" t="s">
        <v>334</v>
      </c>
      <c r="TOC105" s="33" t="s">
        <v>334</v>
      </c>
      <c r="TOD105" s="33" t="s">
        <v>334</v>
      </c>
      <c r="TOE105" s="33" t="s">
        <v>334</v>
      </c>
      <c r="TOF105" s="33" t="s">
        <v>334</v>
      </c>
      <c r="TOG105" s="33" t="s">
        <v>334</v>
      </c>
      <c r="TOH105" s="33" t="s">
        <v>334</v>
      </c>
      <c r="TOI105" s="33" t="s">
        <v>334</v>
      </c>
      <c r="TOJ105" s="33" t="s">
        <v>334</v>
      </c>
      <c r="TOK105" s="33" t="s">
        <v>334</v>
      </c>
      <c r="TOL105" s="33" t="s">
        <v>334</v>
      </c>
      <c r="TOM105" s="33" t="s">
        <v>334</v>
      </c>
      <c r="TON105" s="33" t="s">
        <v>334</v>
      </c>
      <c r="TOO105" s="33" t="s">
        <v>334</v>
      </c>
      <c r="TOP105" s="33" t="s">
        <v>334</v>
      </c>
      <c r="TOQ105" s="33" t="s">
        <v>334</v>
      </c>
      <c r="TOR105" s="33" t="s">
        <v>334</v>
      </c>
      <c r="TOS105" s="33" t="s">
        <v>334</v>
      </c>
      <c r="TOT105" s="33" t="s">
        <v>334</v>
      </c>
      <c r="TOU105" s="33" t="s">
        <v>334</v>
      </c>
      <c r="TOV105" s="33" t="s">
        <v>334</v>
      </c>
      <c r="TOW105" s="33" t="s">
        <v>334</v>
      </c>
      <c r="TOX105" s="33" t="s">
        <v>334</v>
      </c>
      <c r="TOY105" s="33" t="s">
        <v>334</v>
      </c>
      <c r="TOZ105" s="33" t="s">
        <v>334</v>
      </c>
      <c r="TPA105" s="33" t="s">
        <v>334</v>
      </c>
      <c r="TPB105" s="33" t="s">
        <v>334</v>
      </c>
      <c r="TPC105" s="33" t="s">
        <v>334</v>
      </c>
      <c r="TPD105" s="33" t="s">
        <v>334</v>
      </c>
      <c r="TPE105" s="33" t="s">
        <v>334</v>
      </c>
      <c r="TPF105" s="33" t="s">
        <v>334</v>
      </c>
      <c r="TPG105" s="33" t="s">
        <v>334</v>
      </c>
      <c r="TPH105" s="33" t="s">
        <v>334</v>
      </c>
      <c r="TPI105" s="33" t="s">
        <v>334</v>
      </c>
      <c r="TPJ105" s="33" t="s">
        <v>334</v>
      </c>
      <c r="TPK105" s="33" t="s">
        <v>334</v>
      </c>
      <c r="TPL105" s="33" t="s">
        <v>334</v>
      </c>
      <c r="TPM105" s="33" t="s">
        <v>334</v>
      </c>
      <c r="TPN105" s="33" t="s">
        <v>334</v>
      </c>
      <c r="TPO105" s="33" t="s">
        <v>334</v>
      </c>
      <c r="TPP105" s="33" t="s">
        <v>334</v>
      </c>
      <c r="TPQ105" s="33" t="s">
        <v>334</v>
      </c>
      <c r="TPR105" s="33" t="s">
        <v>334</v>
      </c>
      <c r="TPS105" s="33" t="s">
        <v>334</v>
      </c>
      <c r="TPT105" s="33" t="s">
        <v>334</v>
      </c>
      <c r="TPU105" s="33" t="s">
        <v>334</v>
      </c>
      <c r="TPV105" s="33" t="s">
        <v>334</v>
      </c>
      <c r="TPW105" s="33" t="s">
        <v>334</v>
      </c>
      <c r="TPX105" s="33" t="s">
        <v>334</v>
      </c>
      <c r="TPY105" s="33" t="s">
        <v>334</v>
      </c>
      <c r="TPZ105" s="33" t="s">
        <v>334</v>
      </c>
      <c r="TQA105" s="33" t="s">
        <v>334</v>
      </c>
      <c r="TQB105" s="33" t="s">
        <v>334</v>
      </c>
      <c r="TQC105" s="33" t="s">
        <v>334</v>
      </c>
      <c r="TQD105" s="33" t="s">
        <v>334</v>
      </c>
      <c r="TQE105" s="33" t="s">
        <v>334</v>
      </c>
      <c r="TQF105" s="33" t="s">
        <v>334</v>
      </c>
      <c r="TQG105" s="33" t="s">
        <v>334</v>
      </c>
      <c r="TQH105" s="33" t="s">
        <v>334</v>
      </c>
      <c r="TQI105" s="33" t="s">
        <v>334</v>
      </c>
      <c r="TQJ105" s="33" t="s">
        <v>334</v>
      </c>
      <c r="TQK105" s="33" t="s">
        <v>334</v>
      </c>
      <c r="TQL105" s="33" t="s">
        <v>334</v>
      </c>
      <c r="TQM105" s="33" t="s">
        <v>334</v>
      </c>
      <c r="TQN105" s="33" t="s">
        <v>334</v>
      </c>
      <c r="TQO105" s="33" t="s">
        <v>334</v>
      </c>
      <c r="TQP105" s="33" t="s">
        <v>334</v>
      </c>
      <c r="TQQ105" s="33" t="s">
        <v>334</v>
      </c>
      <c r="TQR105" s="33" t="s">
        <v>334</v>
      </c>
      <c r="TQS105" s="33" t="s">
        <v>334</v>
      </c>
      <c r="TQT105" s="33" t="s">
        <v>334</v>
      </c>
      <c r="TQU105" s="33" t="s">
        <v>334</v>
      </c>
      <c r="TQV105" s="33" t="s">
        <v>334</v>
      </c>
      <c r="TQW105" s="33" t="s">
        <v>334</v>
      </c>
      <c r="TQX105" s="33" t="s">
        <v>334</v>
      </c>
      <c r="TQY105" s="33" t="s">
        <v>334</v>
      </c>
      <c r="TQZ105" s="33" t="s">
        <v>334</v>
      </c>
      <c r="TRA105" s="33" t="s">
        <v>334</v>
      </c>
      <c r="TRB105" s="33" t="s">
        <v>334</v>
      </c>
      <c r="TRC105" s="33" t="s">
        <v>334</v>
      </c>
      <c r="TRD105" s="33" t="s">
        <v>334</v>
      </c>
      <c r="TRE105" s="33" t="s">
        <v>334</v>
      </c>
      <c r="TRF105" s="33" t="s">
        <v>334</v>
      </c>
      <c r="TRG105" s="33" t="s">
        <v>334</v>
      </c>
      <c r="TRH105" s="33" t="s">
        <v>334</v>
      </c>
      <c r="TRI105" s="33" t="s">
        <v>334</v>
      </c>
      <c r="TRJ105" s="33" t="s">
        <v>334</v>
      </c>
      <c r="TRK105" s="33" t="s">
        <v>334</v>
      </c>
      <c r="TRL105" s="33" t="s">
        <v>334</v>
      </c>
      <c r="TRM105" s="33" t="s">
        <v>334</v>
      </c>
      <c r="TRN105" s="33" t="s">
        <v>334</v>
      </c>
      <c r="TRO105" s="33" t="s">
        <v>334</v>
      </c>
      <c r="TRP105" s="33" t="s">
        <v>334</v>
      </c>
      <c r="TRQ105" s="33" t="s">
        <v>334</v>
      </c>
      <c r="TRR105" s="33" t="s">
        <v>334</v>
      </c>
      <c r="TRS105" s="33" t="s">
        <v>334</v>
      </c>
      <c r="TRT105" s="33" t="s">
        <v>334</v>
      </c>
      <c r="TRU105" s="33" t="s">
        <v>334</v>
      </c>
      <c r="TRV105" s="33" t="s">
        <v>334</v>
      </c>
      <c r="TRW105" s="33" t="s">
        <v>334</v>
      </c>
      <c r="TRX105" s="33" t="s">
        <v>334</v>
      </c>
      <c r="TRY105" s="33" t="s">
        <v>334</v>
      </c>
      <c r="TRZ105" s="33" t="s">
        <v>334</v>
      </c>
      <c r="TSA105" s="33" t="s">
        <v>334</v>
      </c>
      <c r="TSB105" s="33" t="s">
        <v>334</v>
      </c>
      <c r="TSC105" s="33" t="s">
        <v>334</v>
      </c>
      <c r="TSD105" s="33" t="s">
        <v>334</v>
      </c>
      <c r="TSE105" s="33" t="s">
        <v>334</v>
      </c>
      <c r="TSF105" s="33" t="s">
        <v>334</v>
      </c>
      <c r="TSG105" s="33" t="s">
        <v>334</v>
      </c>
      <c r="TSH105" s="33" t="s">
        <v>334</v>
      </c>
      <c r="TSI105" s="33" t="s">
        <v>334</v>
      </c>
      <c r="TSJ105" s="33" t="s">
        <v>334</v>
      </c>
      <c r="TSK105" s="33" t="s">
        <v>334</v>
      </c>
      <c r="TSL105" s="33" t="s">
        <v>334</v>
      </c>
      <c r="TSM105" s="33" t="s">
        <v>334</v>
      </c>
      <c r="TSN105" s="33" t="s">
        <v>334</v>
      </c>
      <c r="TSO105" s="33" t="s">
        <v>334</v>
      </c>
      <c r="TSP105" s="33" t="s">
        <v>334</v>
      </c>
      <c r="TSQ105" s="33" t="s">
        <v>334</v>
      </c>
      <c r="TSR105" s="33" t="s">
        <v>334</v>
      </c>
      <c r="TSS105" s="33" t="s">
        <v>334</v>
      </c>
      <c r="TST105" s="33" t="s">
        <v>334</v>
      </c>
      <c r="TSU105" s="33" t="s">
        <v>334</v>
      </c>
      <c r="TSV105" s="33" t="s">
        <v>334</v>
      </c>
      <c r="TSW105" s="33" t="s">
        <v>334</v>
      </c>
      <c r="TSX105" s="33" t="s">
        <v>334</v>
      </c>
      <c r="TSY105" s="33" t="s">
        <v>334</v>
      </c>
      <c r="TSZ105" s="33" t="s">
        <v>334</v>
      </c>
      <c r="TTA105" s="33" t="s">
        <v>334</v>
      </c>
      <c r="TTB105" s="33" t="s">
        <v>334</v>
      </c>
      <c r="TTC105" s="33" t="s">
        <v>334</v>
      </c>
      <c r="TTD105" s="33" t="s">
        <v>334</v>
      </c>
      <c r="TTE105" s="33" t="s">
        <v>334</v>
      </c>
      <c r="TTF105" s="33" t="s">
        <v>334</v>
      </c>
      <c r="TTG105" s="33" t="s">
        <v>334</v>
      </c>
      <c r="TTH105" s="33" t="s">
        <v>334</v>
      </c>
      <c r="TTI105" s="33" t="s">
        <v>334</v>
      </c>
      <c r="TTJ105" s="33" t="s">
        <v>334</v>
      </c>
      <c r="TTK105" s="33" t="s">
        <v>334</v>
      </c>
      <c r="TTL105" s="33" t="s">
        <v>334</v>
      </c>
      <c r="TTM105" s="33" t="s">
        <v>334</v>
      </c>
      <c r="TTN105" s="33" t="s">
        <v>334</v>
      </c>
      <c r="TTO105" s="33" t="s">
        <v>334</v>
      </c>
      <c r="TTP105" s="33" t="s">
        <v>334</v>
      </c>
      <c r="TTQ105" s="33" t="s">
        <v>334</v>
      </c>
      <c r="TTR105" s="33" t="s">
        <v>334</v>
      </c>
      <c r="TTS105" s="33" t="s">
        <v>334</v>
      </c>
      <c r="TTT105" s="33" t="s">
        <v>334</v>
      </c>
      <c r="TTU105" s="33" t="s">
        <v>334</v>
      </c>
      <c r="TTV105" s="33" t="s">
        <v>334</v>
      </c>
      <c r="TTW105" s="33" t="s">
        <v>334</v>
      </c>
      <c r="TTX105" s="33" t="s">
        <v>334</v>
      </c>
      <c r="TTY105" s="33" t="s">
        <v>334</v>
      </c>
      <c r="TTZ105" s="33" t="s">
        <v>334</v>
      </c>
      <c r="TUA105" s="33" t="s">
        <v>334</v>
      </c>
      <c r="TUB105" s="33" t="s">
        <v>334</v>
      </c>
      <c r="TUC105" s="33" t="s">
        <v>334</v>
      </c>
      <c r="TUD105" s="33" t="s">
        <v>334</v>
      </c>
      <c r="TUE105" s="33" t="s">
        <v>334</v>
      </c>
      <c r="TUF105" s="33" t="s">
        <v>334</v>
      </c>
      <c r="TUG105" s="33" t="s">
        <v>334</v>
      </c>
      <c r="TUH105" s="33" t="s">
        <v>334</v>
      </c>
      <c r="TUI105" s="33" t="s">
        <v>334</v>
      </c>
      <c r="TUJ105" s="33" t="s">
        <v>334</v>
      </c>
      <c r="TUK105" s="33" t="s">
        <v>334</v>
      </c>
      <c r="TUL105" s="33" t="s">
        <v>334</v>
      </c>
      <c r="TUM105" s="33" t="s">
        <v>334</v>
      </c>
      <c r="TUN105" s="33" t="s">
        <v>334</v>
      </c>
      <c r="TUO105" s="33" t="s">
        <v>334</v>
      </c>
      <c r="TUP105" s="33" t="s">
        <v>334</v>
      </c>
      <c r="TUQ105" s="33" t="s">
        <v>334</v>
      </c>
      <c r="TUR105" s="33" t="s">
        <v>334</v>
      </c>
      <c r="TUS105" s="33" t="s">
        <v>334</v>
      </c>
      <c r="TUT105" s="33" t="s">
        <v>334</v>
      </c>
      <c r="TUU105" s="33" t="s">
        <v>334</v>
      </c>
      <c r="TUV105" s="33" t="s">
        <v>334</v>
      </c>
      <c r="TUW105" s="33" t="s">
        <v>334</v>
      </c>
      <c r="TUX105" s="33" t="s">
        <v>334</v>
      </c>
      <c r="TUY105" s="33" t="s">
        <v>334</v>
      </c>
      <c r="TUZ105" s="33" t="s">
        <v>334</v>
      </c>
      <c r="TVA105" s="33" t="s">
        <v>334</v>
      </c>
      <c r="TVB105" s="33" t="s">
        <v>334</v>
      </c>
      <c r="TVC105" s="33" t="s">
        <v>334</v>
      </c>
      <c r="TVD105" s="33" t="s">
        <v>334</v>
      </c>
      <c r="TVE105" s="33" t="s">
        <v>334</v>
      </c>
      <c r="TVF105" s="33" t="s">
        <v>334</v>
      </c>
      <c r="TVG105" s="33" t="s">
        <v>334</v>
      </c>
      <c r="TVH105" s="33" t="s">
        <v>334</v>
      </c>
      <c r="TVI105" s="33" t="s">
        <v>334</v>
      </c>
      <c r="TVJ105" s="33" t="s">
        <v>334</v>
      </c>
      <c r="TVK105" s="33" t="s">
        <v>334</v>
      </c>
      <c r="TVL105" s="33" t="s">
        <v>334</v>
      </c>
      <c r="TVM105" s="33" t="s">
        <v>334</v>
      </c>
      <c r="TVN105" s="33" t="s">
        <v>334</v>
      </c>
      <c r="TVO105" s="33" t="s">
        <v>334</v>
      </c>
      <c r="TVP105" s="33" t="s">
        <v>334</v>
      </c>
      <c r="TVQ105" s="33" t="s">
        <v>334</v>
      </c>
      <c r="TVR105" s="33" t="s">
        <v>334</v>
      </c>
      <c r="TVS105" s="33" t="s">
        <v>334</v>
      </c>
      <c r="TVT105" s="33" t="s">
        <v>334</v>
      </c>
      <c r="TVU105" s="33" t="s">
        <v>334</v>
      </c>
      <c r="TVV105" s="33" t="s">
        <v>334</v>
      </c>
      <c r="TVW105" s="33" t="s">
        <v>334</v>
      </c>
      <c r="TVX105" s="33" t="s">
        <v>334</v>
      </c>
      <c r="TVY105" s="33" t="s">
        <v>334</v>
      </c>
      <c r="TVZ105" s="33" t="s">
        <v>334</v>
      </c>
      <c r="TWA105" s="33" t="s">
        <v>334</v>
      </c>
      <c r="TWB105" s="33" t="s">
        <v>334</v>
      </c>
      <c r="TWC105" s="33" t="s">
        <v>334</v>
      </c>
      <c r="TWD105" s="33" t="s">
        <v>334</v>
      </c>
      <c r="TWE105" s="33" t="s">
        <v>334</v>
      </c>
      <c r="TWF105" s="33" t="s">
        <v>334</v>
      </c>
      <c r="TWG105" s="33" t="s">
        <v>334</v>
      </c>
      <c r="TWH105" s="33" t="s">
        <v>334</v>
      </c>
      <c r="TWI105" s="33" t="s">
        <v>334</v>
      </c>
      <c r="TWJ105" s="33" t="s">
        <v>334</v>
      </c>
      <c r="TWK105" s="33" t="s">
        <v>334</v>
      </c>
      <c r="TWL105" s="33" t="s">
        <v>334</v>
      </c>
      <c r="TWM105" s="33" t="s">
        <v>334</v>
      </c>
      <c r="TWN105" s="33" t="s">
        <v>334</v>
      </c>
      <c r="TWO105" s="33" t="s">
        <v>334</v>
      </c>
      <c r="TWP105" s="33" t="s">
        <v>334</v>
      </c>
      <c r="TWQ105" s="33" t="s">
        <v>334</v>
      </c>
      <c r="TWR105" s="33" t="s">
        <v>334</v>
      </c>
      <c r="TWS105" s="33" t="s">
        <v>334</v>
      </c>
      <c r="TWT105" s="33" t="s">
        <v>334</v>
      </c>
      <c r="TWU105" s="33" t="s">
        <v>334</v>
      </c>
      <c r="TWV105" s="33" t="s">
        <v>334</v>
      </c>
      <c r="TWW105" s="33" t="s">
        <v>334</v>
      </c>
      <c r="TWX105" s="33" t="s">
        <v>334</v>
      </c>
      <c r="TWY105" s="33" t="s">
        <v>334</v>
      </c>
      <c r="TWZ105" s="33" t="s">
        <v>334</v>
      </c>
      <c r="TXA105" s="33" t="s">
        <v>334</v>
      </c>
      <c r="TXB105" s="33" t="s">
        <v>334</v>
      </c>
      <c r="TXC105" s="33" t="s">
        <v>334</v>
      </c>
      <c r="TXD105" s="33" t="s">
        <v>334</v>
      </c>
      <c r="TXE105" s="33" t="s">
        <v>334</v>
      </c>
      <c r="TXF105" s="33" t="s">
        <v>334</v>
      </c>
      <c r="TXG105" s="33" t="s">
        <v>334</v>
      </c>
      <c r="TXH105" s="33" t="s">
        <v>334</v>
      </c>
      <c r="TXI105" s="33" t="s">
        <v>334</v>
      </c>
      <c r="TXJ105" s="33" t="s">
        <v>334</v>
      </c>
      <c r="TXK105" s="33" t="s">
        <v>334</v>
      </c>
      <c r="TXL105" s="33" t="s">
        <v>334</v>
      </c>
      <c r="TXM105" s="33" t="s">
        <v>334</v>
      </c>
      <c r="TXN105" s="33" t="s">
        <v>334</v>
      </c>
      <c r="TXO105" s="33" t="s">
        <v>334</v>
      </c>
      <c r="TXP105" s="33" t="s">
        <v>334</v>
      </c>
      <c r="TXQ105" s="33" t="s">
        <v>334</v>
      </c>
      <c r="TXR105" s="33" t="s">
        <v>334</v>
      </c>
      <c r="TXS105" s="33" t="s">
        <v>334</v>
      </c>
      <c r="TXT105" s="33" t="s">
        <v>334</v>
      </c>
      <c r="TXU105" s="33" t="s">
        <v>334</v>
      </c>
      <c r="TXV105" s="33" t="s">
        <v>334</v>
      </c>
      <c r="TXW105" s="33" t="s">
        <v>334</v>
      </c>
      <c r="TXX105" s="33" t="s">
        <v>334</v>
      </c>
      <c r="TXY105" s="33" t="s">
        <v>334</v>
      </c>
      <c r="TXZ105" s="33" t="s">
        <v>334</v>
      </c>
      <c r="TYA105" s="33" t="s">
        <v>334</v>
      </c>
      <c r="TYB105" s="33" t="s">
        <v>334</v>
      </c>
      <c r="TYC105" s="33" t="s">
        <v>334</v>
      </c>
      <c r="TYD105" s="33" t="s">
        <v>334</v>
      </c>
      <c r="TYE105" s="33" t="s">
        <v>334</v>
      </c>
      <c r="TYF105" s="33" t="s">
        <v>334</v>
      </c>
      <c r="TYG105" s="33" t="s">
        <v>334</v>
      </c>
      <c r="TYH105" s="33" t="s">
        <v>334</v>
      </c>
      <c r="TYI105" s="33" t="s">
        <v>334</v>
      </c>
      <c r="TYJ105" s="33" t="s">
        <v>334</v>
      </c>
      <c r="TYK105" s="33" t="s">
        <v>334</v>
      </c>
      <c r="TYL105" s="33" t="s">
        <v>334</v>
      </c>
      <c r="TYM105" s="33" t="s">
        <v>334</v>
      </c>
      <c r="TYN105" s="33" t="s">
        <v>334</v>
      </c>
      <c r="TYO105" s="33" t="s">
        <v>334</v>
      </c>
      <c r="TYP105" s="33" t="s">
        <v>334</v>
      </c>
      <c r="TYQ105" s="33" t="s">
        <v>334</v>
      </c>
      <c r="TYR105" s="33" t="s">
        <v>334</v>
      </c>
      <c r="TYS105" s="33" t="s">
        <v>334</v>
      </c>
      <c r="TYT105" s="33" t="s">
        <v>334</v>
      </c>
      <c r="TYU105" s="33" t="s">
        <v>334</v>
      </c>
      <c r="TYV105" s="33" t="s">
        <v>334</v>
      </c>
      <c r="TYW105" s="33" t="s">
        <v>334</v>
      </c>
      <c r="TYX105" s="33" t="s">
        <v>334</v>
      </c>
      <c r="TYY105" s="33" t="s">
        <v>334</v>
      </c>
      <c r="TYZ105" s="33" t="s">
        <v>334</v>
      </c>
      <c r="TZA105" s="33" t="s">
        <v>334</v>
      </c>
      <c r="TZB105" s="33" t="s">
        <v>334</v>
      </c>
      <c r="TZC105" s="33" t="s">
        <v>334</v>
      </c>
      <c r="TZD105" s="33" t="s">
        <v>334</v>
      </c>
      <c r="TZE105" s="33" t="s">
        <v>334</v>
      </c>
      <c r="TZF105" s="33" t="s">
        <v>334</v>
      </c>
      <c r="TZG105" s="33" t="s">
        <v>334</v>
      </c>
      <c r="TZH105" s="33" t="s">
        <v>334</v>
      </c>
      <c r="TZI105" s="33" t="s">
        <v>334</v>
      </c>
      <c r="TZJ105" s="33" t="s">
        <v>334</v>
      </c>
      <c r="TZK105" s="33" t="s">
        <v>334</v>
      </c>
      <c r="TZL105" s="33" t="s">
        <v>334</v>
      </c>
      <c r="TZM105" s="33" t="s">
        <v>334</v>
      </c>
      <c r="TZN105" s="33" t="s">
        <v>334</v>
      </c>
      <c r="TZO105" s="33" t="s">
        <v>334</v>
      </c>
      <c r="TZP105" s="33" t="s">
        <v>334</v>
      </c>
      <c r="TZQ105" s="33" t="s">
        <v>334</v>
      </c>
      <c r="TZR105" s="33" t="s">
        <v>334</v>
      </c>
      <c r="TZS105" s="33" t="s">
        <v>334</v>
      </c>
      <c r="TZT105" s="33" t="s">
        <v>334</v>
      </c>
      <c r="TZU105" s="33" t="s">
        <v>334</v>
      </c>
      <c r="TZV105" s="33" t="s">
        <v>334</v>
      </c>
      <c r="TZW105" s="33" t="s">
        <v>334</v>
      </c>
      <c r="TZX105" s="33" t="s">
        <v>334</v>
      </c>
      <c r="TZY105" s="33" t="s">
        <v>334</v>
      </c>
      <c r="TZZ105" s="33" t="s">
        <v>334</v>
      </c>
      <c r="UAA105" s="33" t="s">
        <v>334</v>
      </c>
      <c r="UAB105" s="33" t="s">
        <v>334</v>
      </c>
      <c r="UAC105" s="33" t="s">
        <v>334</v>
      </c>
      <c r="UAD105" s="33" t="s">
        <v>334</v>
      </c>
      <c r="UAE105" s="33" t="s">
        <v>334</v>
      </c>
      <c r="UAF105" s="33" t="s">
        <v>334</v>
      </c>
      <c r="UAG105" s="33" t="s">
        <v>334</v>
      </c>
      <c r="UAH105" s="33" t="s">
        <v>334</v>
      </c>
      <c r="UAI105" s="33" t="s">
        <v>334</v>
      </c>
      <c r="UAJ105" s="33" t="s">
        <v>334</v>
      </c>
      <c r="UAK105" s="33" t="s">
        <v>334</v>
      </c>
      <c r="UAL105" s="33" t="s">
        <v>334</v>
      </c>
      <c r="UAM105" s="33" t="s">
        <v>334</v>
      </c>
      <c r="UAN105" s="33" t="s">
        <v>334</v>
      </c>
      <c r="UAO105" s="33" t="s">
        <v>334</v>
      </c>
      <c r="UAP105" s="33" t="s">
        <v>334</v>
      </c>
      <c r="UAQ105" s="33" t="s">
        <v>334</v>
      </c>
      <c r="UAR105" s="33" t="s">
        <v>334</v>
      </c>
      <c r="UAS105" s="33" t="s">
        <v>334</v>
      </c>
      <c r="UAT105" s="33" t="s">
        <v>334</v>
      </c>
      <c r="UAU105" s="33" t="s">
        <v>334</v>
      </c>
      <c r="UAV105" s="33" t="s">
        <v>334</v>
      </c>
      <c r="UAW105" s="33" t="s">
        <v>334</v>
      </c>
      <c r="UAX105" s="33" t="s">
        <v>334</v>
      </c>
      <c r="UAY105" s="33" t="s">
        <v>334</v>
      </c>
      <c r="UAZ105" s="33" t="s">
        <v>334</v>
      </c>
      <c r="UBA105" s="33" t="s">
        <v>334</v>
      </c>
      <c r="UBB105" s="33" t="s">
        <v>334</v>
      </c>
      <c r="UBC105" s="33" t="s">
        <v>334</v>
      </c>
      <c r="UBD105" s="33" t="s">
        <v>334</v>
      </c>
      <c r="UBE105" s="33" t="s">
        <v>334</v>
      </c>
      <c r="UBF105" s="33" t="s">
        <v>334</v>
      </c>
      <c r="UBG105" s="33" t="s">
        <v>334</v>
      </c>
      <c r="UBH105" s="33" t="s">
        <v>334</v>
      </c>
      <c r="UBI105" s="33" t="s">
        <v>334</v>
      </c>
      <c r="UBJ105" s="33" t="s">
        <v>334</v>
      </c>
      <c r="UBK105" s="33" t="s">
        <v>334</v>
      </c>
      <c r="UBL105" s="33" t="s">
        <v>334</v>
      </c>
      <c r="UBM105" s="33" t="s">
        <v>334</v>
      </c>
      <c r="UBN105" s="33" t="s">
        <v>334</v>
      </c>
      <c r="UBO105" s="33" t="s">
        <v>334</v>
      </c>
      <c r="UBP105" s="33" t="s">
        <v>334</v>
      </c>
      <c r="UBQ105" s="33" t="s">
        <v>334</v>
      </c>
      <c r="UBR105" s="33" t="s">
        <v>334</v>
      </c>
      <c r="UBS105" s="33" t="s">
        <v>334</v>
      </c>
      <c r="UBT105" s="33" t="s">
        <v>334</v>
      </c>
      <c r="UBU105" s="33" t="s">
        <v>334</v>
      </c>
      <c r="UBV105" s="33" t="s">
        <v>334</v>
      </c>
      <c r="UBW105" s="33" t="s">
        <v>334</v>
      </c>
      <c r="UBX105" s="33" t="s">
        <v>334</v>
      </c>
      <c r="UBY105" s="33" t="s">
        <v>334</v>
      </c>
      <c r="UBZ105" s="33" t="s">
        <v>334</v>
      </c>
      <c r="UCA105" s="33" t="s">
        <v>334</v>
      </c>
      <c r="UCB105" s="33" t="s">
        <v>334</v>
      </c>
      <c r="UCC105" s="33" t="s">
        <v>334</v>
      </c>
      <c r="UCD105" s="33" t="s">
        <v>334</v>
      </c>
      <c r="UCE105" s="33" t="s">
        <v>334</v>
      </c>
      <c r="UCF105" s="33" t="s">
        <v>334</v>
      </c>
      <c r="UCG105" s="33" t="s">
        <v>334</v>
      </c>
      <c r="UCH105" s="33" t="s">
        <v>334</v>
      </c>
      <c r="UCI105" s="33" t="s">
        <v>334</v>
      </c>
      <c r="UCJ105" s="33" t="s">
        <v>334</v>
      </c>
      <c r="UCK105" s="33" t="s">
        <v>334</v>
      </c>
      <c r="UCL105" s="33" t="s">
        <v>334</v>
      </c>
      <c r="UCM105" s="33" t="s">
        <v>334</v>
      </c>
      <c r="UCN105" s="33" t="s">
        <v>334</v>
      </c>
      <c r="UCO105" s="33" t="s">
        <v>334</v>
      </c>
      <c r="UCP105" s="33" t="s">
        <v>334</v>
      </c>
      <c r="UCQ105" s="33" t="s">
        <v>334</v>
      </c>
      <c r="UCR105" s="33" t="s">
        <v>334</v>
      </c>
      <c r="UCS105" s="33" t="s">
        <v>334</v>
      </c>
      <c r="UCT105" s="33" t="s">
        <v>334</v>
      </c>
      <c r="UCU105" s="33" t="s">
        <v>334</v>
      </c>
      <c r="UCV105" s="33" t="s">
        <v>334</v>
      </c>
      <c r="UCW105" s="33" t="s">
        <v>334</v>
      </c>
      <c r="UCX105" s="33" t="s">
        <v>334</v>
      </c>
      <c r="UCY105" s="33" t="s">
        <v>334</v>
      </c>
      <c r="UCZ105" s="33" t="s">
        <v>334</v>
      </c>
      <c r="UDA105" s="33" t="s">
        <v>334</v>
      </c>
      <c r="UDB105" s="33" t="s">
        <v>334</v>
      </c>
      <c r="UDC105" s="33" t="s">
        <v>334</v>
      </c>
      <c r="UDD105" s="33" t="s">
        <v>334</v>
      </c>
      <c r="UDE105" s="33" t="s">
        <v>334</v>
      </c>
      <c r="UDF105" s="33" t="s">
        <v>334</v>
      </c>
      <c r="UDG105" s="33" t="s">
        <v>334</v>
      </c>
      <c r="UDH105" s="33" t="s">
        <v>334</v>
      </c>
      <c r="UDI105" s="33" t="s">
        <v>334</v>
      </c>
      <c r="UDJ105" s="33" t="s">
        <v>334</v>
      </c>
      <c r="UDK105" s="33" t="s">
        <v>334</v>
      </c>
      <c r="UDL105" s="33" t="s">
        <v>334</v>
      </c>
      <c r="UDM105" s="33" t="s">
        <v>334</v>
      </c>
      <c r="UDN105" s="33" t="s">
        <v>334</v>
      </c>
      <c r="UDO105" s="33" t="s">
        <v>334</v>
      </c>
      <c r="UDP105" s="33" t="s">
        <v>334</v>
      </c>
      <c r="UDQ105" s="33" t="s">
        <v>334</v>
      </c>
      <c r="UDR105" s="33" t="s">
        <v>334</v>
      </c>
      <c r="UDS105" s="33" t="s">
        <v>334</v>
      </c>
      <c r="UDT105" s="33" t="s">
        <v>334</v>
      </c>
      <c r="UDU105" s="33" t="s">
        <v>334</v>
      </c>
      <c r="UDV105" s="33" t="s">
        <v>334</v>
      </c>
      <c r="UDW105" s="33" t="s">
        <v>334</v>
      </c>
      <c r="UDX105" s="33" t="s">
        <v>334</v>
      </c>
      <c r="UDY105" s="33" t="s">
        <v>334</v>
      </c>
      <c r="UDZ105" s="33" t="s">
        <v>334</v>
      </c>
      <c r="UEA105" s="33" t="s">
        <v>334</v>
      </c>
      <c r="UEB105" s="33" t="s">
        <v>334</v>
      </c>
      <c r="UEC105" s="33" t="s">
        <v>334</v>
      </c>
      <c r="UED105" s="33" t="s">
        <v>334</v>
      </c>
      <c r="UEE105" s="33" t="s">
        <v>334</v>
      </c>
      <c r="UEF105" s="33" t="s">
        <v>334</v>
      </c>
      <c r="UEG105" s="33" t="s">
        <v>334</v>
      </c>
      <c r="UEH105" s="33" t="s">
        <v>334</v>
      </c>
      <c r="UEI105" s="33" t="s">
        <v>334</v>
      </c>
      <c r="UEJ105" s="33" t="s">
        <v>334</v>
      </c>
      <c r="UEK105" s="33" t="s">
        <v>334</v>
      </c>
      <c r="UEL105" s="33" t="s">
        <v>334</v>
      </c>
      <c r="UEM105" s="33" t="s">
        <v>334</v>
      </c>
      <c r="UEN105" s="33" t="s">
        <v>334</v>
      </c>
      <c r="UEO105" s="33" t="s">
        <v>334</v>
      </c>
      <c r="UEP105" s="33" t="s">
        <v>334</v>
      </c>
      <c r="UEQ105" s="33" t="s">
        <v>334</v>
      </c>
      <c r="UER105" s="33" t="s">
        <v>334</v>
      </c>
      <c r="UES105" s="33" t="s">
        <v>334</v>
      </c>
      <c r="UET105" s="33" t="s">
        <v>334</v>
      </c>
      <c r="UEU105" s="33" t="s">
        <v>334</v>
      </c>
      <c r="UEV105" s="33" t="s">
        <v>334</v>
      </c>
      <c r="UEW105" s="33" t="s">
        <v>334</v>
      </c>
      <c r="UEX105" s="33" t="s">
        <v>334</v>
      </c>
      <c r="UEY105" s="33" t="s">
        <v>334</v>
      </c>
      <c r="UEZ105" s="33" t="s">
        <v>334</v>
      </c>
      <c r="UFA105" s="33" t="s">
        <v>334</v>
      </c>
      <c r="UFB105" s="33" t="s">
        <v>334</v>
      </c>
      <c r="UFC105" s="33" t="s">
        <v>334</v>
      </c>
      <c r="UFD105" s="33" t="s">
        <v>334</v>
      </c>
      <c r="UFE105" s="33" t="s">
        <v>334</v>
      </c>
      <c r="UFF105" s="33" t="s">
        <v>334</v>
      </c>
      <c r="UFG105" s="33" t="s">
        <v>334</v>
      </c>
      <c r="UFH105" s="33" t="s">
        <v>334</v>
      </c>
      <c r="UFI105" s="33" t="s">
        <v>334</v>
      </c>
      <c r="UFJ105" s="33" t="s">
        <v>334</v>
      </c>
      <c r="UFK105" s="33" t="s">
        <v>334</v>
      </c>
      <c r="UFL105" s="33" t="s">
        <v>334</v>
      </c>
      <c r="UFM105" s="33" t="s">
        <v>334</v>
      </c>
      <c r="UFN105" s="33" t="s">
        <v>334</v>
      </c>
      <c r="UFO105" s="33" t="s">
        <v>334</v>
      </c>
      <c r="UFP105" s="33" t="s">
        <v>334</v>
      </c>
      <c r="UFQ105" s="33" t="s">
        <v>334</v>
      </c>
      <c r="UFR105" s="33" t="s">
        <v>334</v>
      </c>
      <c r="UFS105" s="33" t="s">
        <v>334</v>
      </c>
      <c r="UFT105" s="33" t="s">
        <v>334</v>
      </c>
      <c r="UFU105" s="33" t="s">
        <v>334</v>
      </c>
      <c r="UFV105" s="33" t="s">
        <v>334</v>
      </c>
      <c r="UFW105" s="33" t="s">
        <v>334</v>
      </c>
      <c r="UFX105" s="33" t="s">
        <v>334</v>
      </c>
      <c r="UFY105" s="33" t="s">
        <v>334</v>
      </c>
      <c r="UFZ105" s="33" t="s">
        <v>334</v>
      </c>
      <c r="UGA105" s="33" t="s">
        <v>334</v>
      </c>
      <c r="UGB105" s="33" t="s">
        <v>334</v>
      </c>
      <c r="UGC105" s="33" t="s">
        <v>334</v>
      </c>
      <c r="UGD105" s="33" t="s">
        <v>334</v>
      </c>
      <c r="UGE105" s="33" t="s">
        <v>334</v>
      </c>
      <c r="UGF105" s="33" t="s">
        <v>334</v>
      </c>
      <c r="UGG105" s="33" t="s">
        <v>334</v>
      </c>
      <c r="UGH105" s="33" t="s">
        <v>334</v>
      </c>
      <c r="UGI105" s="33" t="s">
        <v>334</v>
      </c>
      <c r="UGJ105" s="33" t="s">
        <v>334</v>
      </c>
      <c r="UGK105" s="33" t="s">
        <v>334</v>
      </c>
      <c r="UGL105" s="33" t="s">
        <v>334</v>
      </c>
      <c r="UGM105" s="33" t="s">
        <v>334</v>
      </c>
      <c r="UGN105" s="33" t="s">
        <v>334</v>
      </c>
      <c r="UGO105" s="33" t="s">
        <v>334</v>
      </c>
      <c r="UGP105" s="33" t="s">
        <v>334</v>
      </c>
      <c r="UGQ105" s="33" t="s">
        <v>334</v>
      </c>
      <c r="UGR105" s="33" t="s">
        <v>334</v>
      </c>
      <c r="UGS105" s="33" t="s">
        <v>334</v>
      </c>
      <c r="UGT105" s="33" t="s">
        <v>334</v>
      </c>
      <c r="UGU105" s="33" t="s">
        <v>334</v>
      </c>
      <c r="UGV105" s="33" t="s">
        <v>334</v>
      </c>
      <c r="UGW105" s="33" t="s">
        <v>334</v>
      </c>
      <c r="UGX105" s="33" t="s">
        <v>334</v>
      </c>
      <c r="UGY105" s="33" t="s">
        <v>334</v>
      </c>
      <c r="UGZ105" s="33" t="s">
        <v>334</v>
      </c>
      <c r="UHA105" s="33" t="s">
        <v>334</v>
      </c>
      <c r="UHB105" s="33" t="s">
        <v>334</v>
      </c>
      <c r="UHC105" s="33" t="s">
        <v>334</v>
      </c>
      <c r="UHD105" s="33" t="s">
        <v>334</v>
      </c>
      <c r="UHE105" s="33" t="s">
        <v>334</v>
      </c>
      <c r="UHF105" s="33" t="s">
        <v>334</v>
      </c>
      <c r="UHG105" s="33" t="s">
        <v>334</v>
      </c>
      <c r="UHH105" s="33" t="s">
        <v>334</v>
      </c>
      <c r="UHI105" s="33" t="s">
        <v>334</v>
      </c>
      <c r="UHJ105" s="33" t="s">
        <v>334</v>
      </c>
      <c r="UHK105" s="33" t="s">
        <v>334</v>
      </c>
      <c r="UHL105" s="33" t="s">
        <v>334</v>
      </c>
      <c r="UHM105" s="33" t="s">
        <v>334</v>
      </c>
      <c r="UHN105" s="33" t="s">
        <v>334</v>
      </c>
      <c r="UHO105" s="33" t="s">
        <v>334</v>
      </c>
      <c r="UHP105" s="33" t="s">
        <v>334</v>
      </c>
      <c r="UHQ105" s="33" t="s">
        <v>334</v>
      </c>
      <c r="UHR105" s="33" t="s">
        <v>334</v>
      </c>
      <c r="UHS105" s="33" t="s">
        <v>334</v>
      </c>
      <c r="UHT105" s="33" t="s">
        <v>334</v>
      </c>
      <c r="UHU105" s="33" t="s">
        <v>334</v>
      </c>
      <c r="UHV105" s="33" t="s">
        <v>334</v>
      </c>
      <c r="UHW105" s="33" t="s">
        <v>334</v>
      </c>
      <c r="UHX105" s="33" t="s">
        <v>334</v>
      </c>
      <c r="UHY105" s="33" t="s">
        <v>334</v>
      </c>
      <c r="UHZ105" s="33" t="s">
        <v>334</v>
      </c>
      <c r="UIA105" s="33" t="s">
        <v>334</v>
      </c>
      <c r="UIB105" s="33" t="s">
        <v>334</v>
      </c>
      <c r="UIC105" s="33" t="s">
        <v>334</v>
      </c>
      <c r="UID105" s="33" t="s">
        <v>334</v>
      </c>
      <c r="UIE105" s="33" t="s">
        <v>334</v>
      </c>
      <c r="UIF105" s="33" t="s">
        <v>334</v>
      </c>
      <c r="UIG105" s="33" t="s">
        <v>334</v>
      </c>
      <c r="UIH105" s="33" t="s">
        <v>334</v>
      </c>
      <c r="UII105" s="33" t="s">
        <v>334</v>
      </c>
      <c r="UIJ105" s="33" t="s">
        <v>334</v>
      </c>
      <c r="UIK105" s="33" t="s">
        <v>334</v>
      </c>
      <c r="UIL105" s="33" t="s">
        <v>334</v>
      </c>
      <c r="UIM105" s="33" t="s">
        <v>334</v>
      </c>
      <c r="UIN105" s="33" t="s">
        <v>334</v>
      </c>
      <c r="UIO105" s="33" t="s">
        <v>334</v>
      </c>
      <c r="UIP105" s="33" t="s">
        <v>334</v>
      </c>
      <c r="UIQ105" s="33" t="s">
        <v>334</v>
      </c>
      <c r="UIR105" s="33" t="s">
        <v>334</v>
      </c>
      <c r="UIS105" s="33" t="s">
        <v>334</v>
      </c>
      <c r="UIT105" s="33" t="s">
        <v>334</v>
      </c>
      <c r="UIU105" s="33" t="s">
        <v>334</v>
      </c>
      <c r="UIV105" s="33" t="s">
        <v>334</v>
      </c>
      <c r="UIW105" s="33" t="s">
        <v>334</v>
      </c>
      <c r="UIX105" s="33" t="s">
        <v>334</v>
      </c>
      <c r="UIY105" s="33" t="s">
        <v>334</v>
      </c>
      <c r="UIZ105" s="33" t="s">
        <v>334</v>
      </c>
      <c r="UJA105" s="33" t="s">
        <v>334</v>
      </c>
      <c r="UJB105" s="33" t="s">
        <v>334</v>
      </c>
      <c r="UJC105" s="33" t="s">
        <v>334</v>
      </c>
      <c r="UJD105" s="33" t="s">
        <v>334</v>
      </c>
      <c r="UJE105" s="33" t="s">
        <v>334</v>
      </c>
      <c r="UJF105" s="33" t="s">
        <v>334</v>
      </c>
      <c r="UJG105" s="33" t="s">
        <v>334</v>
      </c>
      <c r="UJH105" s="33" t="s">
        <v>334</v>
      </c>
      <c r="UJI105" s="33" t="s">
        <v>334</v>
      </c>
      <c r="UJJ105" s="33" t="s">
        <v>334</v>
      </c>
      <c r="UJK105" s="33" t="s">
        <v>334</v>
      </c>
      <c r="UJL105" s="33" t="s">
        <v>334</v>
      </c>
      <c r="UJM105" s="33" t="s">
        <v>334</v>
      </c>
      <c r="UJN105" s="33" t="s">
        <v>334</v>
      </c>
      <c r="UJO105" s="33" t="s">
        <v>334</v>
      </c>
      <c r="UJP105" s="33" t="s">
        <v>334</v>
      </c>
      <c r="UJQ105" s="33" t="s">
        <v>334</v>
      </c>
      <c r="UJR105" s="33" t="s">
        <v>334</v>
      </c>
      <c r="UJS105" s="33" t="s">
        <v>334</v>
      </c>
      <c r="UJT105" s="33" t="s">
        <v>334</v>
      </c>
      <c r="UJU105" s="33" t="s">
        <v>334</v>
      </c>
      <c r="UJV105" s="33" t="s">
        <v>334</v>
      </c>
      <c r="UJW105" s="33" t="s">
        <v>334</v>
      </c>
      <c r="UJX105" s="33" t="s">
        <v>334</v>
      </c>
      <c r="UJY105" s="33" t="s">
        <v>334</v>
      </c>
      <c r="UJZ105" s="33" t="s">
        <v>334</v>
      </c>
      <c r="UKA105" s="33" t="s">
        <v>334</v>
      </c>
      <c r="UKB105" s="33" t="s">
        <v>334</v>
      </c>
      <c r="UKC105" s="33" t="s">
        <v>334</v>
      </c>
      <c r="UKD105" s="33" t="s">
        <v>334</v>
      </c>
      <c r="UKE105" s="33" t="s">
        <v>334</v>
      </c>
      <c r="UKF105" s="33" t="s">
        <v>334</v>
      </c>
      <c r="UKG105" s="33" t="s">
        <v>334</v>
      </c>
      <c r="UKH105" s="33" t="s">
        <v>334</v>
      </c>
      <c r="UKI105" s="33" t="s">
        <v>334</v>
      </c>
      <c r="UKJ105" s="33" t="s">
        <v>334</v>
      </c>
      <c r="UKK105" s="33" t="s">
        <v>334</v>
      </c>
      <c r="UKL105" s="33" t="s">
        <v>334</v>
      </c>
      <c r="UKM105" s="33" t="s">
        <v>334</v>
      </c>
      <c r="UKN105" s="33" t="s">
        <v>334</v>
      </c>
      <c r="UKO105" s="33" t="s">
        <v>334</v>
      </c>
      <c r="UKP105" s="33" t="s">
        <v>334</v>
      </c>
      <c r="UKQ105" s="33" t="s">
        <v>334</v>
      </c>
      <c r="UKR105" s="33" t="s">
        <v>334</v>
      </c>
      <c r="UKS105" s="33" t="s">
        <v>334</v>
      </c>
      <c r="UKT105" s="33" t="s">
        <v>334</v>
      </c>
      <c r="UKU105" s="33" t="s">
        <v>334</v>
      </c>
      <c r="UKV105" s="33" t="s">
        <v>334</v>
      </c>
      <c r="UKW105" s="33" t="s">
        <v>334</v>
      </c>
      <c r="UKX105" s="33" t="s">
        <v>334</v>
      </c>
      <c r="UKY105" s="33" t="s">
        <v>334</v>
      </c>
      <c r="UKZ105" s="33" t="s">
        <v>334</v>
      </c>
      <c r="ULA105" s="33" t="s">
        <v>334</v>
      </c>
      <c r="ULB105" s="33" t="s">
        <v>334</v>
      </c>
      <c r="ULC105" s="33" t="s">
        <v>334</v>
      </c>
      <c r="ULD105" s="33" t="s">
        <v>334</v>
      </c>
      <c r="ULE105" s="33" t="s">
        <v>334</v>
      </c>
      <c r="ULF105" s="33" t="s">
        <v>334</v>
      </c>
      <c r="ULG105" s="33" t="s">
        <v>334</v>
      </c>
      <c r="ULH105" s="33" t="s">
        <v>334</v>
      </c>
      <c r="ULI105" s="33" t="s">
        <v>334</v>
      </c>
      <c r="ULJ105" s="33" t="s">
        <v>334</v>
      </c>
      <c r="ULK105" s="33" t="s">
        <v>334</v>
      </c>
      <c r="ULL105" s="33" t="s">
        <v>334</v>
      </c>
      <c r="ULM105" s="33" t="s">
        <v>334</v>
      </c>
      <c r="ULN105" s="33" t="s">
        <v>334</v>
      </c>
      <c r="ULO105" s="33" t="s">
        <v>334</v>
      </c>
      <c r="ULP105" s="33" t="s">
        <v>334</v>
      </c>
      <c r="ULQ105" s="33" t="s">
        <v>334</v>
      </c>
      <c r="ULR105" s="33" t="s">
        <v>334</v>
      </c>
      <c r="ULS105" s="33" t="s">
        <v>334</v>
      </c>
      <c r="ULT105" s="33" t="s">
        <v>334</v>
      </c>
      <c r="ULU105" s="33" t="s">
        <v>334</v>
      </c>
      <c r="ULV105" s="33" t="s">
        <v>334</v>
      </c>
      <c r="ULW105" s="33" t="s">
        <v>334</v>
      </c>
      <c r="ULX105" s="33" t="s">
        <v>334</v>
      </c>
      <c r="ULY105" s="33" t="s">
        <v>334</v>
      </c>
      <c r="ULZ105" s="33" t="s">
        <v>334</v>
      </c>
      <c r="UMA105" s="33" t="s">
        <v>334</v>
      </c>
      <c r="UMB105" s="33" t="s">
        <v>334</v>
      </c>
      <c r="UMC105" s="33" t="s">
        <v>334</v>
      </c>
      <c r="UMD105" s="33" t="s">
        <v>334</v>
      </c>
      <c r="UME105" s="33" t="s">
        <v>334</v>
      </c>
      <c r="UMF105" s="33" t="s">
        <v>334</v>
      </c>
      <c r="UMG105" s="33" t="s">
        <v>334</v>
      </c>
      <c r="UMH105" s="33" t="s">
        <v>334</v>
      </c>
      <c r="UMI105" s="33" t="s">
        <v>334</v>
      </c>
      <c r="UMJ105" s="33" t="s">
        <v>334</v>
      </c>
      <c r="UMK105" s="33" t="s">
        <v>334</v>
      </c>
      <c r="UML105" s="33" t="s">
        <v>334</v>
      </c>
      <c r="UMM105" s="33" t="s">
        <v>334</v>
      </c>
      <c r="UMN105" s="33" t="s">
        <v>334</v>
      </c>
      <c r="UMO105" s="33" t="s">
        <v>334</v>
      </c>
      <c r="UMP105" s="33" t="s">
        <v>334</v>
      </c>
      <c r="UMQ105" s="33" t="s">
        <v>334</v>
      </c>
      <c r="UMR105" s="33" t="s">
        <v>334</v>
      </c>
      <c r="UMS105" s="33" t="s">
        <v>334</v>
      </c>
      <c r="UMT105" s="33" t="s">
        <v>334</v>
      </c>
      <c r="UMU105" s="33" t="s">
        <v>334</v>
      </c>
      <c r="UMV105" s="33" t="s">
        <v>334</v>
      </c>
      <c r="UMW105" s="33" t="s">
        <v>334</v>
      </c>
      <c r="UMX105" s="33" t="s">
        <v>334</v>
      </c>
      <c r="UMY105" s="33" t="s">
        <v>334</v>
      </c>
      <c r="UMZ105" s="33" t="s">
        <v>334</v>
      </c>
      <c r="UNA105" s="33" t="s">
        <v>334</v>
      </c>
      <c r="UNB105" s="33" t="s">
        <v>334</v>
      </c>
      <c r="UNC105" s="33" t="s">
        <v>334</v>
      </c>
      <c r="UND105" s="33" t="s">
        <v>334</v>
      </c>
      <c r="UNE105" s="33" t="s">
        <v>334</v>
      </c>
      <c r="UNF105" s="33" t="s">
        <v>334</v>
      </c>
      <c r="UNG105" s="33" t="s">
        <v>334</v>
      </c>
      <c r="UNH105" s="33" t="s">
        <v>334</v>
      </c>
      <c r="UNI105" s="33" t="s">
        <v>334</v>
      </c>
      <c r="UNJ105" s="33" t="s">
        <v>334</v>
      </c>
      <c r="UNK105" s="33" t="s">
        <v>334</v>
      </c>
      <c r="UNL105" s="33" t="s">
        <v>334</v>
      </c>
      <c r="UNM105" s="33" t="s">
        <v>334</v>
      </c>
      <c r="UNN105" s="33" t="s">
        <v>334</v>
      </c>
      <c r="UNO105" s="33" t="s">
        <v>334</v>
      </c>
      <c r="UNP105" s="33" t="s">
        <v>334</v>
      </c>
      <c r="UNQ105" s="33" t="s">
        <v>334</v>
      </c>
      <c r="UNR105" s="33" t="s">
        <v>334</v>
      </c>
      <c r="UNS105" s="33" t="s">
        <v>334</v>
      </c>
      <c r="UNT105" s="33" t="s">
        <v>334</v>
      </c>
      <c r="UNU105" s="33" t="s">
        <v>334</v>
      </c>
      <c r="UNV105" s="33" t="s">
        <v>334</v>
      </c>
      <c r="UNW105" s="33" t="s">
        <v>334</v>
      </c>
      <c r="UNX105" s="33" t="s">
        <v>334</v>
      </c>
      <c r="UNY105" s="33" t="s">
        <v>334</v>
      </c>
      <c r="UNZ105" s="33" t="s">
        <v>334</v>
      </c>
      <c r="UOA105" s="33" t="s">
        <v>334</v>
      </c>
      <c r="UOB105" s="33" t="s">
        <v>334</v>
      </c>
      <c r="UOC105" s="33" t="s">
        <v>334</v>
      </c>
      <c r="UOD105" s="33" t="s">
        <v>334</v>
      </c>
      <c r="UOE105" s="33" t="s">
        <v>334</v>
      </c>
      <c r="UOF105" s="33" t="s">
        <v>334</v>
      </c>
      <c r="UOG105" s="33" t="s">
        <v>334</v>
      </c>
      <c r="UOH105" s="33" t="s">
        <v>334</v>
      </c>
      <c r="UOI105" s="33" t="s">
        <v>334</v>
      </c>
      <c r="UOJ105" s="33" t="s">
        <v>334</v>
      </c>
      <c r="UOK105" s="33" t="s">
        <v>334</v>
      </c>
      <c r="UOL105" s="33" t="s">
        <v>334</v>
      </c>
      <c r="UOM105" s="33" t="s">
        <v>334</v>
      </c>
      <c r="UON105" s="33" t="s">
        <v>334</v>
      </c>
      <c r="UOO105" s="33" t="s">
        <v>334</v>
      </c>
      <c r="UOP105" s="33" t="s">
        <v>334</v>
      </c>
      <c r="UOQ105" s="33" t="s">
        <v>334</v>
      </c>
      <c r="UOR105" s="33" t="s">
        <v>334</v>
      </c>
      <c r="UOS105" s="33" t="s">
        <v>334</v>
      </c>
      <c r="UOT105" s="33" t="s">
        <v>334</v>
      </c>
      <c r="UOU105" s="33" t="s">
        <v>334</v>
      </c>
      <c r="UOV105" s="33" t="s">
        <v>334</v>
      </c>
      <c r="UOW105" s="33" t="s">
        <v>334</v>
      </c>
      <c r="UOX105" s="33" t="s">
        <v>334</v>
      </c>
      <c r="UOY105" s="33" t="s">
        <v>334</v>
      </c>
      <c r="UOZ105" s="33" t="s">
        <v>334</v>
      </c>
      <c r="UPA105" s="33" t="s">
        <v>334</v>
      </c>
      <c r="UPB105" s="33" t="s">
        <v>334</v>
      </c>
      <c r="UPC105" s="33" t="s">
        <v>334</v>
      </c>
      <c r="UPD105" s="33" t="s">
        <v>334</v>
      </c>
      <c r="UPE105" s="33" t="s">
        <v>334</v>
      </c>
      <c r="UPF105" s="33" t="s">
        <v>334</v>
      </c>
      <c r="UPG105" s="33" t="s">
        <v>334</v>
      </c>
      <c r="UPH105" s="33" t="s">
        <v>334</v>
      </c>
      <c r="UPI105" s="33" t="s">
        <v>334</v>
      </c>
      <c r="UPJ105" s="33" t="s">
        <v>334</v>
      </c>
      <c r="UPK105" s="33" t="s">
        <v>334</v>
      </c>
      <c r="UPL105" s="33" t="s">
        <v>334</v>
      </c>
      <c r="UPM105" s="33" t="s">
        <v>334</v>
      </c>
      <c r="UPN105" s="33" t="s">
        <v>334</v>
      </c>
      <c r="UPO105" s="33" t="s">
        <v>334</v>
      </c>
      <c r="UPP105" s="33" t="s">
        <v>334</v>
      </c>
      <c r="UPQ105" s="33" t="s">
        <v>334</v>
      </c>
      <c r="UPR105" s="33" t="s">
        <v>334</v>
      </c>
      <c r="UPS105" s="33" t="s">
        <v>334</v>
      </c>
      <c r="UPT105" s="33" t="s">
        <v>334</v>
      </c>
      <c r="UPU105" s="33" t="s">
        <v>334</v>
      </c>
      <c r="UPV105" s="33" t="s">
        <v>334</v>
      </c>
      <c r="UPW105" s="33" t="s">
        <v>334</v>
      </c>
      <c r="UPX105" s="33" t="s">
        <v>334</v>
      </c>
      <c r="UPY105" s="33" t="s">
        <v>334</v>
      </c>
      <c r="UPZ105" s="33" t="s">
        <v>334</v>
      </c>
      <c r="UQA105" s="33" t="s">
        <v>334</v>
      </c>
      <c r="UQB105" s="33" t="s">
        <v>334</v>
      </c>
      <c r="UQC105" s="33" t="s">
        <v>334</v>
      </c>
      <c r="UQD105" s="33" t="s">
        <v>334</v>
      </c>
      <c r="UQE105" s="33" t="s">
        <v>334</v>
      </c>
      <c r="UQF105" s="33" t="s">
        <v>334</v>
      </c>
      <c r="UQG105" s="33" t="s">
        <v>334</v>
      </c>
      <c r="UQH105" s="33" t="s">
        <v>334</v>
      </c>
      <c r="UQI105" s="33" t="s">
        <v>334</v>
      </c>
      <c r="UQJ105" s="33" t="s">
        <v>334</v>
      </c>
      <c r="UQK105" s="33" t="s">
        <v>334</v>
      </c>
      <c r="UQL105" s="33" t="s">
        <v>334</v>
      </c>
      <c r="UQM105" s="33" t="s">
        <v>334</v>
      </c>
      <c r="UQN105" s="33" t="s">
        <v>334</v>
      </c>
      <c r="UQO105" s="33" t="s">
        <v>334</v>
      </c>
      <c r="UQP105" s="33" t="s">
        <v>334</v>
      </c>
      <c r="UQQ105" s="33" t="s">
        <v>334</v>
      </c>
      <c r="UQR105" s="33" t="s">
        <v>334</v>
      </c>
      <c r="UQS105" s="33" t="s">
        <v>334</v>
      </c>
      <c r="UQT105" s="33" t="s">
        <v>334</v>
      </c>
      <c r="UQU105" s="33" t="s">
        <v>334</v>
      </c>
      <c r="UQV105" s="33" t="s">
        <v>334</v>
      </c>
      <c r="UQW105" s="33" t="s">
        <v>334</v>
      </c>
      <c r="UQX105" s="33" t="s">
        <v>334</v>
      </c>
      <c r="UQY105" s="33" t="s">
        <v>334</v>
      </c>
      <c r="UQZ105" s="33" t="s">
        <v>334</v>
      </c>
      <c r="URA105" s="33" t="s">
        <v>334</v>
      </c>
      <c r="URB105" s="33" t="s">
        <v>334</v>
      </c>
      <c r="URC105" s="33" t="s">
        <v>334</v>
      </c>
      <c r="URD105" s="33" t="s">
        <v>334</v>
      </c>
      <c r="URE105" s="33" t="s">
        <v>334</v>
      </c>
      <c r="URF105" s="33" t="s">
        <v>334</v>
      </c>
      <c r="URG105" s="33" t="s">
        <v>334</v>
      </c>
      <c r="URH105" s="33" t="s">
        <v>334</v>
      </c>
      <c r="URI105" s="33" t="s">
        <v>334</v>
      </c>
      <c r="URJ105" s="33" t="s">
        <v>334</v>
      </c>
      <c r="URK105" s="33" t="s">
        <v>334</v>
      </c>
      <c r="URL105" s="33" t="s">
        <v>334</v>
      </c>
      <c r="URM105" s="33" t="s">
        <v>334</v>
      </c>
      <c r="URN105" s="33" t="s">
        <v>334</v>
      </c>
      <c r="URO105" s="33" t="s">
        <v>334</v>
      </c>
      <c r="URP105" s="33" t="s">
        <v>334</v>
      </c>
      <c r="URQ105" s="33" t="s">
        <v>334</v>
      </c>
      <c r="URR105" s="33" t="s">
        <v>334</v>
      </c>
      <c r="URS105" s="33" t="s">
        <v>334</v>
      </c>
      <c r="URT105" s="33" t="s">
        <v>334</v>
      </c>
      <c r="URU105" s="33" t="s">
        <v>334</v>
      </c>
      <c r="URV105" s="33" t="s">
        <v>334</v>
      </c>
      <c r="URW105" s="33" t="s">
        <v>334</v>
      </c>
      <c r="URX105" s="33" t="s">
        <v>334</v>
      </c>
      <c r="URY105" s="33" t="s">
        <v>334</v>
      </c>
      <c r="URZ105" s="33" t="s">
        <v>334</v>
      </c>
      <c r="USA105" s="33" t="s">
        <v>334</v>
      </c>
      <c r="USB105" s="33" t="s">
        <v>334</v>
      </c>
      <c r="USC105" s="33" t="s">
        <v>334</v>
      </c>
      <c r="USD105" s="33" t="s">
        <v>334</v>
      </c>
      <c r="USE105" s="33" t="s">
        <v>334</v>
      </c>
      <c r="USF105" s="33" t="s">
        <v>334</v>
      </c>
      <c r="USG105" s="33" t="s">
        <v>334</v>
      </c>
      <c r="USH105" s="33" t="s">
        <v>334</v>
      </c>
      <c r="USI105" s="33" t="s">
        <v>334</v>
      </c>
      <c r="USJ105" s="33" t="s">
        <v>334</v>
      </c>
      <c r="USK105" s="33" t="s">
        <v>334</v>
      </c>
      <c r="USL105" s="33" t="s">
        <v>334</v>
      </c>
      <c r="USM105" s="33" t="s">
        <v>334</v>
      </c>
      <c r="USN105" s="33" t="s">
        <v>334</v>
      </c>
      <c r="USO105" s="33" t="s">
        <v>334</v>
      </c>
      <c r="USP105" s="33" t="s">
        <v>334</v>
      </c>
      <c r="USQ105" s="33" t="s">
        <v>334</v>
      </c>
      <c r="USR105" s="33" t="s">
        <v>334</v>
      </c>
      <c r="USS105" s="33" t="s">
        <v>334</v>
      </c>
      <c r="UST105" s="33" t="s">
        <v>334</v>
      </c>
      <c r="USU105" s="33" t="s">
        <v>334</v>
      </c>
      <c r="USV105" s="33" t="s">
        <v>334</v>
      </c>
      <c r="USW105" s="33" t="s">
        <v>334</v>
      </c>
      <c r="USX105" s="33" t="s">
        <v>334</v>
      </c>
      <c r="USY105" s="33" t="s">
        <v>334</v>
      </c>
      <c r="USZ105" s="33" t="s">
        <v>334</v>
      </c>
      <c r="UTA105" s="33" t="s">
        <v>334</v>
      </c>
      <c r="UTB105" s="33" t="s">
        <v>334</v>
      </c>
      <c r="UTC105" s="33" t="s">
        <v>334</v>
      </c>
      <c r="UTD105" s="33" t="s">
        <v>334</v>
      </c>
      <c r="UTE105" s="33" t="s">
        <v>334</v>
      </c>
      <c r="UTF105" s="33" t="s">
        <v>334</v>
      </c>
      <c r="UTG105" s="33" t="s">
        <v>334</v>
      </c>
      <c r="UTH105" s="33" t="s">
        <v>334</v>
      </c>
      <c r="UTI105" s="33" t="s">
        <v>334</v>
      </c>
      <c r="UTJ105" s="33" t="s">
        <v>334</v>
      </c>
      <c r="UTK105" s="33" t="s">
        <v>334</v>
      </c>
      <c r="UTL105" s="33" t="s">
        <v>334</v>
      </c>
      <c r="UTM105" s="33" t="s">
        <v>334</v>
      </c>
      <c r="UTN105" s="33" t="s">
        <v>334</v>
      </c>
      <c r="UTO105" s="33" t="s">
        <v>334</v>
      </c>
      <c r="UTP105" s="33" t="s">
        <v>334</v>
      </c>
      <c r="UTQ105" s="33" t="s">
        <v>334</v>
      </c>
      <c r="UTR105" s="33" t="s">
        <v>334</v>
      </c>
      <c r="UTS105" s="33" t="s">
        <v>334</v>
      </c>
      <c r="UTT105" s="33" t="s">
        <v>334</v>
      </c>
      <c r="UTU105" s="33" t="s">
        <v>334</v>
      </c>
      <c r="UTV105" s="33" t="s">
        <v>334</v>
      </c>
      <c r="UTW105" s="33" t="s">
        <v>334</v>
      </c>
      <c r="UTX105" s="33" t="s">
        <v>334</v>
      </c>
      <c r="UTY105" s="33" t="s">
        <v>334</v>
      </c>
      <c r="UTZ105" s="33" t="s">
        <v>334</v>
      </c>
      <c r="UUA105" s="33" t="s">
        <v>334</v>
      </c>
      <c r="UUB105" s="33" t="s">
        <v>334</v>
      </c>
      <c r="UUC105" s="33" t="s">
        <v>334</v>
      </c>
      <c r="UUD105" s="33" t="s">
        <v>334</v>
      </c>
      <c r="UUE105" s="33" t="s">
        <v>334</v>
      </c>
      <c r="UUF105" s="33" t="s">
        <v>334</v>
      </c>
      <c r="UUG105" s="33" t="s">
        <v>334</v>
      </c>
      <c r="UUH105" s="33" t="s">
        <v>334</v>
      </c>
      <c r="UUI105" s="33" t="s">
        <v>334</v>
      </c>
      <c r="UUJ105" s="33" t="s">
        <v>334</v>
      </c>
      <c r="UUK105" s="33" t="s">
        <v>334</v>
      </c>
      <c r="UUL105" s="33" t="s">
        <v>334</v>
      </c>
      <c r="UUM105" s="33" t="s">
        <v>334</v>
      </c>
      <c r="UUN105" s="33" t="s">
        <v>334</v>
      </c>
      <c r="UUO105" s="33" t="s">
        <v>334</v>
      </c>
      <c r="UUP105" s="33" t="s">
        <v>334</v>
      </c>
      <c r="UUQ105" s="33" t="s">
        <v>334</v>
      </c>
      <c r="UUR105" s="33" t="s">
        <v>334</v>
      </c>
      <c r="UUS105" s="33" t="s">
        <v>334</v>
      </c>
      <c r="UUT105" s="33" t="s">
        <v>334</v>
      </c>
      <c r="UUU105" s="33" t="s">
        <v>334</v>
      </c>
      <c r="UUV105" s="33" t="s">
        <v>334</v>
      </c>
      <c r="UUW105" s="33" t="s">
        <v>334</v>
      </c>
      <c r="UUX105" s="33" t="s">
        <v>334</v>
      </c>
      <c r="UUY105" s="33" t="s">
        <v>334</v>
      </c>
      <c r="UUZ105" s="33" t="s">
        <v>334</v>
      </c>
      <c r="UVA105" s="33" t="s">
        <v>334</v>
      </c>
      <c r="UVB105" s="33" t="s">
        <v>334</v>
      </c>
      <c r="UVC105" s="33" t="s">
        <v>334</v>
      </c>
      <c r="UVD105" s="33" t="s">
        <v>334</v>
      </c>
      <c r="UVE105" s="33" t="s">
        <v>334</v>
      </c>
      <c r="UVF105" s="33" t="s">
        <v>334</v>
      </c>
      <c r="UVG105" s="33" t="s">
        <v>334</v>
      </c>
      <c r="UVH105" s="33" t="s">
        <v>334</v>
      </c>
      <c r="UVI105" s="33" t="s">
        <v>334</v>
      </c>
      <c r="UVJ105" s="33" t="s">
        <v>334</v>
      </c>
      <c r="UVK105" s="33" t="s">
        <v>334</v>
      </c>
      <c r="UVL105" s="33" t="s">
        <v>334</v>
      </c>
      <c r="UVM105" s="33" t="s">
        <v>334</v>
      </c>
      <c r="UVN105" s="33" t="s">
        <v>334</v>
      </c>
      <c r="UVO105" s="33" t="s">
        <v>334</v>
      </c>
      <c r="UVP105" s="33" t="s">
        <v>334</v>
      </c>
      <c r="UVQ105" s="33" t="s">
        <v>334</v>
      </c>
      <c r="UVR105" s="33" t="s">
        <v>334</v>
      </c>
      <c r="UVS105" s="33" t="s">
        <v>334</v>
      </c>
      <c r="UVT105" s="33" t="s">
        <v>334</v>
      </c>
      <c r="UVU105" s="33" t="s">
        <v>334</v>
      </c>
      <c r="UVV105" s="33" t="s">
        <v>334</v>
      </c>
      <c r="UVW105" s="33" t="s">
        <v>334</v>
      </c>
      <c r="UVX105" s="33" t="s">
        <v>334</v>
      </c>
      <c r="UVY105" s="33" t="s">
        <v>334</v>
      </c>
      <c r="UVZ105" s="33" t="s">
        <v>334</v>
      </c>
      <c r="UWA105" s="33" t="s">
        <v>334</v>
      </c>
      <c r="UWB105" s="33" t="s">
        <v>334</v>
      </c>
      <c r="UWC105" s="33" t="s">
        <v>334</v>
      </c>
      <c r="UWD105" s="33" t="s">
        <v>334</v>
      </c>
      <c r="UWE105" s="33" t="s">
        <v>334</v>
      </c>
      <c r="UWF105" s="33" t="s">
        <v>334</v>
      </c>
      <c r="UWG105" s="33" t="s">
        <v>334</v>
      </c>
      <c r="UWH105" s="33" t="s">
        <v>334</v>
      </c>
      <c r="UWI105" s="33" t="s">
        <v>334</v>
      </c>
      <c r="UWJ105" s="33" t="s">
        <v>334</v>
      </c>
      <c r="UWK105" s="33" t="s">
        <v>334</v>
      </c>
      <c r="UWL105" s="33" t="s">
        <v>334</v>
      </c>
      <c r="UWM105" s="33" t="s">
        <v>334</v>
      </c>
      <c r="UWN105" s="33" t="s">
        <v>334</v>
      </c>
      <c r="UWO105" s="33" t="s">
        <v>334</v>
      </c>
      <c r="UWP105" s="33" t="s">
        <v>334</v>
      </c>
      <c r="UWQ105" s="33" t="s">
        <v>334</v>
      </c>
      <c r="UWR105" s="33" t="s">
        <v>334</v>
      </c>
      <c r="UWS105" s="33" t="s">
        <v>334</v>
      </c>
      <c r="UWT105" s="33" t="s">
        <v>334</v>
      </c>
      <c r="UWU105" s="33" t="s">
        <v>334</v>
      </c>
      <c r="UWV105" s="33" t="s">
        <v>334</v>
      </c>
      <c r="UWW105" s="33" t="s">
        <v>334</v>
      </c>
      <c r="UWX105" s="33" t="s">
        <v>334</v>
      </c>
      <c r="UWY105" s="33" t="s">
        <v>334</v>
      </c>
      <c r="UWZ105" s="33" t="s">
        <v>334</v>
      </c>
      <c r="UXA105" s="33" t="s">
        <v>334</v>
      </c>
      <c r="UXB105" s="33" t="s">
        <v>334</v>
      </c>
      <c r="UXC105" s="33" t="s">
        <v>334</v>
      </c>
      <c r="UXD105" s="33" t="s">
        <v>334</v>
      </c>
      <c r="UXE105" s="33" t="s">
        <v>334</v>
      </c>
      <c r="UXF105" s="33" t="s">
        <v>334</v>
      </c>
      <c r="UXG105" s="33" t="s">
        <v>334</v>
      </c>
      <c r="UXH105" s="33" t="s">
        <v>334</v>
      </c>
      <c r="UXI105" s="33" t="s">
        <v>334</v>
      </c>
      <c r="UXJ105" s="33" t="s">
        <v>334</v>
      </c>
      <c r="UXK105" s="33" t="s">
        <v>334</v>
      </c>
      <c r="UXL105" s="33" t="s">
        <v>334</v>
      </c>
      <c r="UXM105" s="33" t="s">
        <v>334</v>
      </c>
      <c r="UXN105" s="33" t="s">
        <v>334</v>
      </c>
      <c r="UXO105" s="33" t="s">
        <v>334</v>
      </c>
      <c r="UXP105" s="33" t="s">
        <v>334</v>
      </c>
      <c r="UXQ105" s="33" t="s">
        <v>334</v>
      </c>
      <c r="UXR105" s="33" t="s">
        <v>334</v>
      </c>
      <c r="UXS105" s="33" t="s">
        <v>334</v>
      </c>
      <c r="UXT105" s="33" t="s">
        <v>334</v>
      </c>
      <c r="UXU105" s="33" t="s">
        <v>334</v>
      </c>
      <c r="UXV105" s="33" t="s">
        <v>334</v>
      </c>
      <c r="UXW105" s="33" t="s">
        <v>334</v>
      </c>
      <c r="UXX105" s="33" t="s">
        <v>334</v>
      </c>
      <c r="UXY105" s="33" t="s">
        <v>334</v>
      </c>
      <c r="UXZ105" s="33" t="s">
        <v>334</v>
      </c>
      <c r="UYA105" s="33" t="s">
        <v>334</v>
      </c>
      <c r="UYB105" s="33" t="s">
        <v>334</v>
      </c>
      <c r="UYC105" s="33" t="s">
        <v>334</v>
      </c>
      <c r="UYD105" s="33" t="s">
        <v>334</v>
      </c>
      <c r="UYE105" s="33" t="s">
        <v>334</v>
      </c>
      <c r="UYF105" s="33" t="s">
        <v>334</v>
      </c>
      <c r="UYG105" s="33" t="s">
        <v>334</v>
      </c>
      <c r="UYH105" s="33" t="s">
        <v>334</v>
      </c>
      <c r="UYI105" s="33" t="s">
        <v>334</v>
      </c>
      <c r="UYJ105" s="33" t="s">
        <v>334</v>
      </c>
      <c r="UYK105" s="33" t="s">
        <v>334</v>
      </c>
      <c r="UYL105" s="33" t="s">
        <v>334</v>
      </c>
      <c r="UYM105" s="33" t="s">
        <v>334</v>
      </c>
      <c r="UYN105" s="33" t="s">
        <v>334</v>
      </c>
      <c r="UYO105" s="33" t="s">
        <v>334</v>
      </c>
      <c r="UYP105" s="33" t="s">
        <v>334</v>
      </c>
      <c r="UYQ105" s="33" t="s">
        <v>334</v>
      </c>
      <c r="UYR105" s="33" t="s">
        <v>334</v>
      </c>
      <c r="UYS105" s="33" t="s">
        <v>334</v>
      </c>
      <c r="UYT105" s="33" t="s">
        <v>334</v>
      </c>
      <c r="UYU105" s="33" t="s">
        <v>334</v>
      </c>
      <c r="UYV105" s="33" t="s">
        <v>334</v>
      </c>
      <c r="UYW105" s="33" t="s">
        <v>334</v>
      </c>
      <c r="UYX105" s="33" t="s">
        <v>334</v>
      </c>
      <c r="UYY105" s="33" t="s">
        <v>334</v>
      </c>
      <c r="UYZ105" s="33" t="s">
        <v>334</v>
      </c>
      <c r="UZA105" s="33" t="s">
        <v>334</v>
      </c>
      <c r="UZB105" s="33" t="s">
        <v>334</v>
      </c>
      <c r="UZC105" s="33" t="s">
        <v>334</v>
      </c>
      <c r="UZD105" s="33" t="s">
        <v>334</v>
      </c>
      <c r="UZE105" s="33" t="s">
        <v>334</v>
      </c>
      <c r="UZF105" s="33" t="s">
        <v>334</v>
      </c>
      <c r="UZG105" s="33" t="s">
        <v>334</v>
      </c>
      <c r="UZH105" s="33" t="s">
        <v>334</v>
      </c>
      <c r="UZI105" s="33" t="s">
        <v>334</v>
      </c>
      <c r="UZJ105" s="33" t="s">
        <v>334</v>
      </c>
      <c r="UZK105" s="33" t="s">
        <v>334</v>
      </c>
      <c r="UZL105" s="33" t="s">
        <v>334</v>
      </c>
      <c r="UZM105" s="33" t="s">
        <v>334</v>
      </c>
      <c r="UZN105" s="33" t="s">
        <v>334</v>
      </c>
      <c r="UZO105" s="33" t="s">
        <v>334</v>
      </c>
      <c r="UZP105" s="33" t="s">
        <v>334</v>
      </c>
      <c r="UZQ105" s="33" t="s">
        <v>334</v>
      </c>
      <c r="UZR105" s="33" t="s">
        <v>334</v>
      </c>
      <c r="UZS105" s="33" t="s">
        <v>334</v>
      </c>
      <c r="UZT105" s="33" t="s">
        <v>334</v>
      </c>
      <c r="UZU105" s="33" t="s">
        <v>334</v>
      </c>
      <c r="UZV105" s="33" t="s">
        <v>334</v>
      </c>
      <c r="UZW105" s="33" t="s">
        <v>334</v>
      </c>
      <c r="UZX105" s="33" t="s">
        <v>334</v>
      </c>
      <c r="UZY105" s="33" t="s">
        <v>334</v>
      </c>
      <c r="UZZ105" s="33" t="s">
        <v>334</v>
      </c>
      <c r="VAA105" s="33" t="s">
        <v>334</v>
      </c>
      <c r="VAB105" s="33" t="s">
        <v>334</v>
      </c>
      <c r="VAC105" s="33" t="s">
        <v>334</v>
      </c>
      <c r="VAD105" s="33" t="s">
        <v>334</v>
      </c>
      <c r="VAE105" s="33" t="s">
        <v>334</v>
      </c>
      <c r="VAF105" s="33" t="s">
        <v>334</v>
      </c>
      <c r="VAG105" s="33" t="s">
        <v>334</v>
      </c>
      <c r="VAH105" s="33" t="s">
        <v>334</v>
      </c>
      <c r="VAI105" s="33" t="s">
        <v>334</v>
      </c>
      <c r="VAJ105" s="33" t="s">
        <v>334</v>
      </c>
      <c r="VAK105" s="33" t="s">
        <v>334</v>
      </c>
      <c r="VAL105" s="33" t="s">
        <v>334</v>
      </c>
      <c r="VAM105" s="33" t="s">
        <v>334</v>
      </c>
      <c r="VAN105" s="33" t="s">
        <v>334</v>
      </c>
      <c r="VAO105" s="33" t="s">
        <v>334</v>
      </c>
      <c r="VAP105" s="33" t="s">
        <v>334</v>
      </c>
      <c r="VAQ105" s="33" t="s">
        <v>334</v>
      </c>
      <c r="VAR105" s="33" t="s">
        <v>334</v>
      </c>
      <c r="VAS105" s="33" t="s">
        <v>334</v>
      </c>
      <c r="VAT105" s="33" t="s">
        <v>334</v>
      </c>
      <c r="VAU105" s="33" t="s">
        <v>334</v>
      </c>
      <c r="VAV105" s="33" t="s">
        <v>334</v>
      </c>
      <c r="VAW105" s="33" t="s">
        <v>334</v>
      </c>
      <c r="VAX105" s="33" t="s">
        <v>334</v>
      </c>
      <c r="VAY105" s="33" t="s">
        <v>334</v>
      </c>
      <c r="VAZ105" s="33" t="s">
        <v>334</v>
      </c>
      <c r="VBA105" s="33" t="s">
        <v>334</v>
      </c>
      <c r="VBB105" s="33" t="s">
        <v>334</v>
      </c>
      <c r="VBC105" s="33" t="s">
        <v>334</v>
      </c>
      <c r="VBD105" s="33" t="s">
        <v>334</v>
      </c>
      <c r="VBE105" s="33" t="s">
        <v>334</v>
      </c>
      <c r="VBF105" s="33" t="s">
        <v>334</v>
      </c>
      <c r="VBG105" s="33" t="s">
        <v>334</v>
      </c>
      <c r="VBH105" s="33" t="s">
        <v>334</v>
      </c>
      <c r="VBI105" s="33" t="s">
        <v>334</v>
      </c>
      <c r="VBJ105" s="33" t="s">
        <v>334</v>
      </c>
      <c r="VBK105" s="33" t="s">
        <v>334</v>
      </c>
      <c r="VBL105" s="33" t="s">
        <v>334</v>
      </c>
      <c r="VBM105" s="33" t="s">
        <v>334</v>
      </c>
      <c r="VBN105" s="33" t="s">
        <v>334</v>
      </c>
      <c r="VBO105" s="33" t="s">
        <v>334</v>
      </c>
      <c r="VBP105" s="33" t="s">
        <v>334</v>
      </c>
      <c r="VBQ105" s="33" t="s">
        <v>334</v>
      </c>
      <c r="VBR105" s="33" t="s">
        <v>334</v>
      </c>
      <c r="VBS105" s="33" t="s">
        <v>334</v>
      </c>
      <c r="VBT105" s="33" t="s">
        <v>334</v>
      </c>
      <c r="VBU105" s="33" t="s">
        <v>334</v>
      </c>
      <c r="VBV105" s="33" t="s">
        <v>334</v>
      </c>
      <c r="VBW105" s="33" t="s">
        <v>334</v>
      </c>
      <c r="VBX105" s="33" t="s">
        <v>334</v>
      </c>
      <c r="VBY105" s="33" t="s">
        <v>334</v>
      </c>
      <c r="VBZ105" s="33" t="s">
        <v>334</v>
      </c>
      <c r="VCA105" s="33" t="s">
        <v>334</v>
      </c>
      <c r="VCB105" s="33" t="s">
        <v>334</v>
      </c>
      <c r="VCC105" s="33" t="s">
        <v>334</v>
      </c>
      <c r="VCD105" s="33" t="s">
        <v>334</v>
      </c>
      <c r="VCE105" s="33" t="s">
        <v>334</v>
      </c>
      <c r="VCF105" s="33" t="s">
        <v>334</v>
      </c>
      <c r="VCG105" s="33" t="s">
        <v>334</v>
      </c>
      <c r="VCH105" s="33" t="s">
        <v>334</v>
      </c>
      <c r="VCI105" s="33" t="s">
        <v>334</v>
      </c>
      <c r="VCJ105" s="33" t="s">
        <v>334</v>
      </c>
      <c r="VCK105" s="33" t="s">
        <v>334</v>
      </c>
      <c r="VCL105" s="33" t="s">
        <v>334</v>
      </c>
      <c r="VCM105" s="33" t="s">
        <v>334</v>
      </c>
      <c r="VCN105" s="33" t="s">
        <v>334</v>
      </c>
      <c r="VCO105" s="33" t="s">
        <v>334</v>
      </c>
      <c r="VCP105" s="33" t="s">
        <v>334</v>
      </c>
      <c r="VCQ105" s="33" t="s">
        <v>334</v>
      </c>
      <c r="VCR105" s="33" t="s">
        <v>334</v>
      </c>
      <c r="VCS105" s="33" t="s">
        <v>334</v>
      </c>
      <c r="VCT105" s="33" t="s">
        <v>334</v>
      </c>
      <c r="VCU105" s="33" t="s">
        <v>334</v>
      </c>
      <c r="VCV105" s="33" t="s">
        <v>334</v>
      </c>
      <c r="VCW105" s="33" t="s">
        <v>334</v>
      </c>
      <c r="VCX105" s="33" t="s">
        <v>334</v>
      </c>
      <c r="VCY105" s="33" t="s">
        <v>334</v>
      </c>
      <c r="VCZ105" s="33" t="s">
        <v>334</v>
      </c>
      <c r="VDA105" s="33" t="s">
        <v>334</v>
      </c>
      <c r="VDB105" s="33" t="s">
        <v>334</v>
      </c>
      <c r="VDC105" s="33" t="s">
        <v>334</v>
      </c>
      <c r="VDD105" s="33" t="s">
        <v>334</v>
      </c>
      <c r="VDE105" s="33" t="s">
        <v>334</v>
      </c>
      <c r="VDF105" s="33" t="s">
        <v>334</v>
      </c>
      <c r="VDG105" s="33" t="s">
        <v>334</v>
      </c>
      <c r="VDH105" s="33" t="s">
        <v>334</v>
      </c>
      <c r="VDI105" s="33" t="s">
        <v>334</v>
      </c>
      <c r="VDJ105" s="33" t="s">
        <v>334</v>
      </c>
      <c r="VDK105" s="33" t="s">
        <v>334</v>
      </c>
      <c r="VDL105" s="33" t="s">
        <v>334</v>
      </c>
      <c r="VDM105" s="33" t="s">
        <v>334</v>
      </c>
      <c r="VDN105" s="33" t="s">
        <v>334</v>
      </c>
      <c r="VDO105" s="33" t="s">
        <v>334</v>
      </c>
      <c r="VDP105" s="33" t="s">
        <v>334</v>
      </c>
      <c r="VDQ105" s="33" t="s">
        <v>334</v>
      </c>
      <c r="VDR105" s="33" t="s">
        <v>334</v>
      </c>
      <c r="VDS105" s="33" t="s">
        <v>334</v>
      </c>
      <c r="VDT105" s="33" t="s">
        <v>334</v>
      </c>
      <c r="VDU105" s="33" t="s">
        <v>334</v>
      </c>
      <c r="VDV105" s="33" t="s">
        <v>334</v>
      </c>
      <c r="VDW105" s="33" t="s">
        <v>334</v>
      </c>
      <c r="VDX105" s="33" t="s">
        <v>334</v>
      </c>
      <c r="VDY105" s="33" t="s">
        <v>334</v>
      </c>
      <c r="VDZ105" s="33" t="s">
        <v>334</v>
      </c>
      <c r="VEA105" s="33" t="s">
        <v>334</v>
      </c>
      <c r="VEB105" s="33" t="s">
        <v>334</v>
      </c>
      <c r="VEC105" s="33" t="s">
        <v>334</v>
      </c>
      <c r="VED105" s="33" t="s">
        <v>334</v>
      </c>
      <c r="VEE105" s="33" t="s">
        <v>334</v>
      </c>
      <c r="VEF105" s="33" t="s">
        <v>334</v>
      </c>
      <c r="VEG105" s="33" t="s">
        <v>334</v>
      </c>
      <c r="VEH105" s="33" t="s">
        <v>334</v>
      </c>
      <c r="VEI105" s="33" t="s">
        <v>334</v>
      </c>
      <c r="VEJ105" s="33" t="s">
        <v>334</v>
      </c>
      <c r="VEK105" s="33" t="s">
        <v>334</v>
      </c>
      <c r="VEL105" s="33" t="s">
        <v>334</v>
      </c>
      <c r="VEM105" s="33" t="s">
        <v>334</v>
      </c>
      <c r="VEN105" s="33" t="s">
        <v>334</v>
      </c>
      <c r="VEO105" s="33" t="s">
        <v>334</v>
      </c>
      <c r="VEP105" s="33" t="s">
        <v>334</v>
      </c>
      <c r="VEQ105" s="33" t="s">
        <v>334</v>
      </c>
      <c r="VER105" s="33" t="s">
        <v>334</v>
      </c>
      <c r="VES105" s="33" t="s">
        <v>334</v>
      </c>
      <c r="VET105" s="33" t="s">
        <v>334</v>
      </c>
      <c r="VEU105" s="33" t="s">
        <v>334</v>
      </c>
      <c r="VEV105" s="33" t="s">
        <v>334</v>
      </c>
      <c r="VEW105" s="33" t="s">
        <v>334</v>
      </c>
      <c r="VEX105" s="33" t="s">
        <v>334</v>
      </c>
      <c r="VEY105" s="33" t="s">
        <v>334</v>
      </c>
      <c r="VEZ105" s="33" t="s">
        <v>334</v>
      </c>
      <c r="VFA105" s="33" t="s">
        <v>334</v>
      </c>
      <c r="VFB105" s="33" t="s">
        <v>334</v>
      </c>
      <c r="VFC105" s="33" t="s">
        <v>334</v>
      </c>
      <c r="VFD105" s="33" t="s">
        <v>334</v>
      </c>
      <c r="VFE105" s="33" t="s">
        <v>334</v>
      </c>
      <c r="VFF105" s="33" t="s">
        <v>334</v>
      </c>
      <c r="VFG105" s="33" t="s">
        <v>334</v>
      </c>
      <c r="VFH105" s="33" t="s">
        <v>334</v>
      </c>
      <c r="VFI105" s="33" t="s">
        <v>334</v>
      </c>
      <c r="VFJ105" s="33" t="s">
        <v>334</v>
      </c>
      <c r="VFK105" s="33" t="s">
        <v>334</v>
      </c>
      <c r="VFL105" s="33" t="s">
        <v>334</v>
      </c>
      <c r="VFM105" s="33" t="s">
        <v>334</v>
      </c>
      <c r="VFN105" s="33" t="s">
        <v>334</v>
      </c>
      <c r="VFO105" s="33" t="s">
        <v>334</v>
      </c>
      <c r="VFP105" s="33" t="s">
        <v>334</v>
      </c>
      <c r="VFQ105" s="33" t="s">
        <v>334</v>
      </c>
      <c r="VFR105" s="33" t="s">
        <v>334</v>
      </c>
      <c r="VFS105" s="33" t="s">
        <v>334</v>
      </c>
      <c r="VFT105" s="33" t="s">
        <v>334</v>
      </c>
      <c r="VFU105" s="33" t="s">
        <v>334</v>
      </c>
      <c r="VFV105" s="33" t="s">
        <v>334</v>
      </c>
      <c r="VFW105" s="33" t="s">
        <v>334</v>
      </c>
      <c r="VFX105" s="33" t="s">
        <v>334</v>
      </c>
      <c r="VFY105" s="33" t="s">
        <v>334</v>
      </c>
      <c r="VFZ105" s="33" t="s">
        <v>334</v>
      </c>
      <c r="VGA105" s="33" t="s">
        <v>334</v>
      </c>
      <c r="VGB105" s="33" t="s">
        <v>334</v>
      </c>
      <c r="VGC105" s="33" t="s">
        <v>334</v>
      </c>
      <c r="VGD105" s="33" t="s">
        <v>334</v>
      </c>
      <c r="VGE105" s="33" t="s">
        <v>334</v>
      </c>
      <c r="VGF105" s="33" t="s">
        <v>334</v>
      </c>
      <c r="VGG105" s="33" t="s">
        <v>334</v>
      </c>
      <c r="VGH105" s="33" t="s">
        <v>334</v>
      </c>
      <c r="VGI105" s="33" t="s">
        <v>334</v>
      </c>
      <c r="VGJ105" s="33" t="s">
        <v>334</v>
      </c>
      <c r="VGK105" s="33" t="s">
        <v>334</v>
      </c>
      <c r="VGL105" s="33" t="s">
        <v>334</v>
      </c>
      <c r="VGM105" s="33" t="s">
        <v>334</v>
      </c>
      <c r="VGN105" s="33" t="s">
        <v>334</v>
      </c>
      <c r="VGO105" s="33" t="s">
        <v>334</v>
      </c>
      <c r="VGP105" s="33" t="s">
        <v>334</v>
      </c>
      <c r="VGQ105" s="33" t="s">
        <v>334</v>
      </c>
      <c r="VGR105" s="33" t="s">
        <v>334</v>
      </c>
      <c r="VGS105" s="33" t="s">
        <v>334</v>
      </c>
      <c r="VGT105" s="33" t="s">
        <v>334</v>
      </c>
      <c r="VGU105" s="33" t="s">
        <v>334</v>
      </c>
      <c r="VGV105" s="33" t="s">
        <v>334</v>
      </c>
      <c r="VGW105" s="33" t="s">
        <v>334</v>
      </c>
      <c r="VGX105" s="33" t="s">
        <v>334</v>
      </c>
      <c r="VGY105" s="33" t="s">
        <v>334</v>
      </c>
      <c r="VGZ105" s="33" t="s">
        <v>334</v>
      </c>
      <c r="VHA105" s="33" t="s">
        <v>334</v>
      </c>
      <c r="VHB105" s="33" t="s">
        <v>334</v>
      </c>
      <c r="VHC105" s="33" t="s">
        <v>334</v>
      </c>
      <c r="VHD105" s="33" t="s">
        <v>334</v>
      </c>
      <c r="VHE105" s="33" t="s">
        <v>334</v>
      </c>
      <c r="VHF105" s="33" t="s">
        <v>334</v>
      </c>
      <c r="VHG105" s="33" t="s">
        <v>334</v>
      </c>
      <c r="VHH105" s="33" t="s">
        <v>334</v>
      </c>
      <c r="VHI105" s="33" t="s">
        <v>334</v>
      </c>
      <c r="VHJ105" s="33" t="s">
        <v>334</v>
      </c>
      <c r="VHK105" s="33" t="s">
        <v>334</v>
      </c>
      <c r="VHL105" s="33" t="s">
        <v>334</v>
      </c>
      <c r="VHM105" s="33" t="s">
        <v>334</v>
      </c>
      <c r="VHN105" s="33" t="s">
        <v>334</v>
      </c>
      <c r="VHO105" s="33" t="s">
        <v>334</v>
      </c>
      <c r="VHP105" s="33" t="s">
        <v>334</v>
      </c>
      <c r="VHQ105" s="33" t="s">
        <v>334</v>
      </c>
      <c r="VHR105" s="33" t="s">
        <v>334</v>
      </c>
      <c r="VHS105" s="33" t="s">
        <v>334</v>
      </c>
      <c r="VHT105" s="33" t="s">
        <v>334</v>
      </c>
      <c r="VHU105" s="33" t="s">
        <v>334</v>
      </c>
      <c r="VHV105" s="33" t="s">
        <v>334</v>
      </c>
      <c r="VHW105" s="33" t="s">
        <v>334</v>
      </c>
      <c r="VHX105" s="33" t="s">
        <v>334</v>
      </c>
      <c r="VHY105" s="33" t="s">
        <v>334</v>
      </c>
      <c r="VHZ105" s="33" t="s">
        <v>334</v>
      </c>
      <c r="VIA105" s="33" t="s">
        <v>334</v>
      </c>
      <c r="VIB105" s="33" t="s">
        <v>334</v>
      </c>
      <c r="VIC105" s="33" t="s">
        <v>334</v>
      </c>
      <c r="VID105" s="33" t="s">
        <v>334</v>
      </c>
      <c r="VIE105" s="33" t="s">
        <v>334</v>
      </c>
      <c r="VIF105" s="33" t="s">
        <v>334</v>
      </c>
      <c r="VIG105" s="33" t="s">
        <v>334</v>
      </c>
      <c r="VIH105" s="33" t="s">
        <v>334</v>
      </c>
      <c r="VII105" s="33" t="s">
        <v>334</v>
      </c>
      <c r="VIJ105" s="33" t="s">
        <v>334</v>
      </c>
      <c r="VIK105" s="33" t="s">
        <v>334</v>
      </c>
      <c r="VIL105" s="33" t="s">
        <v>334</v>
      </c>
      <c r="VIM105" s="33" t="s">
        <v>334</v>
      </c>
      <c r="VIN105" s="33" t="s">
        <v>334</v>
      </c>
      <c r="VIO105" s="33" t="s">
        <v>334</v>
      </c>
      <c r="VIP105" s="33" t="s">
        <v>334</v>
      </c>
      <c r="VIQ105" s="33" t="s">
        <v>334</v>
      </c>
      <c r="VIR105" s="33" t="s">
        <v>334</v>
      </c>
      <c r="VIS105" s="33" t="s">
        <v>334</v>
      </c>
      <c r="VIT105" s="33" t="s">
        <v>334</v>
      </c>
      <c r="VIU105" s="33" t="s">
        <v>334</v>
      </c>
      <c r="VIV105" s="33" t="s">
        <v>334</v>
      </c>
      <c r="VIW105" s="33" t="s">
        <v>334</v>
      </c>
      <c r="VIX105" s="33" t="s">
        <v>334</v>
      </c>
      <c r="VIY105" s="33" t="s">
        <v>334</v>
      </c>
      <c r="VIZ105" s="33" t="s">
        <v>334</v>
      </c>
      <c r="VJA105" s="33" t="s">
        <v>334</v>
      </c>
      <c r="VJB105" s="33" t="s">
        <v>334</v>
      </c>
      <c r="VJC105" s="33" t="s">
        <v>334</v>
      </c>
      <c r="VJD105" s="33" t="s">
        <v>334</v>
      </c>
      <c r="VJE105" s="33" t="s">
        <v>334</v>
      </c>
      <c r="VJF105" s="33" t="s">
        <v>334</v>
      </c>
      <c r="VJG105" s="33" t="s">
        <v>334</v>
      </c>
      <c r="VJH105" s="33" t="s">
        <v>334</v>
      </c>
      <c r="VJI105" s="33" t="s">
        <v>334</v>
      </c>
      <c r="VJJ105" s="33" t="s">
        <v>334</v>
      </c>
      <c r="VJK105" s="33" t="s">
        <v>334</v>
      </c>
      <c r="VJL105" s="33" t="s">
        <v>334</v>
      </c>
      <c r="VJM105" s="33" t="s">
        <v>334</v>
      </c>
      <c r="VJN105" s="33" t="s">
        <v>334</v>
      </c>
      <c r="VJO105" s="33" t="s">
        <v>334</v>
      </c>
      <c r="VJP105" s="33" t="s">
        <v>334</v>
      </c>
      <c r="VJQ105" s="33" t="s">
        <v>334</v>
      </c>
      <c r="VJR105" s="33" t="s">
        <v>334</v>
      </c>
      <c r="VJS105" s="33" t="s">
        <v>334</v>
      </c>
      <c r="VJT105" s="33" t="s">
        <v>334</v>
      </c>
      <c r="VJU105" s="33" t="s">
        <v>334</v>
      </c>
      <c r="VJV105" s="33" t="s">
        <v>334</v>
      </c>
      <c r="VJW105" s="33" t="s">
        <v>334</v>
      </c>
      <c r="VJX105" s="33" t="s">
        <v>334</v>
      </c>
      <c r="VJY105" s="33" t="s">
        <v>334</v>
      </c>
      <c r="VJZ105" s="33" t="s">
        <v>334</v>
      </c>
      <c r="VKA105" s="33" t="s">
        <v>334</v>
      </c>
      <c r="VKB105" s="33" t="s">
        <v>334</v>
      </c>
      <c r="VKC105" s="33" t="s">
        <v>334</v>
      </c>
      <c r="VKD105" s="33" t="s">
        <v>334</v>
      </c>
      <c r="VKE105" s="33" t="s">
        <v>334</v>
      </c>
      <c r="VKF105" s="33" t="s">
        <v>334</v>
      </c>
      <c r="VKG105" s="33" t="s">
        <v>334</v>
      </c>
      <c r="VKH105" s="33" t="s">
        <v>334</v>
      </c>
      <c r="VKI105" s="33" t="s">
        <v>334</v>
      </c>
      <c r="VKJ105" s="33" t="s">
        <v>334</v>
      </c>
      <c r="VKK105" s="33" t="s">
        <v>334</v>
      </c>
      <c r="VKL105" s="33" t="s">
        <v>334</v>
      </c>
      <c r="VKM105" s="33" t="s">
        <v>334</v>
      </c>
      <c r="VKN105" s="33" t="s">
        <v>334</v>
      </c>
      <c r="VKO105" s="33" t="s">
        <v>334</v>
      </c>
      <c r="VKP105" s="33" t="s">
        <v>334</v>
      </c>
      <c r="VKQ105" s="33" t="s">
        <v>334</v>
      </c>
      <c r="VKR105" s="33" t="s">
        <v>334</v>
      </c>
      <c r="VKS105" s="33" t="s">
        <v>334</v>
      </c>
      <c r="VKT105" s="33" t="s">
        <v>334</v>
      </c>
      <c r="VKU105" s="33" t="s">
        <v>334</v>
      </c>
      <c r="VKV105" s="33" t="s">
        <v>334</v>
      </c>
      <c r="VKW105" s="33" t="s">
        <v>334</v>
      </c>
      <c r="VKX105" s="33" t="s">
        <v>334</v>
      </c>
      <c r="VKY105" s="33" t="s">
        <v>334</v>
      </c>
      <c r="VKZ105" s="33" t="s">
        <v>334</v>
      </c>
      <c r="VLA105" s="33" t="s">
        <v>334</v>
      </c>
      <c r="VLB105" s="33" t="s">
        <v>334</v>
      </c>
      <c r="VLC105" s="33" t="s">
        <v>334</v>
      </c>
      <c r="VLD105" s="33" t="s">
        <v>334</v>
      </c>
      <c r="VLE105" s="33" t="s">
        <v>334</v>
      </c>
      <c r="VLF105" s="33" t="s">
        <v>334</v>
      </c>
      <c r="VLG105" s="33" t="s">
        <v>334</v>
      </c>
      <c r="VLH105" s="33" t="s">
        <v>334</v>
      </c>
      <c r="VLI105" s="33" t="s">
        <v>334</v>
      </c>
      <c r="VLJ105" s="33" t="s">
        <v>334</v>
      </c>
      <c r="VLK105" s="33" t="s">
        <v>334</v>
      </c>
      <c r="VLL105" s="33" t="s">
        <v>334</v>
      </c>
      <c r="VLM105" s="33" t="s">
        <v>334</v>
      </c>
      <c r="VLN105" s="33" t="s">
        <v>334</v>
      </c>
      <c r="VLO105" s="33" t="s">
        <v>334</v>
      </c>
      <c r="VLP105" s="33" t="s">
        <v>334</v>
      </c>
      <c r="VLQ105" s="33" t="s">
        <v>334</v>
      </c>
      <c r="VLR105" s="33" t="s">
        <v>334</v>
      </c>
      <c r="VLS105" s="33" t="s">
        <v>334</v>
      </c>
      <c r="VLT105" s="33" t="s">
        <v>334</v>
      </c>
      <c r="VLU105" s="33" t="s">
        <v>334</v>
      </c>
      <c r="VLV105" s="33" t="s">
        <v>334</v>
      </c>
      <c r="VLW105" s="33" t="s">
        <v>334</v>
      </c>
      <c r="VLX105" s="33" t="s">
        <v>334</v>
      </c>
      <c r="VLY105" s="33" t="s">
        <v>334</v>
      </c>
      <c r="VLZ105" s="33" t="s">
        <v>334</v>
      </c>
      <c r="VMA105" s="33" t="s">
        <v>334</v>
      </c>
      <c r="VMB105" s="33" t="s">
        <v>334</v>
      </c>
      <c r="VMC105" s="33" t="s">
        <v>334</v>
      </c>
      <c r="VMD105" s="33" t="s">
        <v>334</v>
      </c>
      <c r="VME105" s="33" t="s">
        <v>334</v>
      </c>
      <c r="VMF105" s="33" t="s">
        <v>334</v>
      </c>
      <c r="VMG105" s="33" t="s">
        <v>334</v>
      </c>
      <c r="VMH105" s="33" t="s">
        <v>334</v>
      </c>
      <c r="VMI105" s="33" t="s">
        <v>334</v>
      </c>
      <c r="VMJ105" s="33" t="s">
        <v>334</v>
      </c>
      <c r="VMK105" s="33" t="s">
        <v>334</v>
      </c>
      <c r="VML105" s="33" t="s">
        <v>334</v>
      </c>
      <c r="VMM105" s="33" t="s">
        <v>334</v>
      </c>
      <c r="VMN105" s="33" t="s">
        <v>334</v>
      </c>
      <c r="VMO105" s="33" t="s">
        <v>334</v>
      </c>
      <c r="VMP105" s="33" t="s">
        <v>334</v>
      </c>
      <c r="VMQ105" s="33" t="s">
        <v>334</v>
      </c>
      <c r="VMR105" s="33" t="s">
        <v>334</v>
      </c>
      <c r="VMS105" s="33" t="s">
        <v>334</v>
      </c>
      <c r="VMT105" s="33" t="s">
        <v>334</v>
      </c>
      <c r="VMU105" s="33" t="s">
        <v>334</v>
      </c>
      <c r="VMV105" s="33" t="s">
        <v>334</v>
      </c>
      <c r="VMW105" s="33" t="s">
        <v>334</v>
      </c>
      <c r="VMX105" s="33" t="s">
        <v>334</v>
      </c>
      <c r="VMY105" s="33" t="s">
        <v>334</v>
      </c>
      <c r="VMZ105" s="33" t="s">
        <v>334</v>
      </c>
      <c r="VNA105" s="33" t="s">
        <v>334</v>
      </c>
      <c r="VNB105" s="33" t="s">
        <v>334</v>
      </c>
      <c r="VNC105" s="33" t="s">
        <v>334</v>
      </c>
      <c r="VND105" s="33" t="s">
        <v>334</v>
      </c>
      <c r="VNE105" s="33" t="s">
        <v>334</v>
      </c>
      <c r="VNF105" s="33" t="s">
        <v>334</v>
      </c>
      <c r="VNG105" s="33" t="s">
        <v>334</v>
      </c>
      <c r="VNH105" s="33" t="s">
        <v>334</v>
      </c>
      <c r="VNI105" s="33" t="s">
        <v>334</v>
      </c>
      <c r="VNJ105" s="33" t="s">
        <v>334</v>
      </c>
      <c r="VNK105" s="33" t="s">
        <v>334</v>
      </c>
      <c r="VNL105" s="33" t="s">
        <v>334</v>
      </c>
      <c r="VNM105" s="33" t="s">
        <v>334</v>
      </c>
      <c r="VNN105" s="33" t="s">
        <v>334</v>
      </c>
      <c r="VNO105" s="33" t="s">
        <v>334</v>
      </c>
      <c r="VNP105" s="33" t="s">
        <v>334</v>
      </c>
      <c r="VNQ105" s="33" t="s">
        <v>334</v>
      </c>
      <c r="VNR105" s="33" t="s">
        <v>334</v>
      </c>
      <c r="VNS105" s="33" t="s">
        <v>334</v>
      </c>
      <c r="VNT105" s="33" t="s">
        <v>334</v>
      </c>
      <c r="VNU105" s="33" t="s">
        <v>334</v>
      </c>
      <c r="VNV105" s="33" t="s">
        <v>334</v>
      </c>
      <c r="VNW105" s="33" t="s">
        <v>334</v>
      </c>
      <c r="VNX105" s="33" t="s">
        <v>334</v>
      </c>
      <c r="VNY105" s="33" t="s">
        <v>334</v>
      </c>
      <c r="VNZ105" s="33" t="s">
        <v>334</v>
      </c>
      <c r="VOA105" s="33" t="s">
        <v>334</v>
      </c>
      <c r="VOB105" s="33" t="s">
        <v>334</v>
      </c>
      <c r="VOC105" s="33" t="s">
        <v>334</v>
      </c>
      <c r="VOD105" s="33" t="s">
        <v>334</v>
      </c>
      <c r="VOE105" s="33" t="s">
        <v>334</v>
      </c>
      <c r="VOF105" s="33" t="s">
        <v>334</v>
      </c>
      <c r="VOG105" s="33" t="s">
        <v>334</v>
      </c>
      <c r="VOH105" s="33" t="s">
        <v>334</v>
      </c>
      <c r="VOI105" s="33" t="s">
        <v>334</v>
      </c>
      <c r="VOJ105" s="33" t="s">
        <v>334</v>
      </c>
      <c r="VOK105" s="33" t="s">
        <v>334</v>
      </c>
      <c r="VOL105" s="33" t="s">
        <v>334</v>
      </c>
      <c r="VOM105" s="33" t="s">
        <v>334</v>
      </c>
      <c r="VON105" s="33" t="s">
        <v>334</v>
      </c>
      <c r="VOO105" s="33" t="s">
        <v>334</v>
      </c>
      <c r="VOP105" s="33" t="s">
        <v>334</v>
      </c>
      <c r="VOQ105" s="33" t="s">
        <v>334</v>
      </c>
      <c r="VOR105" s="33" t="s">
        <v>334</v>
      </c>
      <c r="VOS105" s="33" t="s">
        <v>334</v>
      </c>
      <c r="VOT105" s="33" t="s">
        <v>334</v>
      </c>
      <c r="VOU105" s="33" t="s">
        <v>334</v>
      </c>
      <c r="VOV105" s="33" t="s">
        <v>334</v>
      </c>
      <c r="VOW105" s="33" t="s">
        <v>334</v>
      </c>
      <c r="VOX105" s="33" t="s">
        <v>334</v>
      </c>
      <c r="VOY105" s="33" t="s">
        <v>334</v>
      </c>
      <c r="VOZ105" s="33" t="s">
        <v>334</v>
      </c>
      <c r="VPA105" s="33" t="s">
        <v>334</v>
      </c>
      <c r="VPB105" s="33" t="s">
        <v>334</v>
      </c>
      <c r="VPC105" s="33" t="s">
        <v>334</v>
      </c>
      <c r="VPD105" s="33" t="s">
        <v>334</v>
      </c>
      <c r="VPE105" s="33" t="s">
        <v>334</v>
      </c>
      <c r="VPF105" s="33" t="s">
        <v>334</v>
      </c>
      <c r="VPG105" s="33" t="s">
        <v>334</v>
      </c>
      <c r="VPH105" s="33" t="s">
        <v>334</v>
      </c>
      <c r="VPI105" s="33" t="s">
        <v>334</v>
      </c>
      <c r="VPJ105" s="33" t="s">
        <v>334</v>
      </c>
      <c r="VPK105" s="33" t="s">
        <v>334</v>
      </c>
      <c r="VPL105" s="33" t="s">
        <v>334</v>
      </c>
      <c r="VPM105" s="33" t="s">
        <v>334</v>
      </c>
      <c r="VPN105" s="33" t="s">
        <v>334</v>
      </c>
      <c r="VPO105" s="33" t="s">
        <v>334</v>
      </c>
      <c r="VPP105" s="33" t="s">
        <v>334</v>
      </c>
      <c r="VPQ105" s="33" t="s">
        <v>334</v>
      </c>
      <c r="VPR105" s="33" t="s">
        <v>334</v>
      </c>
      <c r="VPS105" s="33" t="s">
        <v>334</v>
      </c>
      <c r="VPT105" s="33" t="s">
        <v>334</v>
      </c>
      <c r="VPU105" s="33" t="s">
        <v>334</v>
      </c>
      <c r="VPV105" s="33" t="s">
        <v>334</v>
      </c>
      <c r="VPW105" s="33" t="s">
        <v>334</v>
      </c>
      <c r="VPX105" s="33" t="s">
        <v>334</v>
      </c>
      <c r="VPY105" s="33" t="s">
        <v>334</v>
      </c>
      <c r="VPZ105" s="33" t="s">
        <v>334</v>
      </c>
      <c r="VQA105" s="33" t="s">
        <v>334</v>
      </c>
      <c r="VQB105" s="33" t="s">
        <v>334</v>
      </c>
      <c r="VQC105" s="33" t="s">
        <v>334</v>
      </c>
      <c r="VQD105" s="33" t="s">
        <v>334</v>
      </c>
      <c r="VQE105" s="33" t="s">
        <v>334</v>
      </c>
      <c r="VQF105" s="33" t="s">
        <v>334</v>
      </c>
      <c r="VQG105" s="33" t="s">
        <v>334</v>
      </c>
      <c r="VQH105" s="33" t="s">
        <v>334</v>
      </c>
      <c r="VQI105" s="33" t="s">
        <v>334</v>
      </c>
      <c r="VQJ105" s="33" t="s">
        <v>334</v>
      </c>
      <c r="VQK105" s="33" t="s">
        <v>334</v>
      </c>
      <c r="VQL105" s="33" t="s">
        <v>334</v>
      </c>
      <c r="VQM105" s="33" t="s">
        <v>334</v>
      </c>
      <c r="VQN105" s="33" t="s">
        <v>334</v>
      </c>
      <c r="VQO105" s="33" t="s">
        <v>334</v>
      </c>
      <c r="VQP105" s="33" t="s">
        <v>334</v>
      </c>
      <c r="VQQ105" s="33" t="s">
        <v>334</v>
      </c>
      <c r="VQR105" s="33" t="s">
        <v>334</v>
      </c>
      <c r="VQS105" s="33" t="s">
        <v>334</v>
      </c>
      <c r="VQT105" s="33" t="s">
        <v>334</v>
      </c>
      <c r="VQU105" s="33" t="s">
        <v>334</v>
      </c>
      <c r="VQV105" s="33" t="s">
        <v>334</v>
      </c>
      <c r="VQW105" s="33" t="s">
        <v>334</v>
      </c>
      <c r="VQX105" s="33" t="s">
        <v>334</v>
      </c>
      <c r="VQY105" s="33" t="s">
        <v>334</v>
      </c>
      <c r="VQZ105" s="33" t="s">
        <v>334</v>
      </c>
      <c r="VRA105" s="33" t="s">
        <v>334</v>
      </c>
      <c r="VRB105" s="33" t="s">
        <v>334</v>
      </c>
      <c r="VRC105" s="33" t="s">
        <v>334</v>
      </c>
      <c r="VRD105" s="33" t="s">
        <v>334</v>
      </c>
      <c r="VRE105" s="33" t="s">
        <v>334</v>
      </c>
      <c r="VRF105" s="33" t="s">
        <v>334</v>
      </c>
      <c r="VRG105" s="33" t="s">
        <v>334</v>
      </c>
      <c r="VRH105" s="33" t="s">
        <v>334</v>
      </c>
      <c r="VRI105" s="33" t="s">
        <v>334</v>
      </c>
      <c r="VRJ105" s="33" t="s">
        <v>334</v>
      </c>
      <c r="VRK105" s="33" t="s">
        <v>334</v>
      </c>
      <c r="VRL105" s="33" t="s">
        <v>334</v>
      </c>
      <c r="VRM105" s="33" t="s">
        <v>334</v>
      </c>
      <c r="VRN105" s="33" t="s">
        <v>334</v>
      </c>
      <c r="VRO105" s="33" t="s">
        <v>334</v>
      </c>
      <c r="VRP105" s="33" t="s">
        <v>334</v>
      </c>
      <c r="VRQ105" s="33" t="s">
        <v>334</v>
      </c>
      <c r="VRR105" s="33" t="s">
        <v>334</v>
      </c>
      <c r="VRS105" s="33" t="s">
        <v>334</v>
      </c>
      <c r="VRT105" s="33" t="s">
        <v>334</v>
      </c>
      <c r="VRU105" s="33" t="s">
        <v>334</v>
      </c>
      <c r="VRV105" s="33" t="s">
        <v>334</v>
      </c>
      <c r="VRW105" s="33" t="s">
        <v>334</v>
      </c>
      <c r="VRX105" s="33" t="s">
        <v>334</v>
      </c>
      <c r="VRY105" s="33" t="s">
        <v>334</v>
      </c>
      <c r="VRZ105" s="33" t="s">
        <v>334</v>
      </c>
      <c r="VSA105" s="33" t="s">
        <v>334</v>
      </c>
      <c r="VSB105" s="33" t="s">
        <v>334</v>
      </c>
      <c r="VSC105" s="33" t="s">
        <v>334</v>
      </c>
      <c r="VSD105" s="33" t="s">
        <v>334</v>
      </c>
      <c r="VSE105" s="33" t="s">
        <v>334</v>
      </c>
      <c r="VSF105" s="33" t="s">
        <v>334</v>
      </c>
      <c r="VSG105" s="33" t="s">
        <v>334</v>
      </c>
      <c r="VSH105" s="33" t="s">
        <v>334</v>
      </c>
      <c r="VSI105" s="33" t="s">
        <v>334</v>
      </c>
      <c r="VSJ105" s="33" t="s">
        <v>334</v>
      </c>
      <c r="VSK105" s="33" t="s">
        <v>334</v>
      </c>
      <c r="VSL105" s="33" t="s">
        <v>334</v>
      </c>
      <c r="VSM105" s="33" t="s">
        <v>334</v>
      </c>
      <c r="VSN105" s="33" t="s">
        <v>334</v>
      </c>
      <c r="VSO105" s="33" t="s">
        <v>334</v>
      </c>
      <c r="VSP105" s="33" t="s">
        <v>334</v>
      </c>
      <c r="VSQ105" s="33" t="s">
        <v>334</v>
      </c>
      <c r="VSR105" s="33" t="s">
        <v>334</v>
      </c>
      <c r="VSS105" s="33" t="s">
        <v>334</v>
      </c>
      <c r="VST105" s="33" t="s">
        <v>334</v>
      </c>
      <c r="VSU105" s="33" t="s">
        <v>334</v>
      </c>
      <c r="VSV105" s="33" t="s">
        <v>334</v>
      </c>
      <c r="VSW105" s="33" t="s">
        <v>334</v>
      </c>
      <c r="VSX105" s="33" t="s">
        <v>334</v>
      </c>
      <c r="VSY105" s="33" t="s">
        <v>334</v>
      </c>
      <c r="VSZ105" s="33" t="s">
        <v>334</v>
      </c>
      <c r="VTA105" s="33" t="s">
        <v>334</v>
      </c>
      <c r="VTB105" s="33" t="s">
        <v>334</v>
      </c>
      <c r="VTC105" s="33" t="s">
        <v>334</v>
      </c>
      <c r="VTD105" s="33" t="s">
        <v>334</v>
      </c>
      <c r="VTE105" s="33" t="s">
        <v>334</v>
      </c>
      <c r="VTF105" s="33" t="s">
        <v>334</v>
      </c>
      <c r="VTG105" s="33" t="s">
        <v>334</v>
      </c>
      <c r="VTH105" s="33" t="s">
        <v>334</v>
      </c>
      <c r="VTI105" s="33" t="s">
        <v>334</v>
      </c>
      <c r="VTJ105" s="33" t="s">
        <v>334</v>
      </c>
      <c r="VTK105" s="33" t="s">
        <v>334</v>
      </c>
      <c r="VTL105" s="33" t="s">
        <v>334</v>
      </c>
      <c r="VTM105" s="33" t="s">
        <v>334</v>
      </c>
      <c r="VTN105" s="33" t="s">
        <v>334</v>
      </c>
      <c r="VTO105" s="33" t="s">
        <v>334</v>
      </c>
      <c r="VTP105" s="33" t="s">
        <v>334</v>
      </c>
      <c r="VTQ105" s="33" t="s">
        <v>334</v>
      </c>
      <c r="VTR105" s="33" t="s">
        <v>334</v>
      </c>
      <c r="VTS105" s="33" t="s">
        <v>334</v>
      </c>
      <c r="VTT105" s="33" t="s">
        <v>334</v>
      </c>
      <c r="VTU105" s="33" t="s">
        <v>334</v>
      </c>
      <c r="VTV105" s="33" t="s">
        <v>334</v>
      </c>
      <c r="VTW105" s="33" t="s">
        <v>334</v>
      </c>
      <c r="VTX105" s="33" t="s">
        <v>334</v>
      </c>
      <c r="VTY105" s="33" t="s">
        <v>334</v>
      </c>
      <c r="VTZ105" s="33" t="s">
        <v>334</v>
      </c>
      <c r="VUA105" s="33" t="s">
        <v>334</v>
      </c>
      <c r="VUB105" s="33" t="s">
        <v>334</v>
      </c>
      <c r="VUC105" s="33" t="s">
        <v>334</v>
      </c>
      <c r="VUD105" s="33" t="s">
        <v>334</v>
      </c>
      <c r="VUE105" s="33" t="s">
        <v>334</v>
      </c>
      <c r="VUF105" s="33" t="s">
        <v>334</v>
      </c>
      <c r="VUG105" s="33" t="s">
        <v>334</v>
      </c>
      <c r="VUH105" s="33" t="s">
        <v>334</v>
      </c>
      <c r="VUI105" s="33" t="s">
        <v>334</v>
      </c>
      <c r="VUJ105" s="33" t="s">
        <v>334</v>
      </c>
      <c r="VUK105" s="33" t="s">
        <v>334</v>
      </c>
      <c r="VUL105" s="33" t="s">
        <v>334</v>
      </c>
      <c r="VUM105" s="33" t="s">
        <v>334</v>
      </c>
      <c r="VUN105" s="33" t="s">
        <v>334</v>
      </c>
      <c r="VUO105" s="33" t="s">
        <v>334</v>
      </c>
      <c r="VUP105" s="33" t="s">
        <v>334</v>
      </c>
      <c r="VUQ105" s="33" t="s">
        <v>334</v>
      </c>
      <c r="VUR105" s="33" t="s">
        <v>334</v>
      </c>
      <c r="VUS105" s="33" t="s">
        <v>334</v>
      </c>
      <c r="VUT105" s="33" t="s">
        <v>334</v>
      </c>
      <c r="VUU105" s="33" t="s">
        <v>334</v>
      </c>
      <c r="VUV105" s="33" t="s">
        <v>334</v>
      </c>
      <c r="VUW105" s="33" t="s">
        <v>334</v>
      </c>
      <c r="VUX105" s="33" t="s">
        <v>334</v>
      </c>
      <c r="VUY105" s="33" t="s">
        <v>334</v>
      </c>
      <c r="VUZ105" s="33" t="s">
        <v>334</v>
      </c>
      <c r="VVA105" s="33" t="s">
        <v>334</v>
      </c>
      <c r="VVB105" s="33" t="s">
        <v>334</v>
      </c>
      <c r="VVC105" s="33" t="s">
        <v>334</v>
      </c>
      <c r="VVD105" s="33" t="s">
        <v>334</v>
      </c>
      <c r="VVE105" s="33" t="s">
        <v>334</v>
      </c>
      <c r="VVF105" s="33" t="s">
        <v>334</v>
      </c>
      <c r="VVG105" s="33" t="s">
        <v>334</v>
      </c>
      <c r="VVH105" s="33" t="s">
        <v>334</v>
      </c>
      <c r="VVI105" s="33" t="s">
        <v>334</v>
      </c>
      <c r="VVJ105" s="33" t="s">
        <v>334</v>
      </c>
      <c r="VVK105" s="33" t="s">
        <v>334</v>
      </c>
      <c r="VVL105" s="33" t="s">
        <v>334</v>
      </c>
      <c r="VVM105" s="33" t="s">
        <v>334</v>
      </c>
      <c r="VVN105" s="33" t="s">
        <v>334</v>
      </c>
      <c r="VVO105" s="33" t="s">
        <v>334</v>
      </c>
      <c r="VVP105" s="33" t="s">
        <v>334</v>
      </c>
      <c r="VVQ105" s="33" t="s">
        <v>334</v>
      </c>
      <c r="VVR105" s="33" t="s">
        <v>334</v>
      </c>
      <c r="VVS105" s="33" t="s">
        <v>334</v>
      </c>
      <c r="VVT105" s="33" t="s">
        <v>334</v>
      </c>
      <c r="VVU105" s="33" t="s">
        <v>334</v>
      </c>
      <c r="VVV105" s="33" t="s">
        <v>334</v>
      </c>
      <c r="VVW105" s="33" t="s">
        <v>334</v>
      </c>
      <c r="VVX105" s="33" t="s">
        <v>334</v>
      </c>
      <c r="VVY105" s="33" t="s">
        <v>334</v>
      </c>
      <c r="VVZ105" s="33" t="s">
        <v>334</v>
      </c>
      <c r="VWA105" s="33" t="s">
        <v>334</v>
      </c>
      <c r="VWB105" s="33" t="s">
        <v>334</v>
      </c>
      <c r="VWC105" s="33" t="s">
        <v>334</v>
      </c>
      <c r="VWD105" s="33" t="s">
        <v>334</v>
      </c>
      <c r="VWE105" s="33" t="s">
        <v>334</v>
      </c>
      <c r="VWF105" s="33" t="s">
        <v>334</v>
      </c>
      <c r="VWG105" s="33" t="s">
        <v>334</v>
      </c>
      <c r="VWH105" s="33" t="s">
        <v>334</v>
      </c>
      <c r="VWI105" s="33" t="s">
        <v>334</v>
      </c>
      <c r="VWJ105" s="33" t="s">
        <v>334</v>
      </c>
      <c r="VWK105" s="33" t="s">
        <v>334</v>
      </c>
      <c r="VWL105" s="33" t="s">
        <v>334</v>
      </c>
      <c r="VWM105" s="33" t="s">
        <v>334</v>
      </c>
      <c r="VWN105" s="33" t="s">
        <v>334</v>
      </c>
      <c r="VWO105" s="33" t="s">
        <v>334</v>
      </c>
      <c r="VWP105" s="33" t="s">
        <v>334</v>
      </c>
      <c r="VWQ105" s="33" t="s">
        <v>334</v>
      </c>
      <c r="VWR105" s="33" t="s">
        <v>334</v>
      </c>
      <c r="VWS105" s="33" t="s">
        <v>334</v>
      </c>
      <c r="VWT105" s="33" t="s">
        <v>334</v>
      </c>
      <c r="VWU105" s="33" t="s">
        <v>334</v>
      </c>
      <c r="VWV105" s="33" t="s">
        <v>334</v>
      </c>
      <c r="VWW105" s="33" t="s">
        <v>334</v>
      </c>
      <c r="VWX105" s="33" t="s">
        <v>334</v>
      </c>
      <c r="VWY105" s="33" t="s">
        <v>334</v>
      </c>
      <c r="VWZ105" s="33" t="s">
        <v>334</v>
      </c>
      <c r="VXA105" s="33" t="s">
        <v>334</v>
      </c>
      <c r="VXB105" s="33" t="s">
        <v>334</v>
      </c>
      <c r="VXC105" s="33" t="s">
        <v>334</v>
      </c>
      <c r="VXD105" s="33" t="s">
        <v>334</v>
      </c>
      <c r="VXE105" s="33" t="s">
        <v>334</v>
      </c>
      <c r="VXF105" s="33" t="s">
        <v>334</v>
      </c>
      <c r="VXG105" s="33" t="s">
        <v>334</v>
      </c>
      <c r="VXH105" s="33" t="s">
        <v>334</v>
      </c>
      <c r="VXI105" s="33" t="s">
        <v>334</v>
      </c>
      <c r="VXJ105" s="33" t="s">
        <v>334</v>
      </c>
      <c r="VXK105" s="33" t="s">
        <v>334</v>
      </c>
      <c r="VXL105" s="33" t="s">
        <v>334</v>
      </c>
      <c r="VXM105" s="33" t="s">
        <v>334</v>
      </c>
      <c r="VXN105" s="33" t="s">
        <v>334</v>
      </c>
      <c r="VXO105" s="33" t="s">
        <v>334</v>
      </c>
      <c r="VXP105" s="33" t="s">
        <v>334</v>
      </c>
      <c r="VXQ105" s="33" t="s">
        <v>334</v>
      </c>
      <c r="VXR105" s="33" t="s">
        <v>334</v>
      </c>
      <c r="VXS105" s="33" t="s">
        <v>334</v>
      </c>
      <c r="VXT105" s="33" t="s">
        <v>334</v>
      </c>
      <c r="VXU105" s="33" t="s">
        <v>334</v>
      </c>
      <c r="VXV105" s="33" t="s">
        <v>334</v>
      </c>
      <c r="VXW105" s="33" t="s">
        <v>334</v>
      </c>
      <c r="VXX105" s="33" t="s">
        <v>334</v>
      </c>
      <c r="VXY105" s="33" t="s">
        <v>334</v>
      </c>
      <c r="VXZ105" s="33" t="s">
        <v>334</v>
      </c>
      <c r="VYA105" s="33" t="s">
        <v>334</v>
      </c>
      <c r="VYB105" s="33" t="s">
        <v>334</v>
      </c>
      <c r="VYC105" s="33" t="s">
        <v>334</v>
      </c>
      <c r="VYD105" s="33" t="s">
        <v>334</v>
      </c>
      <c r="VYE105" s="33" t="s">
        <v>334</v>
      </c>
      <c r="VYF105" s="33" t="s">
        <v>334</v>
      </c>
      <c r="VYG105" s="33" t="s">
        <v>334</v>
      </c>
      <c r="VYH105" s="33" t="s">
        <v>334</v>
      </c>
      <c r="VYI105" s="33" t="s">
        <v>334</v>
      </c>
      <c r="VYJ105" s="33" t="s">
        <v>334</v>
      </c>
      <c r="VYK105" s="33" t="s">
        <v>334</v>
      </c>
      <c r="VYL105" s="33" t="s">
        <v>334</v>
      </c>
      <c r="VYM105" s="33" t="s">
        <v>334</v>
      </c>
      <c r="VYN105" s="33" t="s">
        <v>334</v>
      </c>
      <c r="VYO105" s="33" t="s">
        <v>334</v>
      </c>
      <c r="VYP105" s="33" t="s">
        <v>334</v>
      </c>
      <c r="VYQ105" s="33" t="s">
        <v>334</v>
      </c>
      <c r="VYR105" s="33" t="s">
        <v>334</v>
      </c>
      <c r="VYS105" s="33" t="s">
        <v>334</v>
      </c>
      <c r="VYT105" s="33" t="s">
        <v>334</v>
      </c>
      <c r="VYU105" s="33" t="s">
        <v>334</v>
      </c>
      <c r="VYV105" s="33" t="s">
        <v>334</v>
      </c>
      <c r="VYW105" s="33" t="s">
        <v>334</v>
      </c>
      <c r="VYX105" s="33" t="s">
        <v>334</v>
      </c>
      <c r="VYY105" s="33" t="s">
        <v>334</v>
      </c>
      <c r="VYZ105" s="33" t="s">
        <v>334</v>
      </c>
      <c r="VZA105" s="33" t="s">
        <v>334</v>
      </c>
      <c r="VZB105" s="33" t="s">
        <v>334</v>
      </c>
      <c r="VZC105" s="33" t="s">
        <v>334</v>
      </c>
      <c r="VZD105" s="33" t="s">
        <v>334</v>
      </c>
      <c r="VZE105" s="33" t="s">
        <v>334</v>
      </c>
      <c r="VZF105" s="33" t="s">
        <v>334</v>
      </c>
      <c r="VZG105" s="33" t="s">
        <v>334</v>
      </c>
      <c r="VZH105" s="33" t="s">
        <v>334</v>
      </c>
      <c r="VZI105" s="33" t="s">
        <v>334</v>
      </c>
      <c r="VZJ105" s="33" t="s">
        <v>334</v>
      </c>
      <c r="VZK105" s="33" t="s">
        <v>334</v>
      </c>
      <c r="VZL105" s="33" t="s">
        <v>334</v>
      </c>
      <c r="VZM105" s="33" t="s">
        <v>334</v>
      </c>
      <c r="VZN105" s="33" t="s">
        <v>334</v>
      </c>
      <c r="VZO105" s="33" t="s">
        <v>334</v>
      </c>
      <c r="VZP105" s="33" t="s">
        <v>334</v>
      </c>
      <c r="VZQ105" s="33" t="s">
        <v>334</v>
      </c>
      <c r="VZR105" s="33" t="s">
        <v>334</v>
      </c>
      <c r="VZS105" s="33" t="s">
        <v>334</v>
      </c>
      <c r="VZT105" s="33" t="s">
        <v>334</v>
      </c>
      <c r="VZU105" s="33" t="s">
        <v>334</v>
      </c>
      <c r="VZV105" s="33" t="s">
        <v>334</v>
      </c>
      <c r="VZW105" s="33" t="s">
        <v>334</v>
      </c>
      <c r="VZX105" s="33" t="s">
        <v>334</v>
      </c>
      <c r="VZY105" s="33" t="s">
        <v>334</v>
      </c>
      <c r="VZZ105" s="33" t="s">
        <v>334</v>
      </c>
      <c r="WAA105" s="33" t="s">
        <v>334</v>
      </c>
      <c r="WAB105" s="33" t="s">
        <v>334</v>
      </c>
      <c r="WAC105" s="33" t="s">
        <v>334</v>
      </c>
      <c r="WAD105" s="33" t="s">
        <v>334</v>
      </c>
      <c r="WAE105" s="33" t="s">
        <v>334</v>
      </c>
      <c r="WAF105" s="33" t="s">
        <v>334</v>
      </c>
      <c r="WAG105" s="33" t="s">
        <v>334</v>
      </c>
      <c r="WAH105" s="33" t="s">
        <v>334</v>
      </c>
      <c r="WAI105" s="33" t="s">
        <v>334</v>
      </c>
      <c r="WAJ105" s="33" t="s">
        <v>334</v>
      </c>
      <c r="WAK105" s="33" t="s">
        <v>334</v>
      </c>
      <c r="WAL105" s="33" t="s">
        <v>334</v>
      </c>
      <c r="WAM105" s="33" t="s">
        <v>334</v>
      </c>
      <c r="WAN105" s="33" t="s">
        <v>334</v>
      </c>
      <c r="WAO105" s="33" t="s">
        <v>334</v>
      </c>
      <c r="WAP105" s="33" t="s">
        <v>334</v>
      </c>
      <c r="WAQ105" s="33" t="s">
        <v>334</v>
      </c>
      <c r="WAR105" s="33" t="s">
        <v>334</v>
      </c>
      <c r="WAS105" s="33" t="s">
        <v>334</v>
      </c>
      <c r="WAT105" s="33" t="s">
        <v>334</v>
      </c>
      <c r="WAU105" s="33" t="s">
        <v>334</v>
      </c>
      <c r="WAV105" s="33" t="s">
        <v>334</v>
      </c>
      <c r="WAW105" s="33" t="s">
        <v>334</v>
      </c>
      <c r="WAX105" s="33" t="s">
        <v>334</v>
      </c>
      <c r="WAY105" s="33" t="s">
        <v>334</v>
      </c>
      <c r="WAZ105" s="33" t="s">
        <v>334</v>
      </c>
      <c r="WBA105" s="33" t="s">
        <v>334</v>
      </c>
      <c r="WBB105" s="33" t="s">
        <v>334</v>
      </c>
      <c r="WBC105" s="33" t="s">
        <v>334</v>
      </c>
      <c r="WBD105" s="33" t="s">
        <v>334</v>
      </c>
      <c r="WBE105" s="33" t="s">
        <v>334</v>
      </c>
      <c r="WBF105" s="33" t="s">
        <v>334</v>
      </c>
      <c r="WBG105" s="33" t="s">
        <v>334</v>
      </c>
      <c r="WBH105" s="33" t="s">
        <v>334</v>
      </c>
      <c r="WBI105" s="33" t="s">
        <v>334</v>
      </c>
      <c r="WBJ105" s="33" t="s">
        <v>334</v>
      </c>
      <c r="WBK105" s="33" t="s">
        <v>334</v>
      </c>
      <c r="WBL105" s="33" t="s">
        <v>334</v>
      </c>
      <c r="WBM105" s="33" t="s">
        <v>334</v>
      </c>
      <c r="WBN105" s="33" t="s">
        <v>334</v>
      </c>
      <c r="WBO105" s="33" t="s">
        <v>334</v>
      </c>
      <c r="WBP105" s="33" t="s">
        <v>334</v>
      </c>
      <c r="WBQ105" s="33" t="s">
        <v>334</v>
      </c>
      <c r="WBR105" s="33" t="s">
        <v>334</v>
      </c>
      <c r="WBS105" s="33" t="s">
        <v>334</v>
      </c>
      <c r="WBT105" s="33" t="s">
        <v>334</v>
      </c>
      <c r="WBU105" s="33" t="s">
        <v>334</v>
      </c>
      <c r="WBV105" s="33" t="s">
        <v>334</v>
      </c>
      <c r="WBW105" s="33" t="s">
        <v>334</v>
      </c>
      <c r="WBX105" s="33" t="s">
        <v>334</v>
      </c>
      <c r="WBY105" s="33" t="s">
        <v>334</v>
      </c>
      <c r="WBZ105" s="33" t="s">
        <v>334</v>
      </c>
      <c r="WCA105" s="33" t="s">
        <v>334</v>
      </c>
      <c r="WCB105" s="33" t="s">
        <v>334</v>
      </c>
      <c r="WCC105" s="33" t="s">
        <v>334</v>
      </c>
      <c r="WCD105" s="33" t="s">
        <v>334</v>
      </c>
      <c r="WCE105" s="33" t="s">
        <v>334</v>
      </c>
      <c r="WCF105" s="33" t="s">
        <v>334</v>
      </c>
      <c r="WCG105" s="33" t="s">
        <v>334</v>
      </c>
      <c r="WCH105" s="33" t="s">
        <v>334</v>
      </c>
      <c r="WCI105" s="33" t="s">
        <v>334</v>
      </c>
      <c r="WCJ105" s="33" t="s">
        <v>334</v>
      </c>
      <c r="WCK105" s="33" t="s">
        <v>334</v>
      </c>
      <c r="WCL105" s="33" t="s">
        <v>334</v>
      </c>
      <c r="WCM105" s="33" t="s">
        <v>334</v>
      </c>
      <c r="WCN105" s="33" t="s">
        <v>334</v>
      </c>
      <c r="WCO105" s="33" t="s">
        <v>334</v>
      </c>
      <c r="WCP105" s="33" t="s">
        <v>334</v>
      </c>
      <c r="WCQ105" s="33" t="s">
        <v>334</v>
      </c>
      <c r="WCR105" s="33" t="s">
        <v>334</v>
      </c>
      <c r="WCS105" s="33" t="s">
        <v>334</v>
      </c>
      <c r="WCT105" s="33" t="s">
        <v>334</v>
      </c>
      <c r="WCU105" s="33" t="s">
        <v>334</v>
      </c>
      <c r="WCV105" s="33" t="s">
        <v>334</v>
      </c>
      <c r="WCW105" s="33" t="s">
        <v>334</v>
      </c>
      <c r="WCX105" s="33" t="s">
        <v>334</v>
      </c>
      <c r="WCY105" s="33" t="s">
        <v>334</v>
      </c>
      <c r="WCZ105" s="33" t="s">
        <v>334</v>
      </c>
      <c r="WDA105" s="33" t="s">
        <v>334</v>
      </c>
      <c r="WDB105" s="33" t="s">
        <v>334</v>
      </c>
      <c r="WDC105" s="33" t="s">
        <v>334</v>
      </c>
      <c r="WDD105" s="33" t="s">
        <v>334</v>
      </c>
      <c r="WDE105" s="33" t="s">
        <v>334</v>
      </c>
      <c r="WDF105" s="33" t="s">
        <v>334</v>
      </c>
      <c r="WDG105" s="33" t="s">
        <v>334</v>
      </c>
      <c r="WDH105" s="33" t="s">
        <v>334</v>
      </c>
      <c r="WDI105" s="33" t="s">
        <v>334</v>
      </c>
      <c r="WDJ105" s="33" t="s">
        <v>334</v>
      </c>
      <c r="WDK105" s="33" t="s">
        <v>334</v>
      </c>
      <c r="WDL105" s="33" t="s">
        <v>334</v>
      </c>
      <c r="WDM105" s="33" t="s">
        <v>334</v>
      </c>
      <c r="WDN105" s="33" t="s">
        <v>334</v>
      </c>
      <c r="WDO105" s="33" t="s">
        <v>334</v>
      </c>
      <c r="WDP105" s="33" t="s">
        <v>334</v>
      </c>
      <c r="WDQ105" s="33" t="s">
        <v>334</v>
      </c>
      <c r="WDR105" s="33" t="s">
        <v>334</v>
      </c>
      <c r="WDS105" s="33" t="s">
        <v>334</v>
      </c>
      <c r="WDT105" s="33" t="s">
        <v>334</v>
      </c>
      <c r="WDU105" s="33" t="s">
        <v>334</v>
      </c>
      <c r="WDV105" s="33" t="s">
        <v>334</v>
      </c>
      <c r="WDW105" s="33" t="s">
        <v>334</v>
      </c>
      <c r="WDX105" s="33" t="s">
        <v>334</v>
      </c>
      <c r="WDY105" s="33" t="s">
        <v>334</v>
      </c>
      <c r="WDZ105" s="33" t="s">
        <v>334</v>
      </c>
      <c r="WEA105" s="33" t="s">
        <v>334</v>
      </c>
      <c r="WEB105" s="33" t="s">
        <v>334</v>
      </c>
      <c r="WEC105" s="33" t="s">
        <v>334</v>
      </c>
      <c r="WED105" s="33" t="s">
        <v>334</v>
      </c>
      <c r="WEE105" s="33" t="s">
        <v>334</v>
      </c>
      <c r="WEF105" s="33" t="s">
        <v>334</v>
      </c>
      <c r="WEG105" s="33" t="s">
        <v>334</v>
      </c>
      <c r="WEH105" s="33" t="s">
        <v>334</v>
      </c>
      <c r="WEI105" s="33" t="s">
        <v>334</v>
      </c>
      <c r="WEJ105" s="33" t="s">
        <v>334</v>
      </c>
      <c r="WEK105" s="33" t="s">
        <v>334</v>
      </c>
      <c r="WEL105" s="33" t="s">
        <v>334</v>
      </c>
      <c r="WEM105" s="33" t="s">
        <v>334</v>
      </c>
      <c r="WEN105" s="33" t="s">
        <v>334</v>
      </c>
      <c r="WEO105" s="33" t="s">
        <v>334</v>
      </c>
      <c r="WEP105" s="33" t="s">
        <v>334</v>
      </c>
      <c r="WEQ105" s="33" t="s">
        <v>334</v>
      </c>
      <c r="WER105" s="33" t="s">
        <v>334</v>
      </c>
      <c r="WES105" s="33" t="s">
        <v>334</v>
      </c>
      <c r="WET105" s="33" t="s">
        <v>334</v>
      </c>
      <c r="WEU105" s="33" t="s">
        <v>334</v>
      </c>
      <c r="WEV105" s="33" t="s">
        <v>334</v>
      </c>
      <c r="WEW105" s="33" t="s">
        <v>334</v>
      </c>
      <c r="WEX105" s="33" t="s">
        <v>334</v>
      </c>
      <c r="WEY105" s="33" t="s">
        <v>334</v>
      </c>
      <c r="WEZ105" s="33" t="s">
        <v>334</v>
      </c>
      <c r="WFA105" s="33" t="s">
        <v>334</v>
      </c>
      <c r="WFB105" s="33" t="s">
        <v>334</v>
      </c>
      <c r="WFC105" s="33" t="s">
        <v>334</v>
      </c>
      <c r="WFD105" s="33" t="s">
        <v>334</v>
      </c>
      <c r="WFE105" s="33" t="s">
        <v>334</v>
      </c>
      <c r="WFF105" s="33" t="s">
        <v>334</v>
      </c>
      <c r="WFG105" s="33" t="s">
        <v>334</v>
      </c>
      <c r="WFH105" s="33" t="s">
        <v>334</v>
      </c>
      <c r="WFI105" s="33" t="s">
        <v>334</v>
      </c>
      <c r="WFJ105" s="33" t="s">
        <v>334</v>
      </c>
      <c r="WFK105" s="33" t="s">
        <v>334</v>
      </c>
      <c r="WFL105" s="33" t="s">
        <v>334</v>
      </c>
      <c r="WFM105" s="33" t="s">
        <v>334</v>
      </c>
      <c r="WFN105" s="33" t="s">
        <v>334</v>
      </c>
      <c r="WFO105" s="33" t="s">
        <v>334</v>
      </c>
      <c r="WFP105" s="33" t="s">
        <v>334</v>
      </c>
      <c r="WFQ105" s="33" t="s">
        <v>334</v>
      </c>
      <c r="WFR105" s="33" t="s">
        <v>334</v>
      </c>
      <c r="WFS105" s="33" t="s">
        <v>334</v>
      </c>
      <c r="WFT105" s="33" t="s">
        <v>334</v>
      </c>
      <c r="WFU105" s="33" t="s">
        <v>334</v>
      </c>
      <c r="WFV105" s="33" t="s">
        <v>334</v>
      </c>
      <c r="WFW105" s="33" t="s">
        <v>334</v>
      </c>
      <c r="WFX105" s="33" t="s">
        <v>334</v>
      </c>
      <c r="WFY105" s="33" t="s">
        <v>334</v>
      </c>
      <c r="WFZ105" s="33" t="s">
        <v>334</v>
      </c>
      <c r="WGA105" s="33" t="s">
        <v>334</v>
      </c>
      <c r="WGB105" s="33" t="s">
        <v>334</v>
      </c>
      <c r="WGC105" s="33" t="s">
        <v>334</v>
      </c>
      <c r="WGD105" s="33" t="s">
        <v>334</v>
      </c>
      <c r="WGE105" s="33" t="s">
        <v>334</v>
      </c>
      <c r="WGF105" s="33" t="s">
        <v>334</v>
      </c>
      <c r="WGG105" s="33" t="s">
        <v>334</v>
      </c>
      <c r="WGH105" s="33" t="s">
        <v>334</v>
      </c>
      <c r="WGI105" s="33" t="s">
        <v>334</v>
      </c>
      <c r="WGJ105" s="33" t="s">
        <v>334</v>
      </c>
      <c r="WGK105" s="33" t="s">
        <v>334</v>
      </c>
      <c r="WGL105" s="33" t="s">
        <v>334</v>
      </c>
      <c r="WGM105" s="33" t="s">
        <v>334</v>
      </c>
      <c r="WGN105" s="33" t="s">
        <v>334</v>
      </c>
      <c r="WGO105" s="33" t="s">
        <v>334</v>
      </c>
      <c r="WGP105" s="33" t="s">
        <v>334</v>
      </c>
      <c r="WGQ105" s="33" t="s">
        <v>334</v>
      </c>
      <c r="WGR105" s="33" t="s">
        <v>334</v>
      </c>
      <c r="WGS105" s="33" t="s">
        <v>334</v>
      </c>
      <c r="WGT105" s="33" t="s">
        <v>334</v>
      </c>
      <c r="WGU105" s="33" t="s">
        <v>334</v>
      </c>
      <c r="WGV105" s="33" t="s">
        <v>334</v>
      </c>
      <c r="WGW105" s="33" t="s">
        <v>334</v>
      </c>
      <c r="WGX105" s="33" t="s">
        <v>334</v>
      </c>
      <c r="WGY105" s="33" t="s">
        <v>334</v>
      </c>
      <c r="WGZ105" s="33" t="s">
        <v>334</v>
      </c>
      <c r="WHA105" s="33" t="s">
        <v>334</v>
      </c>
      <c r="WHB105" s="33" t="s">
        <v>334</v>
      </c>
      <c r="WHC105" s="33" t="s">
        <v>334</v>
      </c>
      <c r="WHD105" s="33" t="s">
        <v>334</v>
      </c>
      <c r="WHE105" s="33" t="s">
        <v>334</v>
      </c>
      <c r="WHF105" s="33" t="s">
        <v>334</v>
      </c>
      <c r="WHG105" s="33" t="s">
        <v>334</v>
      </c>
      <c r="WHH105" s="33" t="s">
        <v>334</v>
      </c>
      <c r="WHI105" s="33" t="s">
        <v>334</v>
      </c>
      <c r="WHJ105" s="33" t="s">
        <v>334</v>
      </c>
      <c r="WHK105" s="33" t="s">
        <v>334</v>
      </c>
      <c r="WHL105" s="33" t="s">
        <v>334</v>
      </c>
      <c r="WHM105" s="33" t="s">
        <v>334</v>
      </c>
      <c r="WHN105" s="33" t="s">
        <v>334</v>
      </c>
      <c r="WHO105" s="33" t="s">
        <v>334</v>
      </c>
      <c r="WHP105" s="33" t="s">
        <v>334</v>
      </c>
      <c r="WHQ105" s="33" t="s">
        <v>334</v>
      </c>
      <c r="WHR105" s="33" t="s">
        <v>334</v>
      </c>
      <c r="WHS105" s="33" t="s">
        <v>334</v>
      </c>
      <c r="WHT105" s="33" t="s">
        <v>334</v>
      </c>
      <c r="WHU105" s="33" t="s">
        <v>334</v>
      </c>
      <c r="WHV105" s="33" t="s">
        <v>334</v>
      </c>
      <c r="WHW105" s="33" t="s">
        <v>334</v>
      </c>
      <c r="WHX105" s="33" t="s">
        <v>334</v>
      </c>
      <c r="WHY105" s="33" t="s">
        <v>334</v>
      </c>
      <c r="WHZ105" s="33" t="s">
        <v>334</v>
      </c>
      <c r="WIA105" s="33" t="s">
        <v>334</v>
      </c>
      <c r="WIB105" s="33" t="s">
        <v>334</v>
      </c>
      <c r="WIC105" s="33" t="s">
        <v>334</v>
      </c>
      <c r="WID105" s="33" t="s">
        <v>334</v>
      </c>
      <c r="WIE105" s="33" t="s">
        <v>334</v>
      </c>
      <c r="WIF105" s="33" t="s">
        <v>334</v>
      </c>
      <c r="WIG105" s="33" t="s">
        <v>334</v>
      </c>
      <c r="WIH105" s="33" t="s">
        <v>334</v>
      </c>
      <c r="WII105" s="33" t="s">
        <v>334</v>
      </c>
      <c r="WIJ105" s="33" t="s">
        <v>334</v>
      </c>
      <c r="WIK105" s="33" t="s">
        <v>334</v>
      </c>
      <c r="WIL105" s="33" t="s">
        <v>334</v>
      </c>
      <c r="WIM105" s="33" t="s">
        <v>334</v>
      </c>
      <c r="WIN105" s="33" t="s">
        <v>334</v>
      </c>
      <c r="WIO105" s="33" t="s">
        <v>334</v>
      </c>
      <c r="WIP105" s="33" t="s">
        <v>334</v>
      </c>
      <c r="WIQ105" s="33" t="s">
        <v>334</v>
      </c>
      <c r="WIR105" s="33" t="s">
        <v>334</v>
      </c>
      <c r="WIS105" s="33" t="s">
        <v>334</v>
      </c>
      <c r="WIT105" s="33" t="s">
        <v>334</v>
      </c>
      <c r="WIU105" s="33" t="s">
        <v>334</v>
      </c>
      <c r="WIV105" s="33" t="s">
        <v>334</v>
      </c>
      <c r="WIW105" s="33" t="s">
        <v>334</v>
      </c>
      <c r="WIX105" s="33" t="s">
        <v>334</v>
      </c>
      <c r="WIY105" s="33" t="s">
        <v>334</v>
      </c>
      <c r="WIZ105" s="33" t="s">
        <v>334</v>
      </c>
      <c r="WJA105" s="33" t="s">
        <v>334</v>
      </c>
      <c r="WJB105" s="33" t="s">
        <v>334</v>
      </c>
      <c r="WJC105" s="33" t="s">
        <v>334</v>
      </c>
      <c r="WJD105" s="33" t="s">
        <v>334</v>
      </c>
      <c r="WJE105" s="33" t="s">
        <v>334</v>
      </c>
      <c r="WJF105" s="33" t="s">
        <v>334</v>
      </c>
      <c r="WJG105" s="33" t="s">
        <v>334</v>
      </c>
      <c r="WJH105" s="33" t="s">
        <v>334</v>
      </c>
      <c r="WJI105" s="33" t="s">
        <v>334</v>
      </c>
      <c r="WJJ105" s="33" t="s">
        <v>334</v>
      </c>
      <c r="WJK105" s="33" t="s">
        <v>334</v>
      </c>
      <c r="WJL105" s="33" t="s">
        <v>334</v>
      </c>
      <c r="WJM105" s="33" t="s">
        <v>334</v>
      </c>
      <c r="WJN105" s="33" t="s">
        <v>334</v>
      </c>
      <c r="WJO105" s="33" t="s">
        <v>334</v>
      </c>
      <c r="WJP105" s="33" t="s">
        <v>334</v>
      </c>
      <c r="WJQ105" s="33" t="s">
        <v>334</v>
      </c>
      <c r="WJR105" s="33" t="s">
        <v>334</v>
      </c>
      <c r="WJS105" s="33" t="s">
        <v>334</v>
      </c>
      <c r="WJT105" s="33" t="s">
        <v>334</v>
      </c>
      <c r="WJU105" s="33" t="s">
        <v>334</v>
      </c>
      <c r="WJV105" s="33" t="s">
        <v>334</v>
      </c>
      <c r="WJW105" s="33" t="s">
        <v>334</v>
      </c>
      <c r="WJX105" s="33" t="s">
        <v>334</v>
      </c>
      <c r="WJY105" s="33" t="s">
        <v>334</v>
      </c>
      <c r="WJZ105" s="33" t="s">
        <v>334</v>
      </c>
      <c r="WKA105" s="33" t="s">
        <v>334</v>
      </c>
      <c r="WKB105" s="33" t="s">
        <v>334</v>
      </c>
      <c r="WKC105" s="33" t="s">
        <v>334</v>
      </c>
      <c r="WKD105" s="33" t="s">
        <v>334</v>
      </c>
      <c r="WKE105" s="33" t="s">
        <v>334</v>
      </c>
      <c r="WKF105" s="33" t="s">
        <v>334</v>
      </c>
      <c r="WKG105" s="33" t="s">
        <v>334</v>
      </c>
      <c r="WKH105" s="33" t="s">
        <v>334</v>
      </c>
      <c r="WKI105" s="33" t="s">
        <v>334</v>
      </c>
      <c r="WKJ105" s="33" t="s">
        <v>334</v>
      </c>
      <c r="WKK105" s="33" t="s">
        <v>334</v>
      </c>
      <c r="WKL105" s="33" t="s">
        <v>334</v>
      </c>
      <c r="WKM105" s="33" t="s">
        <v>334</v>
      </c>
      <c r="WKN105" s="33" t="s">
        <v>334</v>
      </c>
      <c r="WKO105" s="33" t="s">
        <v>334</v>
      </c>
      <c r="WKP105" s="33" t="s">
        <v>334</v>
      </c>
      <c r="WKQ105" s="33" t="s">
        <v>334</v>
      </c>
      <c r="WKR105" s="33" t="s">
        <v>334</v>
      </c>
      <c r="WKS105" s="33" t="s">
        <v>334</v>
      </c>
      <c r="WKT105" s="33" t="s">
        <v>334</v>
      </c>
      <c r="WKU105" s="33" t="s">
        <v>334</v>
      </c>
      <c r="WKV105" s="33" t="s">
        <v>334</v>
      </c>
      <c r="WKW105" s="33" t="s">
        <v>334</v>
      </c>
      <c r="WKX105" s="33" t="s">
        <v>334</v>
      </c>
      <c r="WKY105" s="33" t="s">
        <v>334</v>
      </c>
      <c r="WKZ105" s="33" t="s">
        <v>334</v>
      </c>
      <c r="WLA105" s="33" t="s">
        <v>334</v>
      </c>
      <c r="WLB105" s="33" t="s">
        <v>334</v>
      </c>
      <c r="WLC105" s="33" t="s">
        <v>334</v>
      </c>
      <c r="WLD105" s="33" t="s">
        <v>334</v>
      </c>
      <c r="WLE105" s="33" t="s">
        <v>334</v>
      </c>
      <c r="WLF105" s="33" t="s">
        <v>334</v>
      </c>
      <c r="WLG105" s="33" t="s">
        <v>334</v>
      </c>
      <c r="WLH105" s="33" t="s">
        <v>334</v>
      </c>
      <c r="WLI105" s="33" t="s">
        <v>334</v>
      </c>
      <c r="WLJ105" s="33" t="s">
        <v>334</v>
      </c>
      <c r="WLK105" s="33" t="s">
        <v>334</v>
      </c>
      <c r="WLL105" s="33" t="s">
        <v>334</v>
      </c>
      <c r="WLM105" s="33" t="s">
        <v>334</v>
      </c>
      <c r="WLN105" s="33" t="s">
        <v>334</v>
      </c>
      <c r="WLO105" s="33" t="s">
        <v>334</v>
      </c>
      <c r="WLP105" s="33" t="s">
        <v>334</v>
      </c>
      <c r="WLQ105" s="33" t="s">
        <v>334</v>
      </c>
      <c r="WLR105" s="33" t="s">
        <v>334</v>
      </c>
      <c r="WLS105" s="33" t="s">
        <v>334</v>
      </c>
      <c r="WLT105" s="33" t="s">
        <v>334</v>
      </c>
      <c r="WLU105" s="33" t="s">
        <v>334</v>
      </c>
      <c r="WLV105" s="33" t="s">
        <v>334</v>
      </c>
      <c r="WLW105" s="33" t="s">
        <v>334</v>
      </c>
      <c r="WLX105" s="33" t="s">
        <v>334</v>
      </c>
      <c r="WLY105" s="33" t="s">
        <v>334</v>
      </c>
      <c r="WLZ105" s="33" t="s">
        <v>334</v>
      </c>
      <c r="WMA105" s="33" t="s">
        <v>334</v>
      </c>
      <c r="WMB105" s="33" t="s">
        <v>334</v>
      </c>
      <c r="WMC105" s="33" t="s">
        <v>334</v>
      </c>
      <c r="WMD105" s="33" t="s">
        <v>334</v>
      </c>
      <c r="WME105" s="33" t="s">
        <v>334</v>
      </c>
      <c r="WMF105" s="33" t="s">
        <v>334</v>
      </c>
      <c r="WMG105" s="33" t="s">
        <v>334</v>
      </c>
      <c r="WMH105" s="33" t="s">
        <v>334</v>
      </c>
      <c r="WMI105" s="33" t="s">
        <v>334</v>
      </c>
      <c r="WMJ105" s="33" t="s">
        <v>334</v>
      </c>
      <c r="WMK105" s="33" t="s">
        <v>334</v>
      </c>
      <c r="WML105" s="33" t="s">
        <v>334</v>
      </c>
      <c r="WMM105" s="33" t="s">
        <v>334</v>
      </c>
      <c r="WMN105" s="33" t="s">
        <v>334</v>
      </c>
      <c r="WMO105" s="33" t="s">
        <v>334</v>
      </c>
      <c r="WMP105" s="33" t="s">
        <v>334</v>
      </c>
      <c r="WMQ105" s="33" t="s">
        <v>334</v>
      </c>
      <c r="WMR105" s="33" t="s">
        <v>334</v>
      </c>
      <c r="WMS105" s="33" t="s">
        <v>334</v>
      </c>
      <c r="WMT105" s="33" t="s">
        <v>334</v>
      </c>
      <c r="WMU105" s="33" t="s">
        <v>334</v>
      </c>
      <c r="WMV105" s="33" t="s">
        <v>334</v>
      </c>
      <c r="WMW105" s="33" t="s">
        <v>334</v>
      </c>
      <c r="WMX105" s="33" t="s">
        <v>334</v>
      </c>
      <c r="WMY105" s="33" t="s">
        <v>334</v>
      </c>
      <c r="WMZ105" s="33" t="s">
        <v>334</v>
      </c>
      <c r="WNA105" s="33" t="s">
        <v>334</v>
      </c>
      <c r="WNB105" s="33" t="s">
        <v>334</v>
      </c>
      <c r="WNC105" s="33" t="s">
        <v>334</v>
      </c>
      <c r="WND105" s="33" t="s">
        <v>334</v>
      </c>
      <c r="WNE105" s="33" t="s">
        <v>334</v>
      </c>
      <c r="WNF105" s="33" t="s">
        <v>334</v>
      </c>
      <c r="WNG105" s="33" t="s">
        <v>334</v>
      </c>
      <c r="WNH105" s="33" t="s">
        <v>334</v>
      </c>
      <c r="WNI105" s="33" t="s">
        <v>334</v>
      </c>
      <c r="WNJ105" s="33" t="s">
        <v>334</v>
      </c>
      <c r="WNK105" s="33" t="s">
        <v>334</v>
      </c>
      <c r="WNL105" s="33" t="s">
        <v>334</v>
      </c>
      <c r="WNM105" s="33" t="s">
        <v>334</v>
      </c>
      <c r="WNN105" s="33" t="s">
        <v>334</v>
      </c>
      <c r="WNO105" s="33" t="s">
        <v>334</v>
      </c>
      <c r="WNP105" s="33" t="s">
        <v>334</v>
      </c>
      <c r="WNQ105" s="33" t="s">
        <v>334</v>
      </c>
      <c r="WNR105" s="33" t="s">
        <v>334</v>
      </c>
      <c r="WNS105" s="33" t="s">
        <v>334</v>
      </c>
      <c r="WNT105" s="33" t="s">
        <v>334</v>
      </c>
      <c r="WNU105" s="33" t="s">
        <v>334</v>
      </c>
      <c r="WNV105" s="33" t="s">
        <v>334</v>
      </c>
      <c r="WNW105" s="33" t="s">
        <v>334</v>
      </c>
      <c r="WNX105" s="33" t="s">
        <v>334</v>
      </c>
      <c r="WNY105" s="33" t="s">
        <v>334</v>
      </c>
      <c r="WNZ105" s="33" t="s">
        <v>334</v>
      </c>
      <c r="WOA105" s="33" t="s">
        <v>334</v>
      </c>
      <c r="WOB105" s="33" t="s">
        <v>334</v>
      </c>
      <c r="WOC105" s="33" t="s">
        <v>334</v>
      </c>
      <c r="WOD105" s="33" t="s">
        <v>334</v>
      </c>
      <c r="WOE105" s="33" t="s">
        <v>334</v>
      </c>
      <c r="WOF105" s="33" t="s">
        <v>334</v>
      </c>
      <c r="WOG105" s="33" t="s">
        <v>334</v>
      </c>
      <c r="WOH105" s="33" t="s">
        <v>334</v>
      </c>
      <c r="WOI105" s="33" t="s">
        <v>334</v>
      </c>
      <c r="WOJ105" s="33" t="s">
        <v>334</v>
      </c>
      <c r="WOK105" s="33" t="s">
        <v>334</v>
      </c>
      <c r="WOL105" s="33" t="s">
        <v>334</v>
      </c>
      <c r="WOM105" s="33" t="s">
        <v>334</v>
      </c>
      <c r="WON105" s="33" t="s">
        <v>334</v>
      </c>
      <c r="WOO105" s="33" t="s">
        <v>334</v>
      </c>
      <c r="WOP105" s="33" t="s">
        <v>334</v>
      </c>
      <c r="WOQ105" s="33" t="s">
        <v>334</v>
      </c>
      <c r="WOR105" s="33" t="s">
        <v>334</v>
      </c>
      <c r="WOS105" s="33" t="s">
        <v>334</v>
      </c>
      <c r="WOT105" s="33" t="s">
        <v>334</v>
      </c>
      <c r="WOU105" s="33" t="s">
        <v>334</v>
      </c>
      <c r="WOV105" s="33" t="s">
        <v>334</v>
      </c>
      <c r="WOW105" s="33" t="s">
        <v>334</v>
      </c>
      <c r="WOX105" s="33" t="s">
        <v>334</v>
      </c>
      <c r="WOY105" s="33" t="s">
        <v>334</v>
      </c>
      <c r="WOZ105" s="33" t="s">
        <v>334</v>
      </c>
      <c r="WPA105" s="33" t="s">
        <v>334</v>
      </c>
      <c r="WPB105" s="33" t="s">
        <v>334</v>
      </c>
      <c r="WPC105" s="33" t="s">
        <v>334</v>
      </c>
      <c r="WPD105" s="33" t="s">
        <v>334</v>
      </c>
      <c r="WPE105" s="33" t="s">
        <v>334</v>
      </c>
      <c r="WPF105" s="33" t="s">
        <v>334</v>
      </c>
      <c r="WPG105" s="33" t="s">
        <v>334</v>
      </c>
      <c r="WPH105" s="33" t="s">
        <v>334</v>
      </c>
      <c r="WPI105" s="33" t="s">
        <v>334</v>
      </c>
      <c r="WPJ105" s="33" t="s">
        <v>334</v>
      </c>
      <c r="WPK105" s="33" t="s">
        <v>334</v>
      </c>
      <c r="WPL105" s="33" t="s">
        <v>334</v>
      </c>
      <c r="WPM105" s="33" t="s">
        <v>334</v>
      </c>
      <c r="WPN105" s="33" t="s">
        <v>334</v>
      </c>
      <c r="WPO105" s="33" t="s">
        <v>334</v>
      </c>
      <c r="WPP105" s="33" t="s">
        <v>334</v>
      </c>
      <c r="WPQ105" s="33" t="s">
        <v>334</v>
      </c>
      <c r="WPR105" s="33" t="s">
        <v>334</v>
      </c>
      <c r="WPS105" s="33" t="s">
        <v>334</v>
      </c>
      <c r="WPT105" s="33" t="s">
        <v>334</v>
      </c>
      <c r="WPU105" s="33" t="s">
        <v>334</v>
      </c>
      <c r="WPV105" s="33" t="s">
        <v>334</v>
      </c>
      <c r="WPW105" s="33" t="s">
        <v>334</v>
      </c>
      <c r="WPX105" s="33" t="s">
        <v>334</v>
      </c>
      <c r="WPY105" s="33" t="s">
        <v>334</v>
      </c>
      <c r="WPZ105" s="33" t="s">
        <v>334</v>
      </c>
      <c r="WQA105" s="33" t="s">
        <v>334</v>
      </c>
      <c r="WQB105" s="33" t="s">
        <v>334</v>
      </c>
      <c r="WQC105" s="33" t="s">
        <v>334</v>
      </c>
      <c r="WQD105" s="33" t="s">
        <v>334</v>
      </c>
      <c r="WQE105" s="33" t="s">
        <v>334</v>
      </c>
      <c r="WQF105" s="33" t="s">
        <v>334</v>
      </c>
      <c r="WQG105" s="33" t="s">
        <v>334</v>
      </c>
      <c r="WQH105" s="33" t="s">
        <v>334</v>
      </c>
      <c r="WQI105" s="33" t="s">
        <v>334</v>
      </c>
      <c r="WQJ105" s="33" t="s">
        <v>334</v>
      </c>
      <c r="WQK105" s="33" t="s">
        <v>334</v>
      </c>
      <c r="WQL105" s="33" t="s">
        <v>334</v>
      </c>
      <c r="WQM105" s="33" t="s">
        <v>334</v>
      </c>
      <c r="WQN105" s="33" t="s">
        <v>334</v>
      </c>
      <c r="WQO105" s="33" t="s">
        <v>334</v>
      </c>
      <c r="WQP105" s="33" t="s">
        <v>334</v>
      </c>
      <c r="WQQ105" s="33" t="s">
        <v>334</v>
      </c>
      <c r="WQR105" s="33" t="s">
        <v>334</v>
      </c>
      <c r="WQS105" s="33" t="s">
        <v>334</v>
      </c>
      <c r="WQT105" s="33" t="s">
        <v>334</v>
      </c>
      <c r="WQU105" s="33" t="s">
        <v>334</v>
      </c>
      <c r="WQV105" s="33" t="s">
        <v>334</v>
      </c>
      <c r="WQW105" s="33" t="s">
        <v>334</v>
      </c>
      <c r="WQX105" s="33" t="s">
        <v>334</v>
      </c>
      <c r="WQY105" s="33" t="s">
        <v>334</v>
      </c>
      <c r="WQZ105" s="33" t="s">
        <v>334</v>
      </c>
      <c r="WRA105" s="33" t="s">
        <v>334</v>
      </c>
      <c r="WRB105" s="33" t="s">
        <v>334</v>
      </c>
      <c r="WRC105" s="33" t="s">
        <v>334</v>
      </c>
      <c r="WRD105" s="33" t="s">
        <v>334</v>
      </c>
      <c r="WRE105" s="33" t="s">
        <v>334</v>
      </c>
      <c r="WRF105" s="33" t="s">
        <v>334</v>
      </c>
      <c r="WRG105" s="33" t="s">
        <v>334</v>
      </c>
      <c r="WRH105" s="33" t="s">
        <v>334</v>
      </c>
      <c r="WRI105" s="33" t="s">
        <v>334</v>
      </c>
      <c r="WRJ105" s="33" t="s">
        <v>334</v>
      </c>
      <c r="WRK105" s="33" t="s">
        <v>334</v>
      </c>
      <c r="WRL105" s="33" t="s">
        <v>334</v>
      </c>
      <c r="WRM105" s="33" t="s">
        <v>334</v>
      </c>
      <c r="WRN105" s="33" t="s">
        <v>334</v>
      </c>
      <c r="WRO105" s="33" t="s">
        <v>334</v>
      </c>
      <c r="WRP105" s="33" t="s">
        <v>334</v>
      </c>
      <c r="WRQ105" s="33" t="s">
        <v>334</v>
      </c>
      <c r="WRR105" s="33" t="s">
        <v>334</v>
      </c>
      <c r="WRS105" s="33" t="s">
        <v>334</v>
      </c>
      <c r="WRT105" s="33" t="s">
        <v>334</v>
      </c>
      <c r="WRU105" s="33" t="s">
        <v>334</v>
      </c>
      <c r="WRV105" s="33" t="s">
        <v>334</v>
      </c>
      <c r="WRW105" s="33" t="s">
        <v>334</v>
      </c>
      <c r="WRX105" s="33" t="s">
        <v>334</v>
      </c>
      <c r="WRY105" s="33" t="s">
        <v>334</v>
      </c>
      <c r="WRZ105" s="33" t="s">
        <v>334</v>
      </c>
      <c r="WSA105" s="33" t="s">
        <v>334</v>
      </c>
      <c r="WSB105" s="33" t="s">
        <v>334</v>
      </c>
      <c r="WSC105" s="33" t="s">
        <v>334</v>
      </c>
      <c r="WSD105" s="33" t="s">
        <v>334</v>
      </c>
      <c r="WSE105" s="33" t="s">
        <v>334</v>
      </c>
      <c r="WSF105" s="33" t="s">
        <v>334</v>
      </c>
      <c r="WSG105" s="33" t="s">
        <v>334</v>
      </c>
      <c r="WSH105" s="33" t="s">
        <v>334</v>
      </c>
      <c r="WSI105" s="33" t="s">
        <v>334</v>
      </c>
      <c r="WSJ105" s="33" t="s">
        <v>334</v>
      </c>
      <c r="WSK105" s="33" t="s">
        <v>334</v>
      </c>
      <c r="WSL105" s="33" t="s">
        <v>334</v>
      </c>
      <c r="WSM105" s="33" t="s">
        <v>334</v>
      </c>
      <c r="WSN105" s="33" t="s">
        <v>334</v>
      </c>
      <c r="WSO105" s="33" t="s">
        <v>334</v>
      </c>
      <c r="WSP105" s="33" t="s">
        <v>334</v>
      </c>
      <c r="WSQ105" s="33" t="s">
        <v>334</v>
      </c>
      <c r="WSR105" s="33" t="s">
        <v>334</v>
      </c>
      <c r="WSS105" s="33" t="s">
        <v>334</v>
      </c>
      <c r="WST105" s="33" t="s">
        <v>334</v>
      </c>
      <c r="WSU105" s="33" t="s">
        <v>334</v>
      </c>
      <c r="WSV105" s="33" t="s">
        <v>334</v>
      </c>
      <c r="WSW105" s="33" t="s">
        <v>334</v>
      </c>
      <c r="WSX105" s="33" t="s">
        <v>334</v>
      </c>
      <c r="WSY105" s="33" t="s">
        <v>334</v>
      </c>
      <c r="WSZ105" s="33" t="s">
        <v>334</v>
      </c>
      <c r="WTA105" s="33" t="s">
        <v>334</v>
      </c>
      <c r="WTB105" s="33" t="s">
        <v>334</v>
      </c>
      <c r="WTC105" s="33" t="s">
        <v>334</v>
      </c>
      <c r="WTD105" s="33" t="s">
        <v>334</v>
      </c>
      <c r="WTE105" s="33" t="s">
        <v>334</v>
      </c>
      <c r="WTF105" s="33" t="s">
        <v>334</v>
      </c>
      <c r="WTG105" s="33" t="s">
        <v>334</v>
      </c>
      <c r="WTH105" s="33" t="s">
        <v>334</v>
      </c>
      <c r="WTI105" s="33" t="s">
        <v>334</v>
      </c>
      <c r="WTJ105" s="33" t="s">
        <v>334</v>
      </c>
      <c r="WTK105" s="33" t="s">
        <v>334</v>
      </c>
      <c r="WTL105" s="33" t="s">
        <v>334</v>
      </c>
      <c r="WTM105" s="33" t="s">
        <v>334</v>
      </c>
      <c r="WTN105" s="33" t="s">
        <v>334</v>
      </c>
      <c r="WTO105" s="33" t="s">
        <v>334</v>
      </c>
      <c r="WTP105" s="33" t="s">
        <v>334</v>
      </c>
      <c r="WTQ105" s="33" t="s">
        <v>334</v>
      </c>
      <c r="WTR105" s="33" t="s">
        <v>334</v>
      </c>
      <c r="WTS105" s="33" t="s">
        <v>334</v>
      </c>
      <c r="WTT105" s="33" t="s">
        <v>334</v>
      </c>
      <c r="WTU105" s="33" t="s">
        <v>334</v>
      </c>
      <c r="WTV105" s="33" t="s">
        <v>334</v>
      </c>
      <c r="WTW105" s="33" t="s">
        <v>334</v>
      </c>
      <c r="WTX105" s="33" t="s">
        <v>334</v>
      </c>
      <c r="WTY105" s="33" t="s">
        <v>334</v>
      </c>
      <c r="WTZ105" s="33" t="s">
        <v>334</v>
      </c>
      <c r="WUA105" s="33" t="s">
        <v>334</v>
      </c>
      <c r="WUB105" s="33" t="s">
        <v>334</v>
      </c>
      <c r="WUC105" s="33" t="s">
        <v>334</v>
      </c>
      <c r="WUD105" s="33" t="s">
        <v>334</v>
      </c>
      <c r="WUE105" s="33" t="s">
        <v>334</v>
      </c>
      <c r="WUF105" s="33" t="s">
        <v>334</v>
      </c>
      <c r="WUG105" s="33" t="s">
        <v>334</v>
      </c>
      <c r="WUH105" s="33" t="s">
        <v>334</v>
      </c>
      <c r="WUI105" s="33" t="s">
        <v>334</v>
      </c>
      <c r="WUJ105" s="33" t="s">
        <v>334</v>
      </c>
      <c r="WUK105" s="33" t="s">
        <v>334</v>
      </c>
      <c r="WUL105" s="33" t="s">
        <v>334</v>
      </c>
      <c r="WUM105" s="33" t="s">
        <v>334</v>
      </c>
      <c r="WUN105" s="33" t="s">
        <v>334</v>
      </c>
      <c r="WUO105" s="33" t="s">
        <v>334</v>
      </c>
      <c r="WUP105" s="33" t="s">
        <v>334</v>
      </c>
      <c r="WUQ105" s="33" t="s">
        <v>334</v>
      </c>
      <c r="WUR105" s="33" t="s">
        <v>334</v>
      </c>
      <c r="WUS105" s="33" t="s">
        <v>334</v>
      </c>
      <c r="WUT105" s="33" t="s">
        <v>334</v>
      </c>
      <c r="WUU105" s="33" t="s">
        <v>334</v>
      </c>
      <c r="WUV105" s="33" t="s">
        <v>334</v>
      </c>
      <c r="WUW105" s="33" t="s">
        <v>334</v>
      </c>
      <c r="WUX105" s="33" t="s">
        <v>334</v>
      </c>
      <c r="WUY105" s="33" t="s">
        <v>334</v>
      </c>
      <c r="WUZ105" s="33" t="s">
        <v>334</v>
      </c>
      <c r="WVA105" s="33" t="s">
        <v>334</v>
      </c>
      <c r="WVB105" s="33" t="s">
        <v>334</v>
      </c>
      <c r="WVC105" s="33" t="s">
        <v>334</v>
      </c>
      <c r="WVD105" s="33" t="s">
        <v>334</v>
      </c>
      <c r="WVE105" s="33" t="s">
        <v>334</v>
      </c>
      <c r="WVF105" s="33" t="s">
        <v>334</v>
      </c>
      <c r="WVG105" s="33" t="s">
        <v>334</v>
      </c>
      <c r="WVH105" s="33" t="s">
        <v>334</v>
      </c>
      <c r="WVI105" s="33" t="s">
        <v>334</v>
      </c>
      <c r="WVJ105" s="33" t="s">
        <v>334</v>
      </c>
      <c r="WVK105" s="33" t="s">
        <v>334</v>
      </c>
      <c r="WVL105" s="33" t="s">
        <v>334</v>
      </c>
      <c r="WVM105" s="33" t="s">
        <v>334</v>
      </c>
      <c r="WVN105" s="33" t="s">
        <v>334</v>
      </c>
      <c r="WVO105" s="33" t="s">
        <v>334</v>
      </c>
      <c r="WVP105" s="33" t="s">
        <v>334</v>
      </c>
      <c r="WVQ105" s="33" t="s">
        <v>334</v>
      </c>
      <c r="WVR105" s="33" t="s">
        <v>334</v>
      </c>
      <c r="WVS105" s="33" t="s">
        <v>334</v>
      </c>
      <c r="WVT105" s="33" t="s">
        <v>334</v>
      </c>
      <c r="WVU105" s="33" t="s">
        <v>334</v>
      </c>
      <c r="WVV105" s="33" t="s">
        <v>334</v>
      </c>
      <c r="WVW105" s="33" t="s">
        <v>334</v>
      </c>
      <c r="WVX105" s="33" t="s">
        <v>334</v>
      </c>
      <c r="WVY105" s="33" t="s">
        <v>334</v>
      </c>
      <c r="WVZ105" s="33" t="s">
        <v>334</v>
      </c>
      <c r="WWA105" s="33" t="s">
        <v>334</v>
      </c>
      <c r="WWB105" s="33" t="s">
        <v>334</v>
      </c>
      <c r="WWC105" s="33" t="s">
        <v>334</v>
      </c>
      <c r="WWD105" s="33" t="s">
        <v>334</v>
      </c>
      <c r="WWE105" s="33" t="s">
        <v>334</v>
      </c>
      <c r="WWF105" s="33" t="s">
        <v>334</v>
      </c>
      <c r="WWG105" s="33" t="s">
        <v>334</v>
      </c>
      <c r="WWH105" s="33" t="s">
        <v>334</v>
      </c>
      <c r="WWI105" s="33" t="s">
        <v>334</v>
      </c>
      <c r="WWJ105" s="33" t="s">
        <v>334</v>
      </c>
      <c r="WWK105" s="33" t="s">
        <v>334</v>
      </c>
      <c r="WWL105" s="33" t="s">
        <v>334</v>
      </c>
      <c r="WWM105" s="33" t="s">
        <v>334</v>
      </c>
      <c r="WWN105" s="33" t="s">
        <v>334</v>
      </c>
      <c r="WWO105" s="33" t="s">
        <v>334</v>
      </c>
      <c r="WWP105" s="33" t="s">
        <v>334</v>
      </c>
      <c r="WWQ105" s="33" t="s">
        <v>334</v>
      </c>
      <c r="WWR105" s="33" t="s">
        <v>334</v>
      </c>
      <c r="WWS105" s="33" t="s">
        <v>334</v>
      </c>
      <c r="WWT105" s="33" t="s">
        <v>334</v>
      </c>
      <c r="WWU105" s="33" t="s">
        <v>334</v>
      </c>
      <c r="WWV105" s="33" t="s">
        <v>334</v>
      </c>
      <c r="WWW105" s="33" t="s">
        <v>334</v>
      </c>
      <c r="WWX105" s="33" t="s">
        <v>334</v>
      </c>
      <c r="WWY105" s="33" t="s">
        <v>334</v>
      </c>
      <c r="WWZ105" s="33" t="s">
        <v>334</v>
      </c>
      <c r="WXA105" s="33" t="s">
        <v>334</v>
      </c>
      <c r="WXB105" s="33" t="s">
        <v>334</v>
      </c>
      <c r="WXC105" s="33" t="s">
        <v>334</v>
      </c>
      <c r="WXD105" s="33" t="s">
        <v>334</v>
      </c>
      <c r="WXE105" s="33" t="s">
        <v>334</v>
      </c>
      <c r="WXF105" s="33" t="s">
        <v>334</v>
      </c>
      <c r="WXG105" s="33" t="s">
        <v>334</v>
      </c>
      <c r="WXH105" s="33" t="s">
        <v>334</v>
      </c>
      <c r="WXI105" s="33" t="s">
        <v>334</v>
      </c>
      <c r="WXJ105" s="33" t="s">
        <v>334</v>
      </c>
      <c r="WXK105" s="33" t="s">
        <v>334</v>
      </c>
      <c r="WXL105" s="33" t="s">
        <v>334</v>
      </c>
      <c r="WXM105" s="33" t="s">
        <v>334</v>
      </c>
      <c r="WXN105" s="33" t="s">
        <v>334</v>
      </c>
      <c r="WXO105" s="33" t="s">
        <v>334</v>
      </c>
      <c r="WXP105" s="33" t="s">
        <v>334</v>
      </c>
      <c r="WXQ105" s="33" t="s">
        <v>334</v>
      </c>
      <c r="WXR105" s="33" t="s">
        <v>334</v>
      </c>
      <c r="WXS105" s="33" t="s">
        <v>334</v>
      </c>
      <c r="WXT105" s="33" t="s">
        <v>334</v>
      </c>
      <c r="WXU105" s="33" t="s">
        <v>334</v>
      </c>
      <c r="WXV105" s="33" t="s">
        <v>334</v>
      </c>
      <c r="WXW105" s="33" t="s">
        <v>334</v>
      </c>
      <c r="WXX105" s="33" t="s">
        <v>334</v>
      </c>
      <c r="WXY105" s="33" t="s">
        <v>334</v>
      </c>
      <c r="WXZ105" s="33" t="s">
        <v>334</v>
      </c>
      <c r="WYA105" s="33" t="s">
        <v>334</v>
      </c>
      <c r="WYB105" s="33" t="s">
        <v>334</v>
      </c>
      <c r="WYC105" s="33" t="s">
        <v>334</v>
      </c>
      <c r="WYD105" s="33" t="s">
        <v>334</v>
      </c>
      <c r="WYE105" s="33" t="s">
        <v>334</v>
      </c>
      <c r="WYF105" s="33" t="s">
        <v>334</v>
      </c>
      <c r="WYG105" s="33" t="s">
        <v>334</v>
      </c>
      <c r="WYH105" s="33" t="s">
        <v>334</v>
      </c>
      <c r="WYI105" s="33" t="s">
        <v>334</v>
      </c>
      <c r="WYJ105" s="33" t="s">
        <v>334</v>
      </c>
      <c r="WYK105" s="33" t="s">
        <v>334</v>
      </c>
      <c r="WYL105" s="33" t="s">
        <v>334</v>
      </c>
      <c r="WYM105" s="33" t="s">
        <v>334</v>
      </c>
      <c r="WYN105" s="33" t="s">
        <v>334</v>
      </c>
      <c r="WYO105" s="33" t="s">
        <v>334</v>
      </c>
      <c r="WYP105" s="33" t="s">
        <v>334</v>
      </c>
      <c r="WYQ105" s="33" t="s">
        <v>334</v>
      </c>
      <c r="WYR105" s="33" t="s">
        <v>334</v>
      </c>
      <c r="WYS105" s="33" t="s">
        <v>334</v>
      </c>
      <c r="WYT105" s="33" t="s">
        <v>334</v>
      </c>
      <c r="WYU105" s="33" t="s">
        <v>334</v>
      </c>
      <c r="WYV105" s="33" t="s">
        <v>334</v>
      </c>
      <c r="WYW105" s="33" t="s">
        <v>334</v>
      </c>
      <c r="WYX105" s="33" t="s">
        <v>334</v>
      </c>
      <c r="WYY105" s="33" t="s">
        <v>334</v>
      </c>
      <c r="WYZ105" s="33" t="s">
        <v>334</v>
      </c>
      <c r="WZA105" s="33" t="s">
        <v>334</v>
      </c>
      <c r="WZB105" s="33" t="s">
        <v>334</v>
      </c>
      <c r="WZC105" s="33" t="s">
        <v>334</v>
      </c>
      <c r="WZD105" s="33" t="s">
        <v>334</v>
      </c>
      <c r="WZE105" s="33" t="s">
        <v>334</v>
      </c>
      <c r="WZF105" s="33" t="s">
        <v>334</v>
      </c>
      <c r="WZG105" s="33" t="s">
        <v>334</v>
      </c>
      <c r="WZH105" s="33" t="s">
        <v>334</v>
      </c>
      <c r="WZI105" s="33" t="s">
        <v>334</v>
      </c>
      <c r="WZJ105" s="33" t="s">
        <v>334</v>
      </c>
      <c r="WZK105" s="33" t="s">
        <v>334</v>
      </c>
      <c r="WZL105" s="33" t="s">
        <v>334</v>
      </c>
      <c r="WZM105" s="33" t="s">
        <v>334</v>
      </c>
      <c r="WZN105" s="33" t="s">
        <v>334</v>
      </c>
      <c r="WZO105" s="33" t="s">
        <v>334</v>
      </c>
      <c r="WZP105" s="33" t="s">
        <v>334</v>
      </c>
      <c r="WZQ105" s="33" t="s">
        <v>334</v>
      </c>
      <c r="WZR105" s="33" t="s">
        <v>334</v>
      </c>
      <c r="WZS105" s="33" t="s">
        <v>334</v>
      </c>
      <c r="WZT105" s="33" t="s">
        <v>334</v>
      </c>
      <c r="WZU105" s="33" t="s">
        <v>334</v>
      </c>
      <c r="WZV105" s="33" t="s">
        <v>334</v>
      </c>
      <c r="WZW105" s="33" t="s">
        <v>334</v>
      </c>
      <c r="WZX105" s="33" t="s">
        <v>334</v>
      </c>
      <c r="WZY105" s="33" t="s">
        <v>334</v>
      </c>
      <c r="WZZ105" s="33" t="s">
        <v>334</v>
      </c>
      <c r="XAA105" s="33" t="s">
        <v>334</v>
      </c>
      <c r="XAB105" s="33" t="s">
        <v>334</v>
      </c>
      <c r="XAC105" s="33" t="s">
        <v>334</v>
      </c>
      <c r="XAD105" s="33" t="s">
        <v>334</v>
      </c>
      <c r="XAE105" s="33" t="s">
        <v>334</v>
      </c>
      <c r="XAF105" s="33" t="s">
        <v>334</v>
      </c>
      <c r="XAG105" s="33" t="s">
        <v>334</v>
      </c>
      <c r="XAH105" s="33" t="s">
        <v>334</v>
      </c>
      <c r="XAI105" s="33" t="s">
        <v>334</v>
      </c>
      <c r="XAJ105" s="33" t="s">
        <v>334</v>
      </c>
      <c r="XAK105" s="33" t="s">
        <v>334</v>
      </c>
      <c r="XAL105" s="33" t="s">
        <v>334</v>
      </c>
      <c r="XAM105" s="33" t="s">
        <v>334</v>
      </c>
      <c r="XAN105" s="33" t="s">
        <v>334</v>
      </c>
      <c r="XAO105" s="33" t="s">
        <v>334</v>
      </c>
      <c r="XAP105" s="33" t="s">
        <v>334</v>
      </c>
      <c r="XAQ105" s="33" t="s">
        <v>334</v>
      </c>
      <c r="XAR105" s="33" t="s">
        <v>334</v>
      </c>
      <c r="XAS105" s="33" t="s">
        <v>334</v>
      </c>
      <c r="XAT105" s="33" t="s">
        <v>334</v>
      </c>
      <c r="XAU105" s="33" t="s">
        <v>334</v>
      </c>
      <c r="XAV105" s="33" t="s">
        <v>334</v>
      </c>
      <c r="XAW105" s="33" t="s">
        <v>334</v>
      </c>
      <c r="XAX105" s="33" t="s">
        <v>334</v>
      </c>
      <c r="XAY105" s="33" t="s">
        <v>334</v>
      </c>
      <c r="XAZ105" s="33" t="s">
        <v>334</v>
      </c>
      <c r="XBA105" s="33" t="s">
        <v>334</v>
      </c>
      <c r="XBB105" s="33" t="s">
        <v>334</v>
      </c>
      <c r="XBC105" s="33" t="s">
        <v>334</v>
      </c>
      <c r="XBD105" s="33" t="s">
        <v>334</v>
      </c>
      <c r="XBE105" s="33" t="s">
        <v>334</v>
      </c>
      <c r="XBF105" s="33" t="s">
        <v>334</v>
      </c>
      <c r="XBG105" s="33" t="s">
        <v>334</v>
      </c>
      <c r="XBH105" s="33" t="s">
        <v>334</v>
      </c>
      <c r="XBI105" s="33" t="s">
        <v>334</v>
      </c>
      <c r="XBJ105" s="33" t="s">
        <v>334</v>
      </c>
      <c r="XBK105" s="33" t="s">
        <v>334</v>
      </c>
      <c r="XBL105" s="33" t="s">
        <v>334</v>
      </c>
      <c r="XBM105" s="33" t="s">
        <v>334</v>
      </c>
      <c r="XBN105" s="33" t="s">
        <v>334</v>
      </c>
      <c r="XBO105" s="33" t="s">
        <v>334</v>
      </c>
      <c r="XBP105" s="33" t="s">
        <v>334</v>
      </c>
      <c r="XBQ105" s="33" t="s">
        <v>334</v>
      </c>
      <c r="XBR105" s="33" t="s">
        <v>334</v>
      </c>
      <c r="XBS105" s="33" t="s">
        <v>334</v>
      </c>
      <c r="XBT105" s="33" t="s">
        <v>334</v>
      </c>
      <c r="XBU105" s="33" t="s">
        <v>334</v>
      </c>
      <c r="XBV105" s="33" t="s">
        <v>334</v>
      </c>
      <c r="XBW105" s="33" t="s">
        <v>334</v>
      </c>
      <c r="XBX105" s="33" t="s">
        <v>334</v>
      </c>
      <c r="XBY105" s="33" t="s">
        <v>334</v>
      </c>
      <c r="XBZ105" s="33" t="s">
        <v>334</v>
      </c>
      <c r="XCA105" s="33" t="s">
        <v>334</v>
      </c>
      <c r="XCB105" s="33" t="s">
        <v>334</v>
      </c>
      <c r="XCC105" s="33" t="s">
        <v>334</v>
      </c>
      <c r="XCD105" s="33" t="s">
        <v>334</v>
      </c>
      <c r="XCE105" s="33" t="s">
        <v>334</v>
      </c>
      <c r="XCF105" s="33" t="s">
        <v>334</v>
      </c>
      <c r="XCG105" s="33" t="s">
        <v>334</v>
      </c>
      <c r="XCH105" s="33" t="s">
        <v>334</v>
      </c>
      <c r="XCI105" s="33" t="s">
        <v>334</v>
      </c>
      <c r="XCJ105" s="33" t="s">
        <v>334</v>
      </c>
      <c r="XCK105" s="33" t="s">
        <v>334</v>
      </c>
      <c r="XCL105" s="33" t="s">
        <v>334</v>
      </c>
      <c r="XCM105" s="33" t="s">
        <v>334</v>
      </c>
      <c r="XCN105" s="33" t="s">
        <v>334</v>
      </c>
      <c r="XCO105" s="33" t="s">
        <v>334</v>
      </c>
      <c r="XCP105" s="33" t="s">
        <v>334</v>
      </c>
      <c r="XCQ105" s="33" t="s">
        <v>334</v>
      </c>
      <c r="XCR105" s="33" t="s">
        <v>334</v>
      </c>
      <c r="XCS105" s="33" t="s">
        <v>334</v>
      </c>
      <c r="XCT105" s="33" t="s">
        <v>334</v>
      </c>
      <c r="XCU105" s="33" t="s">
        <v>334</v>
      </c>
      <c r="XCV105" s="33" t="s">
        <v>334</v>
      </c>
      <c r="XCW105" s="33" t="s">
        <v>334</v>
      </c>
      <c r="XCX105" s="33" t="s">
        <v>334</v>
      </c>
      <c r="XCY105" s="33" t="s">
        <v>334</v>
      </c>
      <c r="XCZ105" s="33" t="s">
        <v>334</v>
      </c>
      <c r="XDA105" s="33" t="s">
        <v>334</v>
      </c>
      <c r="XDB105" s="33" t="s">
        <v>334</v>
      </c>
      <c r="XDC105" s="33" t="s">
        <v>334</v>
      </c>
      <c r="XDD105" s="33" t="s">
        <v>334</v>
      </c>
      <c r="XDE105" s="33" t="s">
        <v>334</v>
      </c>
      <c r="XDF105" s="33" t="s">
        <v>334</v>
      </c>
      <c r="XDG105" s="33" t="s">
        <v>334</v>
      </c>
      <c r="XDH105" s="33" t="s">
        <v>334</v>
      </c>
      <c r="XDI105" s="33" t="s">
        <v>334</v>
      </c>
      <c r="XDJ105" s="33" t="s">
        <v>334</v>
      </c>
      <c r="XDK105" s="33" t="s">
        <v>334</v>
      </c>
      <c r="XDL105" s="33" t="s">
        <v>334</v>
      </c>
      <c r="XDM105" s="33" t="s">
        <v>334</v>
      </c>
      <c r="XDN105" s="33" t="s">
        <v>334</v>
      </c>
      <c r="XDO105" s="33" t="s">
        <v>334</v>
      </c>
      <c r="XDP105" s="33" t="s">
        <v>334</v>
      </c>
      <c r="XDQ105" s="33" t="s">
        <v>334</v>
      </c>
      <c r="XDR105" s="33" t="s">
        <v>334</v>
      </c>
      <c r="XDS105" s="33" t="s">
        <v>334</v>
      </c>
      <c r="XDT105" s="33" t="s">
        <v>334</v>
      </c>
      <c r="XDU105" s="33" t="s">
        <v>334</v>
      </c>
      <c r="XDV105" s="33" t="s">
        <v>334</v>
      </c>
      <c r="XDW105" s="33" t="s">
        <v>334</v>
      </c>
      <c r="XDX105" s="33" t="s">
        <v>334</v>
      </c>
      <c r="XDY105" s="33" t="s">
        <v>334</v>
      </c>
      <c r="XDZ105" s="33" t="s">
        <v>334</v>
      </c>
      <c r="XEA105" s="33" t="s">
        <v>334</v>
      </c>
      <c r="XEB105" s="33" t="s">
        <v>334</v>
      </c>
      <c r="XEC105" s="33" t="s">
        <v>334</v>
      </c>
      <c r="XED105" s="33" t="s">
        <v>334</v>
      </c>
      <c r="XEE105" s="33" t="s">
        <v>334</v>
      </c>
      <c r="XEF105" s="33" t="s">
        <v>334</v>
      </c>
      <c r="XEG105" s="33" t="s">
        <v>334</v>
      </c>
      <c r="XEH105" s="33" t="s">
        <v>334</v>
      </c>
      <c r="XEI105" s="33" t="s">
        <v>334</v>
      </c>
      <c r="XEJ105" s="33" t="s">
        <v>334</v>
      </c>
      <c r="XEK105" s="33" t="s">
        <v>334</v>
      </c>
      <c r="XEL105" s="33" t="s">
        <v>334</v>
      </c>
      <c r="XEM105" s="33" t="s">
        <v>334</v>
      </c>
      <c r="XEN105" s="33" t="s">
        <v>334</v>
      </c>
      <c r="XEO105" s="33" t="s">
        <v>334</v>
      </c>
      <c r="XEP105" s="33" t="s">
        <v>334</v>
      </c>
      <c r="XEQ105" s="33" t="s">
        <v>334</v>
      </c>
      <c r="XER105" s="33" t="s">
        <v>334</v>
      </c>
      <c r="XES105" s="33" t="s">
        <v>334</v>
      </c>
      <c r="XET105" s="33" t="s">
        <v>334</v>
      </c>
      <c r="XEU105" s="33" t="s">
        <v>334</v>
      </c>
      <c r="XEV105" s="33" t="s">
        <v>334</v>
      </c>
      <c r="XEW105" s="33" t="s">
        <v>334</v>
      </c>
      <c r="XEX105" s="33" t="s">
        <v>334</v>
      </c>
      <c r="XEY105" s="33" t="s">
        <v>334</v>
      </c>
    </row>
    <row r="106" spans="1:16379" ht="75.75" customHeight="1" x14ac:dyDescent="0.45">
      <c r="A106" s="69" t="s">
        <v>170</v>
      </c>
      <c r="B106" s="49"/>
      <c r="C106" s="49" t="s">
        <v>171</v>
      </c>
      <c r="D106" s="49" t="s">
        <v>706</v>
      </c>
      <c r="E106" s="49"/>
      <c r="F106" s="49"/>
      <c r="G106" s="49" t="s">
        <v>2</v>
      </c>
      <c r="H106" s="49" t="s">
        <v>0</v>
      </c>
      <c r="I106" s="49"/>
      <c r="J106" s="50"/>
      <c r="K106" s="49" t="s">
        <v>246</v>
      </c>
      <c r="L106" s="33" t="s">
        <v>309</v>
      </c>
      <c r="M106" s="146"/>
      <c r="N106" s="49"/>
      <c r="O106" s="50"/>
      <c r="P106" s="50"/>
      <c r="Q106" s="49">
        <v>17</v>
      </c>
      <c r="R106" s="50"/>
      <c r="S106" s="50"/>
      <c r="T106" s="50"/>
      <c r="U106" s="50"/>
      <c r="V106" s="50"/>
      <c r="W106" s="50"/>
      <c r="X106" s="50"/>
      <c r="Y106" s="50">
        <v>43745</v>
      </c>
      <c r="Z106" s="48" t="str">
        <f t="shared" si="19"/>
        <v>IPK</v>
      </c>
      <c r="AA106" s="49"/>
      <c r="AB106" s="105"/>
      <c r="AC106" s="105"/>
      <c r="AD106" s="105"/>
      <c r="AE106" s="105"/>
      <c r="AF106" s="105"/>
      <c r="AG106" s="48" t="str">
        <f t="shared" si="20"/>
        <v>ITA</v>
      </c>
      <c r="AH106" s="33" t="s">
        <v>439</v>
      </c>
      <c r="AI106" s="33" t="s">
        <v>320</v>
      </c>
      <c r="AM106" s="104">
        <v>107143</v>
      </c>
      <c r="AN106" s="101"/>
      <c r="AO106" s="49"/>
      <c r="AP106" s="49"/>
      <c r="AQ106" s="105"/>
      <c r="AR106" s="105"/>
      <c r="AS106" s="105"/>
      <c r="AT106" s="105"/>
      <c r="AU106" s="102"/>
      <c r="AV106" s="49"/>
      <c r="AW106" s="49"/>
      <c r="AX106" s="105"/>
      <c r="AY106" s="105"/>
      <c r="AZ106" s="105"/>
      <c r="BA106" s="105"/>
      <c r="BB106" s="105"/>
      <c r="BC106" s="48" t="s">
        <v>171</v>
      </c>
      <c r="BD106" s="49"/>
      <c r="BE106" s="105">
        <v>107143</v>
      </c>
      <c r="BF106" s="102"/>
      <c r="BG106" s="49"/>
      <c r="BH106" s="49"/>
      <c r="BI106" s="105"/>
      <c r="BJ106" s="102"/>
      <c r="BK106" s="49"/>
      <c r="BL106" s="49"/>
      <c r="BM106" s="105"/>
      <c r="BN106" s="102"/>
      <c r="BO106" s="49"/>
      <c r="BP106" s="49"/>
      <c r="BQ106" s="105"/>
      <c r="BR106" s="102"/>
      <c r="BS106" s="49"/>
      <c r="BT106" s="49"/>
      <c r="BU106" s="102"/>
      <c r="BV106" s="49"/>
      <c r="BW106" s="49"/>
      <c r="BX106" s="102"/>
      <c r="BY106" s="51">
        <f>Tabelle4[[#This Row],[Industry Funding from DE (IPK)]]+Tabelle4[[#This Row],[Industry Funding from BR (IPK)]]+Tabelle4[[#This Row],[Public Funding from DE (IPK)]]+Tabelle4[[#This Row],[Public Funding from BR (IPK)]]+Tabelle4[[#This Row],[In-kind Contribution (IPK)]]</f>
        <v>0</v>
      </c>
      <c r="BZ106" s="51">
        <f>Tabelle4[[#This Row],[Industry Funding from DE (IPK)]]+Tabelle4[[#This Row],[Industry Funding from BR (IPK)]]+Tabelle4[[#This Row],[Public Funding from DE (IPK)]]+Tabelle4[[#This Row],[Public Funding from BR (IPK)]]</f>
        <v>0</v>
      </c>
      <c r="CA106" s="51">
        <f>Tabelle4[[#This Row],[Industry Funding from DE (IPK)]]+Tabelle4[[#This Row],[Industry Funding from BR (IPK)]]</f>
        <v>0</v>
      </c>
      <c r="CB106" s="51">
        <f>Tabelle4[[#This Row],[Public Funding from DE (IPK)]]+Tabelle4[[#This Row],[Public Funding from BR (IPK)]]</f>
        <v>0</v>
      </c>
      <c r="CC106" s="51">
        <f>Tabelle4[[#This Row],[In-kind Contribution (IPK)]]</f>
        <v>0</v>
      </c>
      <c r="CD106" s="53" t="e">
        <f>(Tabelle4[[#This Row],[Total Industry Funding (IPK)]] + Tabelle4[[#This Row],[Total Public Funding (IPK)]])/Tabelle4[[#This Row],[Total Project Volume (IPK)]]</f>
        <v>#DIV/0!</v>
      </c>
      <c r="CE106" s="53" t="e">
        <f>Tabelle4[[#This Row],[Total Industry Funding (IPK)]] / Tabelle4[[#This Row],[Total Project Volume (IPK)]]</f>
        <v>#DIV/0!</v>
      </c>
      <c r="CF106" s="49" t="str">
        <f>Tabelle4[[#This Row],[Project Funding Classification]]</f>
        <v>Industry</v>
      </c>
      <c r="CG106" s="51">
        <f>Tabelle4[[#This Row],[Industry Funding from DE (IPK)]]+Tabelle4[[#This Row],[Public Funding from DE (IPK)]]</f>
        <v>0</v>
      </c>
      <c r="CH106" s="52">
        <f>Tabelle4[[#This Row],[Industry Funding from BR (IPK)]]+Tabelle4[[#This Row],[Public Funding from BR (IPK)]]</f>
        <v>0</v>
      </c>
      <c r="CI106" s="51">
        <f>Tabelle4[[#This Row],[Industry Funding from DE (ITA)]]+Tabelle4[[#This Row],[Industry Funding from BR (ITA)]]+Tabelle4[[#This Row],[Public Funding from DE (ITA)]]+Tabelle4[[#This Row],[Public Funding from BR (ITA)]]</f>
        <v>107143</v>
      </c>
      <c r="CJ106" s="51">
        <f>Tabelle4[[#This Row],[Industry Funding from DE (ITA)]]+Tabelle4[[#This Row],[Industry Funding from BR (ITA)]]</f>
        <v>0</v>
      </c>
      <c r="CK106" s="51">
        <f>Tabelle4[[#This Row],[Public Funding from DE (ITA)]]+Tabelle4[[#This Row],[Public Funding from BR (ITA)]]</f>
        <v>107143</v>
      </c>
      <c r="CL106" s="53">
        <f>Tabelle4[[#This Row],[Total Industry Funding (ITA)]]/Tabelle4[[#This Row],[Total Project Volume (ITA)]]</f>
        <v>0</v>
      </c>
      <c r="CM106" s="49" t="str">
        <f>IF(Tabelle4[[#This Row],[Funding Ratio (ITA)]]&lt;0.5,"Public Funding","Industry")</f>
        <v>Public Funding</v>
      </c>
      <c r="CN106" s="51">
        <f>Tabelle4[[#This Row],[Industry Funding from DE (ITA)]]+Tabelle4[[#This Row],[Public Funding from DE (ITA)]]</f>
        <v>0</v>
      </c>
      <c r="CO106" s="52">
        <f>Tabelle4[[#This Row],[Industry Funding from BR (ITA)]]+Tabelle4[[#This Row],[Public Funding from BR (ITA)]]</f>
        <v>107143</v>
      </c>
      <c r="CP106" s="51">
        <f>Tabelle4[[#This Row],[Total Project Volume (IPK)]]+Tabelle4[[#This Row],[Total Project Volume (ITA)]]</f>
        <v>107143</v>
      </c>
      <c r="CQ106" s="51">
        <f>Tabelle4[[#This Row],[Total Industry Funding (IPK)]]+Tabelle4[[#This Row],[Total Industry Funding (ITA)]]</f>
        <v>0</v>
      </c>
      <c r="CR106" s="51">
        <f>Tabelle4[[#This Row],[Industry Funding from DE (IPK)]]+Tabelle4[[#This Row],[Industry Funding from DE (ITA)]]</f>
        <v>0</v>
      </c>
      <c r="CS106" s="51">
        <f>Tabelle4[[#This Row],[Industry Funding from BR (IPK)]]+Tabelle4[[#This Row],[Industry Funding from BR (ITA)]]</f>
        <v>0</v>
      </c>
      <c r="CT106" s="51">
        <f>Tabelle4[[#This Row],[Total Public Funding (IPK)]]+Tabelle4[[#This Row],[Total Public Funding (ITA)]]</f>
        <v>107143</v>
      </c>
      <c r="CU106" s="51">
        <f>Tabelle4[[#This Row],[Public Funding from DE (IPK)]]+Tabelle4[[#This Row],[Public Funding from DE (ITA)]]</f>
        <v>0</v>
      </c>
      <c r="CV106" s="51">
        <f>Tabelle4[[#This Row],[Public Funding from BR (IPK)]]+Tabelle4[[#This Row],[Public Funding from BR (ITA)]]</f>
        <v>107143</v>
      </c>
      <c r="CW106" s="51">
        <f>Tabelle4[[#This Row],[Industry Funding from DE (FPC)]]+Tabelle4[[#This Row],[Public Funding from DE (FPC)]]</f>
        <v>0</v>
      </c>
      <c r="CX106" s="52">
        <f>Tabelle4[[#This Row],[Industry Funding from BR (FPC)]]+Tabelle4[[#This Row],[Public Funding from BR (FPC)]]</f>
        <v>107143</v>
      </c>
      <c r="CY106" s="44">
        <f>Tabelle4[[#This Row],[Total Financial Budget (Other)]]+Tabelle4[[#This Row],[Total In-kind Contribution (Other)]]</f>
        <v>0</v>
      </c>
      <c r="CZ106"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06" s="44">
        <f>Tabelle4[[#This Row],[In-kind Contribution (R&amp;D III)]]+Tabelle4[[#This Row],[In-kind Contribution (R&amp;D IV)]]</f>
        <v>0</v>
      </c>
      <c r="DB106" s="158">
        <f>Tabelle4[[#This Row],[Total Budget (FPC)]]+Tabelle4[[#This Row],[Total Volume (Other)]]</f>
        <v>107143</v>
      </c>
      <c r="DC106" s="105">
        <f>Tabelle4[[#This Row],[Total Revenues (IPK)]]</f>
        <v>0</v>
      </c>
      <c r="DD106" s="53"/>
      <c r="DE106" s="51">
        <f>Tabelle4[[#This Row],[Total Revenues IPK]]*Tabelle4[[#This Row],[Probability of Success]]</f>
        <v>0</v>
      </c>
      <c r="DF106" s="51"/>
      <c r="DG106" s="51"/>
      <c r="DH106" s="51"/>
      <c r="DI106" s="51"/>
      <c r="DJ106" s="51"/>
      <c r="DK106" s="53"/>
      <c r="DL106" s="51">
        <f>Tabelle4[[#This Row],[Real Budget IPK]]*Tabelle4[[#This Row],[Acquisition Factor OE810]]</f>
        <v>0</v>
      </c>
      <c r="DM106" s="51">
        <v>0</v>
      </c>
      <c r="DN106" s="52">
        <f>Tabelle4[[#This Row],[Acquisition Bonus OE810]]+Tabelle4[[#This Row],[Project Execution OE810]]</f>
        <v>0</v>
      </c>
    </row>
    <row r="107" spans="1:16379" ht="75.75" customHeight="1" x14ac:dyDescent="0.45">
      <c r="A107" s="69" t="s">
        <v>339</v>
      </c>
      <c r="B107" s="33" t="s">
        <v>433</v>
      </c>
      <c r="C107" s="33" t="s">
        <v>340</v>
      </c>
      <c r="D107" s="33" t="s">
        <v>709</v>
      </c>
      <c r="E107" s="33">
        <v>2</v>
      </c>
      <c r="F107" s="33">
        <v>0</v>
      </c>
      <c r="G107" s="33" t="s">
        <v>2</v>
      </c>
      <c r="H107" s="33" t="s">
        <v>0</v>
      </c>
      <c r="I107" s="33" t="s">
        <v>519</v>
      </c>
      <c r="J107" s="59">
        <v>43717</v>
      </c>
      <c r="K107" s="33" t="s">
        <v>246</v>
      </c>
      <c r="L107" s="59" t="s">
        <v>309</v>
      </c>
      <c r="Q107" s="58"/>
      <c r="R107" s="60"/>
      <c r="S107" s="60"/>
      <c r="T107" s="60"/>
      <c r="U107" s="60">
        <v>43767</v>
      </c>
      <c r="Y107" s="59">
        <v>43878</v>
      </c>
      <c r="Z107" s="42" t="str">
        <f t="shared" si="19"/>
        <v>IPK</v>
      </c>
      <c r="AG107" s="42" t="str">
        <f t="shared" si="20"/>
        <v>ITA</v>
      </c>
      <c r="AH107" s="33" t="s">
        <v>337</v>
      </c>
      <c r="AI107" s="33" t="s">
        <v>337</v>
      </c>
      <c r="AJ107" s="104">
        <v>0</v>
      </c>
      <c r="AK107" s="104">
        <v>0</v>
      </c>
      <c r="AL107" s="64"/>
      <c r="AN107" s="101"/>
      <c r="AU107" s="65"/>
      <c r="BC107" s="42"/>
      <c r="BF107" s="65"/>
      <c r="BY107" s="44">
        <f>Tabelle4[[#This Row],[Industry Funding from DE (IPK)]]+Tabelle4[[#This Row],[Industry Funding from BR (IPK)]]+Tabelle4[[#This Row],[Public Funding from DE (IPK)]]+Tabelle4[[#This Row],[Public Funding from BR (IPK)]]+Tabelle4[[#This Row],[In-kind Contribution (IPK)]]</f>
        <v>0</v>
      </c>
      <c r="BZ107" s="44">
        <f>Tabelle4[[#This Row],[Industry Funding from DE (IPK)]]+Tabelle4[[#This Row],[Industry Funding from BR (IPK)]]+Tabelle4[[#This Row],[Public Funding from DE (IPK)]]+Tabelle4[[#This Row],[Public Funding from BR (IPK)]]</f>
        <v>0</v>
      </c>
      <c r="CA107" s="44">
        <f>Tabelle4[[#This Row],[Industry Funding from DE (IPK)]]+Tabelle4[[#This Row],[Industry Funding from BR (IPK)]]</f>
        <v>0</v>
      </c>
      <c r="CB107" s="44">
        <f>Tabelle4[[#This Row],[Public Funding from DE (IPK)]]+Tabelle4[[#This Row],[Public Funding from BR (IPK)]]</f>
        <v>0</v>
      </c>
      <c r="CC107" s="44">
        <f>Tabelle4[[#This Row],[In-kind Contribution (IPK)]]</f>
        <v>0</v>
      </c>
      <c r="CD107" s="47" t="e">
        <f>(Tabelle4[[#This Row],[Total Industry Funding (IPK)]] + Tabelle4[[#This Row],[Total Public Funding (IPK)]])/Tabelle4[[#This Row],[Total Project Volume (IPK)]]</f>
        <v>#DIV/0!</v>
      </c>
      <c r="CE107" s="47" t="e">
        <f>Tabelle4[[#This Row],[Total Industry Funding (IPK)]] / Tabelle4[[#This Row],[Total Project Volume (IPK)]]</f>
        <v>#DIV/0!</v>
      </c>
      <c r="CF107" s="33" t="str">
        <f>Tabelle4[[#This Row],[Project Funding Classification]]</f>
        <v>Industry</v>
      </c>
      <c r="CG107" s="44">
        <f>Tabelle4[[#This Row],[Industry Funding from DE (IPK)]]+Tabelle4[[#This Row],[Public Funding from DE (IPK)]]</f>
        <v>0</v>
      </c>
      <c r="CH107" s="46">
        <f>Tabelle4[[#This Row],[Industry Funding from BR (IPK)]]+Tabelle4[[#This Row],[Public Funding from BR (IPK)]]</f>
        <v>0</v>
      </c>
      <c r="CI107" s="44">
        <f>Tabelle4[[#This Row],[Industry Funding from DE (ITA)]]+Tabelle4[[#This Row],[Industry Funding from BR (ITA)]]+Tabelle4[[#This Row],[Public Funding from DE (ITA)]]+Tabelle4[[#This Row],[Public Funding from BR (ITA)]]</f>
        <v>0</v>
      </c>
      <c r="CJ107" s="44">
        <f>Tabelle4[[#This Row],[Industry Funding from DE (ITA)]]+Tabelle4[[#This Row],[Industry Funding from BR (ITA)]]</f>
        <v>0</v>
      </c>
      <c r="CK107" s="44">
        <f>Tabelle4[[#This Row],[Public Funding from DE (ITA)]]+Tabelle4[[#This Row],[Public Funding from BR (ITA)]]</f>
        <v>0</v>
      </c>
      <c r="CL107" s="47" t="e">
        <f>Tabelle4[[#This Row],[Total Industry Funding (ITA)]]/Tabelle4[[#This Row],[Total Project Volume (ITA)]]</f>
        <v>#DIV/0!</v>
      </c>
      <c r="CM107" s="33" t="e">
        <f>IF(Tabelle4[[#This Row],[Funding Ratio (ITA)]]&lt;0.5,"Public Funding","Industry")</f>
        <v>#DIV/0!</v>
      </c>
      <c r="CN107" s="44">
        <f>Tabelle4[[#This Row],[Industry Funding from DE (ITA)]]+Tabelle4[[#This Row],[Public Funding from DE (ITA)]]</f>
        <v>0</v>
      </c>
      <c r="CO107" s="46">
        <f>Tabelle4[[#This Row],[Industry Funding from BR (ITA)]]+Tabelle4[[#This Row],[Public Funding from BR (ITA)]]</f>
        <v>0</v>
      </c>
      <c r="CP107" s="44">
        <f>Tabelle4[[#This Row],[Total Project Volume (IPK)]]+Tabelle4[[#This Row],[Total Project Volume (ITA)]]</f>
        <v>0</v>
      </c>
      <c r="CQ107" s="44">
        <f>Tabelle4[[#This Row],[Total Industry Funding (IPK)]]+Tabelle4[[#This Row],[Total Industry Funding (ITA)]]</f>
        <v>0</v>
      </c>
      <c r="CR107" s="44">
        <f>Tabelle4[[#This Row],[Industry Funding from DE (IPK)]]+Tabelle4[[#This Row],[Industry Funding from DE (ITA)]]</f>
        <v>0</v>
      </c>
      <c r="CS107" s="44">
        <f>Tabelle4[[#This Row],[Industry Funding from BR (IPK)]]+Tabelle4[[#This Row],[Industry Funding from BR (ITA)]]</f>
        <v>0</v>
      </c>
      <c r="CT107" s="44">
        <f>Tabelle4[[#This Row],[Total Public Funding (IPK)]]+Tabelle4[[#This Row],[Total Public Funding (ITA)]]</f>
        <v>0</v>
      </c>
      <c r="CU107" s="44">
        <f>Tabelle4[[#This Row],[Public Funding from DE (IPK)]]+Tabelle4[[#This Row],[Public Funding from DE (ITA)]]</f>
        <v>0</v>
      </c>
      <c r="CV107" s="44">
        <f>Tabelle4[[#This Row],[Public Funding from BR (IPK)]]+Tabelle4[[#This Row],[Public Funding from BR (ITA)]]</f>
        <v>0</v>
      </c>
      <c r="CW107" s="44">
        <f>Tabelle4[[#This Row],[Industry Funding from DE (FPC)]]+Tabelle4[[#This Row],[Public Funding from DE (FPC)]]</f>
        <v>0</v>
      </c>
      <c r="CX107" s="46">
        <f>Tabelle4[[#This Row],[Industry Funding from BR (FPC)]]+Tabelle4[[#This Row],[Public Funding from BR (FPC)]]</f>
        <v>0</v>
      </c>
      <c r="CY107" s="44">
        <f>Tabelle4[[#This Row],[Total Financial Budget (Other)]]+Tabelle4[[#This Row],[Total In-kind Contribution (Other)]]</f>
        <v>0</v>
      </c>
      <c r="CZ10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07" s="44">
        <f>Tabelle4[[#This Row],[In-kind Contribution (R&amp;D III)]]+Tabelle4[[#This Row],[In-kind Contribution (R&amp;D IV)]]</f>
        <v>0</v>
      </c>
      <c r="DB107" s="158">
        <f>Tabelle4[[#This Row],[Total Budget (FPC)]]+Tabelle4[[#This Row],[Total Volume (Other)]]</f>
        <v>0</v>
      </c>
      <c r="DC107" s="104">
        <f>Tabelle4[[#This Row],[Total Revenues (IPK)]]</f>
        <v>0</v>
      </c>
      <c r="DE107" s="44">
        <f>Tabelle4[[#This Row],[Total Revenues IPK]]*Tabelle4[[#This Row],[Probability of Success]]</f>
        <v>0</v>
      </c>
      <c r="DL107" s="44">
        <f>Tabelle4[[#This Row],[Real Budget IPK]]*Tabelle4[[#This Row],[Acquisition Factor OE810]]</f>
        <v>0</v>
      </c>
      <c r="DN107" s="46">
        <f>Tabelle4[[#This Row],[Acquisition Bonus OE810]]+Tabelle4[[#This Row],[Project Execution OE810]]</f>
        <v>0</v>
      </c>
    </row>
    <row r="108" spans="1:16379" ht="75.75" customHeight="1" x14ac:dyDescent="0.45">
      <c r="A108" s="33" t="s">
        <v>480</v>
      </c>
      <c r="B108" s="33" t="s">
        <v>482</v>
      </c>
      <c r="C108" s="33" t="s">
        <v>481</v>
      </c>
      <c r="D108" s="33" t="s">
        <v>706</v>
      </c>
      <c r="E108" s="33">
        <v>1</v>
      </c>
      <c r="F108" s="33">
        <v>0</v>
      </c>
      <c r="G108" s="33" t="s">
        <v>2</v>
      </c>
      <c r="H108" s="33" t="s">
        <v>0</v>
      </c>
      <c r="J108" s="59">
        <v>43857</v>
      </c>
      <c r="K108" s="33" t="s">
        <v>246</v>
      </c>
      <c r="L108" s="33" t="s">
        <v>309</v>
      </c>
      <c r="S108" s="59">
        <v>43857</v>
      </c>
      <c r="Y108" s="59">
        <v>43878</v>
      </c>
      <c r="Z108" s="42" t="str">
        <f t="shared" si="19"/>
        <v>IPK</v>
      </c>
      <c r="AG108" s="42" t="str">
        <f t="shared" si="20"/>
        <v>ITA</v>
      </c>
      <c r="AH108" s="33" t="s">
        <v>319</v>
      </c>
      <c r="AI108" s="33" t="s">
        <v>316</v>
      </c>
      <c r="AJ108" s="64"/>
      <c r="AK108" s="64"/>
      <c r="AN108" s="101"/>
      <c r="AU108" s="65"/>
      <c r="BC108" s="42"/>
      <c r="BF108" s="65"/>
      <c r="BY108" s="44">
        <f>Tabelle4[[#This Row],[Industry Funding from DE (IPK)]]+Tabelle4[[#This Row],[Industry Funding from BR (IPK)]]+Tabelle4[[#This Row],[Public Funding from DE (IPK)]]+Tabelle4[[#This Row],[Public Funding from BR (IPK)]]+Tabelle4[[#This Row],[In-kind Contribution (IPK)]]</f>
        <v>0</v>
      </c>
      <c r="BZ108" s="44">
        <f>Tabelle4[[#This Row],[Industry Funding from DE (IPK)]]+Tabelle4[[#This Row],[Industry Funding from BR (IPK)]]+Tabelle4[[#This Row],[Public Funding from DE (IPK)]]+Tabelle4[[#This Row],[Public Funding from BR (IPK)]]</f>
        <v>0</v>
      </c>
      <c r="CA108" s="44">
        <f>Tabelle4[[#This Row],[Industry Funding from DE (IPK)]]+Tabelle4[[#This Row],[Industry Funding from BR (IPK)]]</f>
        <v>0</v>
      </c>
      <c r="CB108" s="44">
        <f>Tabelle4[[#This Row],[Public Funding from DE (IPK)]]+Tabelle4[[#This Row],[Public Funding from BR (IPK)]]</f>
        <v>0</v>
      </c>
      <c r="CC108" s="44">
        <f>Tabelle4[[#This Row],[In-kind Contribution (IPK)]]</f>
        <v>0</v>
      </c>
      <c r="CD108" s="47" t="e">
        <f>(Tabelle4[[#This Row],[Total Industry Funding (IPK)]] + Tabelle4[[#This Row],[Total Public Funding (IPK)]])/Tabelle4[[#This Row],[Total Project Volume (IPK)]]</f>
        <v>#DIV/0!</v>
      </c>
      <c r="CE108" s="47" t="e">
        <f>Tabelle4[[#This Row],[Total Industry Funding (IPK)]] / Tabelle4[[#This Row],[Total Project Volume (IPK)]]</f>
        <v>#DIV/0!</v>
      </c>
      <c r="CF108" s="33" t="str">
        <f>Tabelle4[[#This Row],[Project Funding Classification]]</f>
        <v>Industry</v>
      </c>
      <c r="CG108" s="44">
        <f>Tabelle4[[#This Row],[Industry Funding from DE (IPK)]]+Tabelle4[[#This Row],[Public Funding from DE (IPK)]]</f>
        <v>0</v>
      </c>
      <c r="CH108" s="46">
        <f>Tabelle4[[#This Row],[Industry Funding from BR (IPK)]]+Tabelle4[[#This Row],[Public Funding from BR (IPK)]]</f>
        <v>0</v>
      </c>
      <c r="CI108" s="44">
        <f>Tabelle4[[#This Row],[Industry Funding from DE (ITA)]]+Tabelle4[[#This Row],[Industry Funding from BR (ITA)]]+Tabelle4[[#This Row],[Public Funding from DE (ITA)]]+Tabelle4[[#This Row],[Public Funding from BR (ITA)]]</f>
        <v>0</v>
      </c>
      <c r="CJ108" s="44">
        <f>Tabelle4[[#This Row],[Industry Funding from DE (ITA)]]+Tabelle4[[#This Row],[Industry Funding from BR (ITA)]]</f>
        <v>0</v>
      </c>
      <c r="CK108" s="44">
        <f>Tabelle4[[#This Row],[Public Funding from DE (ITA)]]+Tabelle4[[#This Row],[Public Funding from BR (ITA)]]</f>
        <v>0</v>
      </c>
      <c r="CL108" s="47" t="e">
        <f>Tabelle4[[#This Row],[Total Industry Funding (ITA)]]/Tabelle4[[#This Row],[Total Project Volume (ITA)]]</f>
        <v>#DIV/0!</v>
      </c>
      <c r="CM108" s="33" t="e">
        <f>IF(Tabelle4[[#This Row],[Funding Ratio (ITA)]]&lt;0.5,"Public Funding","Industry")</f>
        <v>#DIV/0!</v>
      </c>
      <c r="CN108" s="44">
        <f>Tabelle4[[#This Row],[Industry Funding from DE (ITA)]]+Tabelle4[[#This Row],[Public Funding from DE (ITA)]]</f>
        <v>0</v>
      </c>
      <c r="CO108" s="46">
        <f>Tabelle4[[#This Row],[Industry Funding from BR (ITA)]]+Tabelle4[[#This Row],[Public Funding from BR (ITA)]]</f>
        <v>0</v>
      </c>
      <c r="CP108" s="44">
        <f>Tabelle4[[#This Row],[Total Project Volume (IPK)]]+Tabelle4[[#This Row],[Total Project Volume (ITA)]]</f>
        <v>0</v>
      </c>
      <c r="CQ108" s="44">
        <f>Tabelle4[[#This Row],[Total Industry Funding (IPK)]]+Tabelle4[[#This Row],[Total Industry Funding (ITA)]]</f>
        <v>0</v>
      </c>
      <c r="CR108" s="44">
        <f>Tabelle4[[#This Row],[Industry Funding from DE (IPK)]]+Tabelle4[[#This Row],[Industry Funding from DE (ITA)]]</f>
        <v>0</v>
      </c>
      <c r="CS108" s="44">
        <f>Tabelle4[[#This Row],[Industry Funding from BR (IPK)]]+Tabelle4[[#This Row],[Industry Funding from BR (ITA)]]</f>
        <v>0</v>
      </c>
      <c r="CT108" s="44">
        <f>Tabelle4[[#This Row],[Total Public Funding (IPK)]]+Tabelle4[[#This Row],[Total Public Funding (ITA)]]</f>
        <v>0</v>
      </c>
      <c r="CU108" s="44">
        <f>Tabelle4[[#This Row],[Public Funding from DE (IPK)]]+Tabelle4[[#This Row],[Public Funding from DE (ITA)]]</f>
        <v>0</v>
      </c>
      <c r="CV108" s="44">
        <f>Tabelle4[[#This Row],[Public Funding from BR (IPK)]]+Tabelle4[[#This Row],[Public Funding from BR (ITA)]]</f>
        <v>0</v>
      </c>
      <c r="CW108" s="44">
        <f>Tabelle4[[#This Row],[Industry Funding from DE (FPC)]]+Tabelle4[[#This Row],[Public Funding from DE (FPC)]]</f>
        <v>0</v>
      </c>
      <c r="CX108" s="46">
        <f>Tabelle4[[#This Row],[Industry Funding from BR (FPC)]]+Tabelle4[[#This Row],[Public Funding from BR (FPC)]]</f>
        <v>0</v>
      </c>
      <c r="CY108" s="44">
        <f>Tabelle4[[#This Row],[Total Financial Budget (Other)]]+Tabelle4[[#This Row],[Total In-kind Contribution (Other)]]</f>
        <v>0</v>
      </c>
      <c r="CZ10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08" s="44">
        <f>Tabelle4[[#This Row],[In-kind Contribution (R&amp;D III)]]+Tabelle4[[#This Row],[In-kind Contribution (R&amp;D IV)]]</f>
        <v>0</v>
      </c>
      <c r="DB108" s="158">
        <f>Tabelle4[[#This Row],[Total Budget (FPC)]]+Tabelle4[[#This Row],[Total Volume (Other)]]</f>
        <v>0</v>
      </c>
      <c r="DC108" s="104">
        <f>Tabelle4[[#This Row],[Total Revenues (IPK)]]</f>
        <v>0</v>
      </c>
      <c r="DE108" s="44">
        <f>Tabelle4[[#This Row],[Total Revenues IPK]]*Tabelle4[[#This Row],[Probability of Success]]</f>
        <v>0</v>
      </c>
      <c r="DL108" s="44">
        <f>Tabelle4[[#This Row],[Real Budget IPK]]*Tabelle4[[#This Row],[Acquisition Factor OE810]]</f>
        <v>0</v>
      </c>
      <c r="DN108" s="46">
        <f>Tabelle4[[#This Row],[Acquisition Bonus OE810]]+Tabelle4[[#This Row],[Project Execution OE810]]</f>
        <v>0</v>
      </c>
    </row>
    <row r="109" spans="1:16379" ht="75.75" customHeight="1" x14ac:dyDescent="0.45">
      <c r="A109" s="33" t="s">
        <v>483</v>
      </c>
      <c r="B109" s="33" t="s">
        <v>484</v>
      </c>
      <c r="C109" s="33" t="s">
        <v>481</v>
      </c>
      <c r="D109" s="33" t="s">
        <v>706</v>
      </c>
      <c r="E109" s="33">
        <v>1</v>
      </c>
      <c r="F109" s="33">
        <v>0</v>
      </c>
      <c r="G109" s="33" t="s">
        <v>2</v>
      </c>
      <c r="H109" s="33" t="s">
        <v>0</v>
      </c>
      <c r="J109" s="59">
        <v>43857</v>
      </c>
      <c r="K109" s="33" t="s">
        <v>246</v>
      </c>
      <c r="L109" s="33" t="s">
        <v>309</v>
      </c>
      <c r="S109" s="59">
        <v>43857</v>
      </c>
      <c r="Y109" s="59">
        <v>43978</v>
      </c>
      <c r="Z109" s="42" t="str">
        <f t="shared" si="19"/>
        <v>IPK</v>
      </c>
      <c r="AG109" s="42" t="str">
        <f t="shared" si="20"/>
        <v>ITA</v>
      </c>
      <c r="AH109" s="33" t="s">
        <v>374</v>
      </c>
      <c r="AI109" s="33" t="s">
        <v>346</v>
      </c>
      <c r="AJ109" s="64"/>
      <c r="AK109" s="64"/>
      <c r="AN109" s="101"/>
      <c r="AU109" s="65"/>
      <c r="BC109" s="42"/>
      <c r="BF109" s="65"/>
      <c r="BY109" s="44">
        <f>Tabelle4[[#This Row],[Industry Funding from DE (IPK)]]+Tabelle4[[#This Row],[Industry Funding from BR (IPK)]]+Tabelle4[[#This Row],[Public Funding from DE (IPK)]]+Tabelle4[[#This Row],[Public Funding from BR (IPK)]]+Tabelle4[[#This Row],[In-kind Contribution (IPK)]]</f>
        <v>0</v>
      </c>
      <c r="BZ109" s="44">
        <f>Tabelle4[[#This Row],[Industry Funding from DE (IPK)]]+Tabelle4[[#This Row],[Industry Funding from BR (IPK)]]+Tabelle4[[#This Row],[Public Funding from DE (IPK)]]+Tabelle4[[#This Row],[Public Funding from BR (IPK)]]</f>
        <v>0</v>
      </c>
      <c r="CA109" s="44">
        <f>Tabelle4[[#This Row],[Industry Funding from DE (IPK)]]+Tabelle4[[#This Row],[Industry Funding from BR (IPK)]]</f>
        <v>0</v>
      </c>
      <c r="CB109" s="44">
        <f>Tabelle4[[#This Row],[Public Funding from DE (IPK)]]+Tabelle4[[#This Row],[Public Funding from BR (IPK)]]</f>
        <v>0</v>
      </c>
      <c r="CC109" s="44">
        <f>Tabelle4[[#This Row],[In-kind Contribution (IPK)]]</f>
        <v>0</v>
      </c>
      <c r="CD109" s="47" t="e">
        <f>(Tabelle4[[#This Row],[Total Industry Funding (IPK)]] + Tabelle4[[#This Row],[Total Public Funding (IPK)]])/Tabelle4[[#This Row],[Total Project Volume (IPK)]]</f>
        <v>#DIV/0!</v>
      </c>
      <c r="CE109" s="47" t="e">
        <f>Tabelle4[[#This Row],[Total Industry Funding (IPK)]] / Tabelle4[[#This Row],[Total Project Volume (IPK)]]</f>
        <v>#DIV/0!</v>
      </c>
      <c r="CF109" s="33" t="str">
        <f>Tabelle4[[#This Row],[Project Funding Classification]]</f>
        <v>Industry</v>
      </c>
      <c r="CG109" s="44">
        <f>Tabelle4[[#This Row],[Industry Funding from DE (IPK)]]+Tabelle4[[#This Row],[Public Funding from DE (IPK)]]</f>
        <v>0</v>
      </c>
      <c r="CH109" s="46">
        <f>Tabelle4[[#This Row],[Industry Funding from BR (IPK)]]+Tabelle4[[#This Row],[Public Funding from BR (IPK)]]</f>
        <v>0</v>
      </c>
      <c r="CI109" s="44">
        <f>Tabelle4[[#This Row],[Industry Funding from DE (ITA)]]+Tabelle4[[#This Row],[Industry Funding from BR (ITA)]]+Tabelle4[[#This Row],[Public Funding from DE (ITA)]]+Tabelle4[[#This Row],[Public Funding from BR (ITA)]]</f>
        <v>0</v>
      </c>
      <c r="CJ109" s="44">
        <f>Tabelle4[[#This Row],[Industry Funding from DE (ITA)]]+Tabelle4[[#This Row],[Industry Funding from BR (ITA)]]</f>
        <v>0</v>
      </c>
      <c r="CK109" s="44">
        <f>Tabelle4[[#This Row],[Public Funding from DE (ITA)]]+Tabelle4[[#This Row],[Public Funding from BR (ITA)]]</f>
        <v>0</v>
      </c>
      <c r="CL109" s="47" t="e">
        <f>Tabelle4[[#This Row],[Total Industry Funding (ITA)]]/Tabelle4[[#This Row],[Total Project Volume (ITA)]]</f>
        <v>#DIV/0!</v>
      </c>
      <c r="CM109" s="33" t="e">
        <f>IF(Tabelle4[[#This Row],[Funding Ratio (ITA)]]&lt;0.5,"Public Funding","Industry")</f>
        <v>#DIV/0!</v>
      </c>
      <c r="CN109" s="44">
        <f>Tabelle4[[#This Row],[Industry Funding from DE (ITA)]]+Tabelle4[[#This Row],[Public Funding from DE (ITA)]]</f>
        <v>0</v>
      </c>
      <c r="CO109" s="46">
        <f>Tabelle4[[#This Row],[Industry Funding from BR (ITA)]]+Tabelle4[[#This Row],[Public Funding from BR (ITA)]]</f>
        <v>0</v>
      </c>
      <c r="CP109" s="44">
        <f>Tabelle4[[#This Row],[Total Project Volume (IPK)]]+Tabelle4[[#This Row],[Total Project Volume (ITA)]]</f>
        <v>0</v>
      </c>
      <c r="CQ109" s="44">
        <f>Tabelle4[[#This Row],[Total Industry Funding (IPK)]]+Tabelle4[[#This Row],[Total Industry Funding (ITA)]]</f>
        <v>0</v>
      </c>
      <c r="CR109" s="44">
        <f>Tabelle4[[#This Row],[Industry Funding from DE (IPK)]]+Tabelle4[[#This Row],[Industry Funding from DE (ITA)]]</f>
        <v>0</v>
      </c>
      <c r="CS109" s="44">
        <f>Tabelle4[[#This Row],[Industry Funding from BR (IPK)]]+Tabelle4[[#This Row],[Industry Funding from BR (ITA)]]</f>
        <v>0</v>
      </c>
      <c r="CT109" s="44">
        <f>Tabelle4[[#This Row],[Total Public Funding (IPK)]]+Tabelle4[[#This Row],[Total Public Funding (ITA)]]</f>
        <v>0</v>
      </c>
      <c r="CU109" s="44">
        <f>Tabelle4[[#This Row],[Public Funding from DE (IPK)]]+Tabelle4[[#This Row],[Public Funding from DE (ITA)]]</f>
        <v>0</v>
      </c>
      <c r="CV109" s="44">
        <f>Tabelle4[[#This Row],[Public Funding from BR (IPK)]]+Tabelle4[[#This Row],[Public Funding from BR (ITA)]]</f>
        <v>0</v>
      </c>
      <c r="CW109" s="44">
        <f>Tabelle4[[#This Row],[Industry Funding from DE (FPC)]]+Tabelle4[[#This Row],[Public Funding from DE (FPC)]]</f>
        <v>0</v>
      </c>
      <c r="CX109" s="46">
        <f>Tabelle4[[#This Row],[Industry Funding from BR (FPC)]]+Tabelle4[[#This Row],[Public Funding from BR (FPC)]]</f>
        <v>0</v>
      </c>
      <c r="CY109" s="44">
        <f>Tabelle4[[#This Row],[Total Financial Budget (Other)]]+Tabelle4[[#This Row],[Total In-kind Contribution (Other)]]</f>
        <v>0</v>
      </c>
      <c r="CZ10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09" s="44">
        <f>Tabelle4[[#This Row],[In-kind Contribution (R&amp;D III)]]+Tabelle4[[#This Row],[In-kind Contribution (R&amp;D IV)]]</f>
        <v>0</v>
      </c>
      <c r="DB109" s="158">
        <f>Tabelle4[[#This Row],[Total Budget (FPC)]]+Tabelle4[[#This Row],[Total Volume (Other)]]</f>
        <v>0</v>
      </c>
      <c r="DC109" s="104">
        <f>Tabelle4[[#This Row],[Total Revenues (IPK)]]</f>
        <v>0</v>
      </c>
      <c r="DE109" s="44">
        <f>Tabelle4[[#This Row],[Total Revenues IPK]]*Tabelle4[[#This Row],[Probability of Success]]</f>
        <v>0</v>
      </c>
      <c r="DL109" s="44">
        <f>Tabelle4[[#This Row],[Real Budget IPK]]*Tabelle4[[#This Row],[Acquisition Factor OE810]]</f>
        <v>0</v>
      </c>
      <c r="DN109" s="46">
        <f>Tabelle4[[#This Row],[Acquisition Bonus OE810]]+Tabelle4[[#This Row],[Project Execution OE810]]</f>
        <v>0</v>
      </c>
    </row>
    <row r="110" spans="1:16379" ht="75.75" customHeight="1" x14ac:dyDescent="0.45">
      <c r="A110" s="69" t="s">
        <v>566</v>
      </c>
      <c r="B110" s="33" t="s">
        <v>398</v>
      </c>
      <c r="C110" s="33" t="s">
        <v>399</v>
      </c>
      <c r="D110" s="33" t="s">
        <v>705</v>
      </c>
      <c r="E110" s="33">
        <v>1</v>
      </c>
      <c r="F110" s="33">
        <v>0</v>
      </c>
      <c r="G110" s="33" t="s">
        <v>97</v>
      </c>
      <c r="H110" s="33" t="s">
        <v>0</v>
      </c>
      <c r="I110" s="33" t="s">
        <v>540</v>
      </c>
      <c r="J110" s="59">
        <v>43657</v>
      </c>
      <c r="K110" s="33" t="s">
        <v>242</v>
      </c>
      <c r="L110" s="59" t="s">
        <v>307</v>
      </c>
      <c r="Q110" s="33">
        <v>24</v>
      </c>
      <c r="U110" s="59">
        <v>43696</v>
      </c>
      <c r="Z110" s="42" t="str">
        <f t="shared" si="19"/>
        <v>IPK</v>
      </c>
      <c r="AA110" s="33" t="s">
        <v>141</v>
      </c>
      <c r="AB110" s="104"/>
      <c r="AC110" s="104"/>
      <c r="AD110" s="104"/>
      <c r="AE110" s="104"/>
      <c r="AF110" s="104"/>
      <c r="AG110" s="42" t="str">
        <f t="shared" si="20"/>
        <v>ITA</v>
      </c>
      <c r="AH110" s="33" t="s">
        <v>395</v>
      </c>
      <c r="AI110" s="33" t="s">
        <v>717</v>
      </c>
      <c r="AN110" s="101"/>
      <c r="AQ110" s="104"/>
      <c r="AR110" s="104"/>
      <c r="AS110" s="104"/>
      <c r="AT110" s="104"/>
      <c r="AU110" s="101"/>
      <c r="AX110" s="104"/>
      <c r="AY110" s="104"/>
      <c r="AZ110" s="104"/>
      <c r="BA110" s="104"/>
      <c r="BB110" s="104"/>
      <c r="BC110" s="42" t="s">
        <v>138</v>
      </c>
      <c r="BD110" s="33" t="s">
        <v>541</v>
      </c>
      <c r="BE110" s="104"/>
      <c r="BF110" s="101"/>
      <c r="BI110" s="104"/>
      <c r="BJ110" s="101"/>
      <c r="BM110" s="104"/>
      <c r="BN110" s="101"/>
      <c r="BQ110" s="104"/>
      <c r="BR110" s="101"/>
      <c r="BU110" s="101"/>
      <c r="BX110" s="101"/>
      <c r="BY110" s="44">
        <f>Tabelle4[[#This Row],[Industry Funding from DE (IPK)]]+Tabelle4[[#This Row],[Industry Funding from BR (IPK)]]+Tabelle4[[#This Row],[Public Funding from DE (IPK)]]+Tabelle4[[#This Row],[Public Funding from BR (IPK)]]+Tabelle4[[#This Row],[In-kind Contribution (IPK)]]</f>
        <v>0</v>
      </c>
      <c r="BZ110" s="44">
        <f>Tabelle4[[#This Row],[Industry Funding from DE (IPK)]]+Tabelle4[[#This Row],[Industry Funding from BR (IPK)]]+Tabelle4[[#This Row],[Public Funding from DE (IPK)]]+Tabelle4[[#This Row],[Public Funding from BR (IPK)]]</f>
        <v>0</v>
      </c>
      <c r="CA110" s="44">
        <f>Tabelle4[[#This Row],[Industry Funding from DE (IPK)]]+Tabelle4[[#This Row],[Industry Funding from BR (IPK)]]</f>
        <v>0</v>
      </c>
      <c r="CB110" s="44">
        <f>Tabelle4[[#This Row],[Public Funding from DE (IPK)]]+Tabelle4[[#This Row],[Public Funding from BR (IPK)]]</f>
        <v>0</v>
      </c>
      <c r="CC110" s="44">
        <f>Tabelle4[[#This Row],[In-kind Contribution (IPK)]]</f>
        <v>0</v>
      </c>
      <c r="CD110" s="47" t="e">
        <f>(Tabelle4[[#This Row],[Total Industry Funding (IPK)]] + Tabelle4[[#This Row],[Total Public Funding (IPK)]])/Tabelle4[[#This Row],[Total Project Volume (IPK)]]</f>
        <v>#DIV/0!</v>
      </c>
      <c r="CE110" s="47" t="e">
        <f>Tabelle4[[#This Row],[Total Industry Funding (IPK)]] / Tabelle4[[#This Row],[Total Project Volume (IPK)]]</f>
        <v>#DIV/0!</v>
      </c>
      <c r="CF110" s="33" t="str">
        <f>Tabelle4[[#This Row],[Project Funding Classification]]</f>
        <v>Industry</v>
      </c>
      <c r="CG110" s="44">
        <f>Tabelle4[[#This Row],[Industry Funding from DE (IPK)]]+Tabelle4[[#This Row],[Public Funding from DE (IPK)]]</f>
        <v>0</v>
      </c>
      <c r="CH110" s="46">
        <f>Tabelle4[[#This Row],[Industry Funding from BR (IPK)]]+Tabelle4[[#This Row],[Public Funding from BR (IPK)]]</f>
        <v>0</v>
      </c>
      <c r="CI110" s="44">
        <f>Tabelle4[[#This Row],[Industry Funding from DE (ITA)]]+Tabelle4[[#This Row],[Industry Funding from BR (ITA)]]+Tabelle4[[#This Row],[Public Funding from DE (ITA)]]+Tabelle4[[#This Row],[Public Funding from BR (ITA)]]</f>
        <v>0</v>
      </c>
      <c r="CJ110" s="44">
        <f>Tabelle4[[#This Row],[Industry Funding from DE (ITA)]]+Tabelle4[[#This Row],[Industry Funding from BR (ITA)]]</f>
        <v>0</v>
      </c>
      <c r="CK110" s="44">
        <f>Tabelle4[[#This Row],[Public Funding from DE (ITA)]]+Tabelle4[[#This Row],[Public Funding from BR (ITA)]]</f>
        <v>0</v>
      </c>
      <c r="CL110" s="47" t="e">
        <f>Tabelle4[[#This Row],[Total Industry Funding (ITA)]]/Tabelle4[[#This Row],[Total Project Volume (ITA)]]</f>
        <v>#DIV/0!</v>
      </c>
      <c r="CM110" s="33" t="e">
        <f>IF(Tabelle4[[#This Row],[Funding Ratio (ITA)]]&lt;0.5,"Public Funding","Industry")</f>
        <v>#DIV/0!</v>
      </c>
      <c r="CN110" s="44">
        <f>Tabelle4[[#This Row],[Industry Funding from DE (ITA)]]+Tabelle4[[#This Row],[Public Funding from DE (ITA)]]</f>
        <v>0</v>
      </c>
      <c r="CO110" s="46">
        <f>Tabelle4[[#This Row],[Industry Funding from BR (ITA)]]+Tabelle4[[#This Row],[Public Funding from BR (ITA)]]</f>
        <v>0</v>
      </c>
      <c r="CP110" s="44">
        <f>Tabelle4[[#This Row],[Total Project Volume (IPK)]]+Tabelle4[[#This Row],[Total Project Volume (ITA)]]</f>
        <v>0</v>
      </c>
      <c r="CQ110" s="44">
        <f>Tabelle4[[#This Row],[Total Industry Funding (IPK)]]+Tabelle4[[#This Row],[Total Industry Funding (ITA)]]</f>
        <v>0</v>
      </c>
      <c r="CR110" s="44">
        <f>Tabelle4[[#This Row],[Industry Funding from DE (IPK)]]+Tabelle4[[#This Row],[Industry Funding from DE (ITA)]]</f>
        <v>0</v>
      </c>
      <c r="CS110" s="44">
        <f>Tabelle4[[#This Row],[Industry Funding from BR (IPK)]]+Tabelle4[[#This Row],[Industry Funding from BR (ITA)]]</f>
        <v>0</v>
      </c>
      <c r="CT110" s="44">
        <f>Tabelle4[[#This Row],[Total Public Funding (IPK)]]+Tabelle4[[#This Row],[Total Public Funding (ITA)]]</f>
        <v>0</v>
      </c>
      <c r="CU110" s="44">
        <f>Tabelle4[[#This Row],[Public Funding from DE (IPK)]]+Tabelle4[[#This Row],[Public Funding from DE (ITA)]]</f>
        <v>0</v>
      </c>
      <c r="CV110" s="44">
        <f>Tabelle4[[#This Row],[Public Funding from BR (IPK)]]+Tabelle4[[#This Row],[Public Funding from BR (ITA)]]</f>
        <v>0</v>
      </c>
      <c r="CW110" s="44">
        <f>Tabelle4[[#This Row],[Industry Funding from DE (FPC)]]+Tabelle4[[#This Row],[Public Funding from DE (FPC)]]</f>
        <v>0</v>
      </c>
      <c r="CX110" s="46">
        <f>Tabelle4[[#This Row],[Industry Funding from BR (FPC)]]+Tabelle4[[#This Row],[Public Funding from BR (FPC)]]</f>
        <v>0</v>
      </c>
      <c r="CY110" s="44">
        <f>Tabelle4[[#This Row],[Total Financial Budget (Other)]]+Tabelle4[[#This Row],[Total In-kind Contribution (Other)]]</f>
        <v>0</v>
      </c>
      <c r="CZ11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10" s="44">
        <f>Tabelle4[[#This Row],[In-kind Contribution (R&amp;D III)]]+Tabelle4[[#This Row],[In-kind Contribution (R&amp;D IV)]]</f>
        <v>0</v>
      </c>
      <c r="DB110" s="158">
        <f>Tabelle4[[#This Row],[Total Budget (FPC)]]+Tabelle4[[#This Row],[Total Volume (Other)]]</f>
        <v>0</v>
      </c>
      <c r="DC110" s="104">
        <f>Tabelle4[[#This Row],[Total Revenues (IPK)]]</f>
        <v>0</v>
      </c>
      <c r="DE110" s="44">
        <f>Tabelle4[[#This Row],[Total Revenues IPK]]*Tabelle4[[#This Row],[Probability of Success]]</f>
        <v>0</v>
      </c>
      <c r="DL110" s="44">
        <f>Tabelle4[[#This Row],[Real Budget IPK]]*Tabelle4[[#This Row],[Acquisition Factor OE810]]</f>
        <v>0</v>
      </c>
      <c r="DN110" s="46">
        <f>Tabelle4[[#This Row],[Acquisition Bonus OE810]]+Tabelle4[[#This Row],[Project Execution OE810]]</f>
        <v>0</v>
      </c>
    </row>
    <row r="111" spans="1:16379" ht="75.75" customHeight="1" x14ac:dyDescent="0.45">
      <c r="A111" s="69" t="s">
        <v>183</v>
      </c>
      <c r="B111" s="33" t="s">
        <v>409</v>
      </c>
      <c r="C111" s="33" t="s">
        <v>183</v>
      </c>
      <c r="D111" s="33" t="s">
        <v>706</v>
      </c>
      <c r="E111" s="33">
        <v>1</v>
      </c>
      <c r="F111" s="33">
        <v>0</v>
      </c>
      <c r="G111" s="33" t="s">
        <v>2</v>
      </c>
      <c r="H111" s="33" t="s">
        <v>0</v>
      </c>
      <c r="K111" s="33" t="s">
        <v>246</v>
      </c>
      <c r="L111" s="43" t="s">
        <v>309</v>
      </c>
      <c r="Q111" s="33">
        <v>9</v>
      </c>
      <c r="Y111" s="59">
        <v>43696</v>
      </c>
      <c r="Z111" s="42" t="str">
        <f t="shared" si="19"/>
        <v>IPK</v>
      </c>
      <c r="AG111" s="42" t="str">
        <f t="shared" si="20"/>
        <v>ITA</v>
      </c>
      <c r="AH111" s="33" t="s">
        <v>408</v>
      </c>
      <c r="AI111" s="33" t="s">
        <v>324</v>
      </c>
      <c r="AM111" s="64">
        <f>(55000/4.3111)</f>
        <v>12757.764839600102</v>
      </c>
      <c r="AN111" s="101"/>
      <c r="AU111" s="65"/>
      <c r="BC111" s="42" t="s">
        <v>183</v>
      </c>
      <c r="BE111" s="61">
        <f>(55000/4.3111)</f>
        <v>12757.764839600102</v>
      </c>
      <c r="BF111" s="65"/>
      <c r="BY111" s="44">
        <f>Tabelle4[[#This Row],[Industry Funding from DE (IPK)]]+Tabelle4[[#This Row],[Industry Funding from BR (IPK)]]+Tabelle4[[#This Row],[Public Funding from DE (IPK)]]+Tabelle4[[#This Row],[Public Funding from BR (IPK)]]+Tabelle4[[#This Row],[In-kind Contribution (IPK)]]</f>
        <v>0</v>
      </c>
      <c r="BZ111" s="44">
        <f>Tabelle4[[#This Row],[Industry Funding from DE (IPK)]]+Tabelle4[[#This Row],[Industry Funding from BR (IPK)]]+Tabelle4[[#This Row],[Public Funding from DE (IPK)]]+Tabelle4[[#This Row],[Public Funding from BR (IPK)]]</f>
        <v>0</v>
      </c>
      <c r="CA111" s="44">
        <f>Tabelle4[[#This Row],[Industry Funding from DE (IPK)]]+Tabelle4[[#This Row],[Industry Funding from BR (IPK)]]</f>
        <v>0</v>
      </c>
      <c r="CB111" s="44">
        <f>Tabelle4[[#This Row],[Public Funding from DE (IPK)]]+Tabelle4[[#This Row],[Public Funding from BR (IPK)]]</f>
        <v>0</v>
      </c>
      <c r="CC111" s="44">
        <f>Tabelle4[[#This Row],[In-kind Contribution (IPK)]]</f>
        <v>0</v>
      </c>
      <c r="CD111" s="47" t="e">
        <f>(Tabelle4[[#This Row],[Total Industry Funding (IPK)]] + Tabelle4[[#This Row],[Total Public Funding (IPK)]])/Tabelle4[[#This Row],[Total Project Volume (IPK)]]</f>
        <v>#DIV/0!</v>
      </c>
      <c r="CE111" s="47" t="e">
        <f>Tabelle4[[#This Row],[Total Industry Funding (IPK)]] / Tabelle4[[#This Row],[Total Project Volume (IPK)]]</f>
        <v>#DIV/0!</v>
      </c>
      <c r="CF111" s="33" t="str">
        <f>Tabelle4[[#This Row],[Project Funding Classification]]</f>
        <v>Industry</v>
      </c>
      <c r="CG111" s="44">
        <f>Tabelle4[[#This Row],[Industry Funding from DE (IPK)]]+Tabelle4[[#This Row],[Public Funding from DE (IPK)]]</f>
        <v>0</v>
      </c>
      <c r="CH111" s="46">
        <f>Tabelle4[[#This Row],[Industry Funding from BR (IPK)]]+Tabelle4[[#This Row],[Public Funding from BR (IPK)]]</f>
        <v>0</v>
      </c>
      <c r="CI111" s="44">
        <f>Tabelle4[[#This Row],[Industry Funding from DE (ITA)]]+Tabelle4[[#This Row],[Industry Funding from BR (ITA)]]+Tabelle4[[#This Row],[Public Funding from DE (ITA)]]+Tabelle4[[#This Row],[Public Funding from BR (ITA)]]</f>
        <v>12757.764839600102</v>
      </c>
      <c r="CJ111" s="44">
        <f>Tabelle4[[#This Row],[Industry Funding from DE (ITA)]]+Tabelle4[[#This Row],[Industry Funding from BR (ITA)]]</f>
        <v>0</v>
      </c>
      <c r="CK111" s="44">
        <f>Tabelle4[[#This Row],[Public Funding from DE (ITA)]]+Tabelle4[[#This Row],[Public Funding from BR (ITA)]]</f>
        <v>12757.764839600102</v>
      </c>
      <c r="CL111" s="47">
        <f>Tabelle4[[#This Row],[Total Industry Funding (ITA)]]/Tabelle4[[#This Row],[Total Project Volume (ITA)]]</f>
        <v>0</v>
      </c>
      <c r="CM111" s="33" t="str">
        <f>IF(Tabelle4[[#This Row],[Funding Ratio (ITA)]]&lt;0.5,"Public Funding","Industry")</f>
        <v>Public Funding</v>
      </c>
      <c r="CN111" s="44">
        <f>Tabelle4[[#This Row],[Industry Funding from DE (ITA)]]+Tabelle4[[#This Row],[Public Funding from DE (ITA)]]</f>
        <v>0</v>
      </c>
      <c r="CO111" s="46">
        <f>Tabelle4[[#This Row],[Industry Funding from BR (ITA)]]+Tabelle4[[#This Row],[Public Funding from BR (ITA)]]</f>
        <v>12757.764839600102</v>
      </c>
      <c r="CP111" s="44">
        <f>Tabelle4[[#This Row],[Total Project Volume (IPK)]]+Tabelle4[[#This Row],[Total Project Volume (ITA)]]</f>
        <v>12757.764839600102</v>
      </c>
      <c r="CQ111" s="44">
        <f>Tabelle4[[#This Row],[Total Industry Funding (IPK)]]+Tabelle4[[#This Row],[Total Industry Funding (ITA)]]</f>
        <v>0</v>
      </c>
      <c r="CR111" s="44">
        <f>Tabelle4[[#This Row],[Industry Funding from DE (IPK)]]+Tabelle4[[#This Row],[Industry Funding from DE (ITA)]]</f>
        <v>0</v>
      </c>
      <c r="CS111" s="44">
        <f>Tabelle4[[#This Row],[Industry Funding from BR (IPK)]]+Tabelle4[[#This Row],[Industry Funding from BR (ITA)]]</f>
        <v>0</v>
      </c>
      <c r="CT111" s="44">
        <f>Tabelle4[[#This Row],[Total Public Funding (IPK)]]+Tabelle4[[#This Row],[Total Public Funding (ITA)]]</f>
        <v>12757.764839600102</v>
      </c>
      <c r="CU111" s="44">
        <f>Tabelle4[[#This Row],[Public Funding from DE (IPK)]]+Tabelle4[[#This Row],[Public Funding from DE (ITA)]]</f>
        <v>0</v>
      </c>
      <c r="CV111" s="44">
        <f>Tabelle4[[#This Row],[Public Funding from BR (IPK)]]+Tabelle4[[#This Row],[Public Funding from BR (ITA)]]</f>
        <v>12757.764839600102</v>
      </c>
      <c r="CW111" s="44">
        <f>Tabelle4[[#This Row],[Industry Funding from DE (FPC)]]+Tabelle4[[#This Row],[Public Funding from DE (FPC)]]</f>
        <v>0</v>
      </c>
      <c r="CX111" s="46">
        <f>Tabelle4[[#This Row],[Industry Funding from BR (FPC)]]+Tabelle4[[#This Row],[Public Funding from BR (FPC)]]</f>
        <v>12757.764839600102</v>
      </c>
      <c r="CY111" s="44">
        <f>Tabelle4[[#This Row],[Total Financial Budget (Other)]]+Tabelle4[[#This Row],[Total In-kind Contribution (Other)]]</f>
        <v>0</v>
      </c>
      <c r="CZ11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11" s="44">
        <f>Tabelle4[[#This Row],[In-kind Contribution (R&amp;D III)]]+Tabelle4[[#This Row],[In-kind Contribution (R&amp;D IV)]]</f>
        <v>0</v>
      </c>
      <c r="DB111" s="158">
        <f>Tabelle4[[#This Row],[Total Budget (FPC)]]+Tabelle4[[#This Row],[Total Volume (Other)]]</f>
        <v>12757.764839600102</v>
      </c>
      <c r="DC111" s="104">
        <f>Tabelle4[[#This Row],[Total Revenues (IPK)]]</f>
        <v>0</v>
      </c>
      <c r="DE111" s="44">
        <f>Tabelle4[[#This Row],[Total Revenues IPK]]*Tabelle4[[#This Row],[Probability of Success]]</f>
        <v>0</v>
      </c>
      <c r="DL111" s="44">
        <f>Tabelle4[[#This Row],[Real Budget IPK]]*Tabelle4[[#This Row],[Acquisition Factor OE810]]</f>
        <v>0</v>
      </c>
      <c r="DN111" s="46">
        <f>Tabelle4[[#This Row],[Acquisition Bonus OE810]]+Tabelle4[[#This Row],[Project Execution OE810]]</f>
        <v>0</v>
      </c>
    </row>
    <row r="112" spans="1:16379" ht="75.75" customHeight="1" x14ac:dyDescent="0.45">
      <c r="A112" s="69" t="s">
        <v>350</v>
      </c>
      <c r="B112" s="33" t="s">
        <v>351</v>
      </c>
      <c r="C112" s="57" t="s">
        <v>344</v>
      </c>
      <c r="D112" s="57" t="s">
        <v>709</v>
      </c>
      <c r="E112" s="33">
        <v>1</v>
      </c>
      <c r="F112" s="33">
        <v>0</v>
      </c>
      <c r="G112" s="33" t="s">
        <v>2</v>
      </c>
      <c r="H112" s="33" t="s">
        <v>0</v>
      </c>
      <c r="K112" s="33" t="s">
        <v>244</v>
      </c>
      <c r="L112" s="59" t="s">
        <v>651</v>
      </c>
      <c r="M112" s="144">
        <v>6.59</v>
      </c>
      <c r="Q112" s="58">
        <v>6</v>
      </c>
      <c r="R112" s="60">
        <v>44287</v>
      </c>
      <c r="U112" s="60">
        <v>43717</v>
      </c>
      <c r="V112" s="60"/>
      <c r="W112" s="59">
        <v>44120</v>
      </c>
      <c r="Z112" s="42" t="str">
        <f t="shared" si="19"/>
        <v>IPK</v>
      </c>
      <c r="AG112" s="42" t="str">
        <f t="shared" si="20"/>
        <v>ITA</v>
      </c>
      <c r="AH112" s="33" t="s">
        <v>349</v>
      </c>
      <c r="AI112" s="33" t="s">
        <v>346</v>
      </c>
      <c r="AK112" s="64">
        <f>(105858.96/M112)</f>
        <v>16063.575113808802</v>
      </c>
      <c r="AL112" s="64"/>
      <c r="AN112" s="101"/>
      <c r="AU112" s="65"/>
      <c r="BC112" s="42" t="s">
        <v>344</v>
      </c>
      <c r="BE112" s="64">
        <f>(105858.96/4.3111)</f>
        <v>24554.976688084251</v>
      </c>
      <c r="BF112" s="65"/>
      <c r="BY112" s="44">
        <f>Tabelle4[[#This Row],[Industry Funding from DE (IPK)]]+Tabelle4[[#This Row],[Industry Funding from BR (IPK)]]+Tabelle4[[#This Row],[Public Funding from DE (IPK)]]+Tabelle4[[#This Row],[Public Funding from BR (IPK)]]+Tabelle4[[#This Row],[In-kind Contribution (IPK)]]</f>
        <v>0</v>
      </c>
      <c r="BZ112" s="44">
        <f>Tabelle4[[#This Row],[Industry Funding from DE (IPK)]]+Tabelle4[[#This Row],[Industry Funding from BR (IPK)]]+Tabelle4[[#This Row],[Public Funding from DE (IPK)]]+Tabelle4[[#This Row],[Public Funding from BR (IPK)]]</f>
        <v>0</v>
      </c>
      <c r="CA112" s="44">
        <f>Tabelle4[[#This Row],[Industry Funding from DE (IPK)]]+Tabelle4[[#This Row],[Industry Funding from BR (IPK)]]</f>
        <v>0</v>
      </c>
      <c r="CB112" s="44">
        <f>Tabelle4[[#This Row],[Public Funding from DE (IPK)]]+Tabelle4[[#This Row],[Public Funding from BR (IPK)]]</f>
        <v>0</v>
      </c>
      <c r="CC112" s="44">
        <f>Tabelle4[[#This Row],[In-kind Contribution (IPK)]]</f>
        <v>0</v>
      </c>
      <c r="CD112" s="47" t="e">
        <f>(Tabelle4[[#This Row],[Total Industry Funding (IPK)]] + Tabelle4[[#This Row],[Total Public Funding (IPK)]])/Tabelle4[[#This Row],[Total Project Volume (IPK)]]</f>
        <v>#DIV/0!</v>
      </c>
      <c r="CE112" s="47" t="e">
        <f>Tabelle4[[#This Row],[Total Industry Funding (IPK)]] / Tabelle4[[#This Row],[Total Project Volume (IPK)]]</f>
        <v>#DIV/0!</v>
      </c>
      <c r="CF112" s="33" t="str">
        <f>Tabelle4[[#This Row],[Project Funding Classification]]</f>
        <v>Industry</v>
      </c>
      <c r="CG112" s="44">
        <f>Tabelle4[[#This Row],[Industry Funding from DE (IPK)]]+Tabelle4[[#This Row],[Public Funding from DE (IPK)]]</f>
        <v>0</v>
      </c>
      <c r="CH112" s="46">
        <f>Tabelle4[[#This Row],[Industry Funding from BR (IPK)]]+Tabelle4[[#This Row],[Public Funding from BR (IPK)]]</f>
        <v>0</v>
      </c>
      <c r="CI112" s="44">
        <f>Tabelle4[[#This Row],[Industry Funding from DE (ITA)]]+Tabelle4[[#This Row],[Industry Funding from BR (ITA)]]+Tabelle4[[#This Row],[Public Funding from DE (ITA)]]+Tabelle4[[#This Row],[Public Funding from BR (ITA)]]</f>
        <v>16063.575113808802</v>
      </c>
      <c r="CJ112" s="44">
        <f>Tabelle4[[#This Row],[Industry Funding from DE (ITA)]]+Tabelle4[[#This Row],[Industry Funding from BR (ITA)]]</f>
        <v>16063.575113808802</v>
      </c>
      <c r="CK112" s="44">
        <f>Tabelle4[[#This Row],[Public Funding from DE (ITA)]]+Tabelle4[[#This Row],[Public Funding from BR (ITA)]]</f>
        <v>0</v>
      </c>
      <c r="CL112" s="47">
        <f>Tabelle4[[#This Row],[Total Industry Funding (ITA)]]/Tabelle4[[#This Row],[Total Project Volume (ITA)]]</f>
        <v>1</v>
      </c>
      <c r="CM112" s="33" t="str">
        <f>IF(Tabelle4[[#This Row],[Funding Ratio (ITA)]]&lt;0.5,"Public Funding","Industry")</f>
        <v>Industry</v>
      </c>
      <c r="CN112" s="44">
        <f>Tabelle4[[#This Row],[Industry Funding from DE (ITA)]]+Tabelle4[[#This Row],[Public Funding from DE (ITA)]]</f>
        <v>0</v>
      </c>
      <c r="CO112" s="46">
        <f>Tabelle4[[#This Row],[Industry Funding from BR (ITA)]]+Tabelle4[[#This Row],[Public Funding from BR (ITA)]]</f>
        <v>16063.575113808802</v>
      </c>
      <c r="CP112" s="44">
        <f>Tabelle4[[#This Row],[Total Project Volume (IPK)]]+Tabelle4[[#This Row],[Total Project Volume (ITA)]]</f>
        <v>16063.575113808802</v>
      </c>
      <c r="CQ112" s="44">
        <f>Tabelle4[[#This Row],[Total Industry Funding (IPK)]]+Tabelle4[[#This Row],[Total Industry Funding (ITA)]]</f>
        <v>16063.575113808802</v>
      </c>
      <c r="CR112" s="44">
        <f>Tabelle4[[#This Row],[Industry Funding from DE (IPK)]]+Tabelle4[[#This Row],[Industry Funding from DE (ITA)]]</f>
        <v>0</v>
      </c>
      <c r="CS112" s="44">
        <f>Tabelle4[[#This Row],[Industry Funding from BR (IPK)]]+Tabelle4[[#This Row],[Industry Funding from BR (ITA)]]</f>
        <v>16063.575113808802</v>
      </c>
      <c r="CT112" s="44">
        <f>Tabelle4[[#This Row],[Total Public Funding (IPK)]]+Tabelle4[[#This Row],[Total Public Funding (ITA)]]</f>
        <v>0</v>
      </c>
      <c r="CU112" s="44">
        <f>Tabelle4[[#This Row],[Public Funding from DE (IPK)]]+Tabelle4[[#This Row],[Public Funding from DE (ITA)]]</f>
        <v>0</v>
      </c>
      <c r="CV112" s="44">
        <f>Tabelle4[[#This Row],[Public Funding from BR (IPK)]]+Tabelle4[[#This Row],[Public Funding from BR (ITA)]]</f>
        <v>0</v>
      </c>
      <c r="CW112" s="44">
        <f>Tabelle4[[#This Row],[Industry Funding from DE (FPC)]]+Tabelle4[[#This Row],[Public Funding from DE (FPC)]]</f>
        <v>0</v>
      </c>
      <c r="CX112" s="46">
        <f>Tabelle4[[#This Row],[Industry Funding from BR (FPC)]]+Tabelle4[[#This Row],[Public Funding from BR (FPC)]]</f>
        <v>16063.575113808802</v>
      </c>
      <c r="CY112" s="44">
        <f>Tabelle4[[#This Row],[Total Financial Budget (Other)]]+Tabelle4[[#This Row],[Total In-kind Contribution (Other)]]</f>
        <v>0</v>
      </c>
      <c r="CZ11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12" s="44">
        <f>Tabelle4[[#This Row],[In-kind Contribution (R&amp;D III)]]+Tabelle4[[#This Row],[In-kind Contribution (R&amp;D IV)]]</f>
        <v>0</v>
      </c>
      <c r="DB112" s="158">
        <f>Tabelle4[[#This Row],[Total Budget (FPC)]]+Tabelle4[[#This Row],[Total Volume (Other)]]</f>
        <v>16063.575113808802</v>
      </c>
      <c r="DC112" s="104">
        <f>Tabelle4[[#This Row],[Total Revenues (IPK)]]</f>
        <v>0</v>
      </c>
      <c r="DE112" s="44">
        <f>Tabelle4[[#This Row],[Total Revenues IPK]]*Tabelle4[[#This Row],[Probability of Success]]</f>
        <v>0</v>
      </c>
      <c r="DL112" s="44">
        <f>Tabelle4[[#This Row],[Real Budget IPK]]*Tabelle4[[#This Row],[Acquisition Factor OE810]]</f>
        <v>0</v>
      </c>
      <c r="DN112" s="46">
        <f>Tabelle4[[#This Row],[Acquisition Bonus OE810]]+Tabelle4[[#This Row],[Project Execution OE810]]</f>
        <v>0</v>
      </c>
    </row>
    <row r="113" spans="1:118" ht="75.75" customHeight="1" x14ac:dyDescent="0.45">
      <c r="A113" s="69" t="s">
        <v>347</v>
      </c>
      <c r="B113" s="33" t="s">
        <v>348</v>
      </c>
      <c r="C113" s="57" t="s">
        <v>344</v>
      </c>
      <c r="D113" s="57" t="s">
        <v>709</v>
      </c>
      <c r="E113" s="33">
        <v>1</v>
      </c>
      <c r="F113" s="33">
        <v>0</v>
      </c>
      <c r="G113" s="33" t="s">
        <v>2</v>
      </c>
      <c r="H113" s="33" t="s">
        <v>0</v>
      </c>
      <c r="K113" s="33" t="s">
        <v>246</v>
      </c>
      <c r="L113" s="43" t="s">
        <v>309</v>
      </c>
      <c r="Q113" s="58">
        <v>6</v>
      </c>
      <c r="R113" s="60"/>
      <c r="U113" s="60"/>
      <c r="V113" s="60">
        <v>43717</v>
      </c>
      <c r="Y113" s="59">
        <v>43745</v>
      </c>
      <c r="Z113" s="42" t="str">
        <f t="shared" si="19"/>
        <v>IPK</v>
      </c>
      <c r="AG113" s="42" t="str">
        <f t="shared" si="20"/>
        <v>ITA</v>
      </c>
      <c r="AH113" s="33" t="s">
        <v>349</v>
      </c>
      <c r="AI113" s="33" t="s">
        <v>346</v>
      </c>
      <c r="AK113" s="64">
        <f>(96494.69/4.3111)</f>
        <v>22382.846605274757</v>
      </c>
      <c r="AL113" s="64"/>
      <c r="AN113" s="101"/>
      <c r="AU113" s="65"/>
      <c r="BC113" s="42" t="s">
        <v>344</v>
      </c>
      <c r="BE113" s="64">
        <f>(96494.69/4.3111)</f>
        <v>22382.846605274757</v>
      </c>
      <c r="BF113" s="65"/>
      <c r="BY113" s="44">
        <f>Tabelle4[[#This Row],[Industry Funding from DE (IPK)]]+Tabelle4[[#This Row],[Industry Funding from BR (IPK)]]+Tabelle4[[#This Row],[Public Funding from DE (IPK)]]+Tabelle4[[#This Row],[Public Funding from BR (IPK)]]+Tabelle4[[#This Row],[In-kind Contribution (IPK)]]</f>
        <v>0</v>
      </c>
      <c r="BZ113" s="44">
        <f>Tabelle4[[#This Row],[Industry Funding from DE (IPK)]]+Tabelle4[[#This Row],[Industry Funding from BR (IPK)]]+Tabelle4[[#This Row],[Public Funding from DE (IPK)]]+Tabelle4[[#This Row],[Public Funding from BR (IPK)]]</f>
        <v>0</v>
      </c>
      <c r="CA113" s="44">
        <f>Tabelle4[[#This Row],[Industry Funding from DE (IPK)]]+Tabelle4[[#This Row],[Industry Funding from BR (IPK)]]</f>
        <v>0</v>
      </c>
      <c r="CB113" s="44">
        <f>Tabelle4[[#This Row],[Public Funding from DE (IPK)]]+Tabelle4[[#This Row],[Public Funding from BR (IPK)]]</f>
        <v>0</v>
      </c>
      <c r="CC113" s="44">
        <f>Tabelle4[[#This Row],[In-kind Contribution (IPK)]]</f>
        <v>0</v>
      </c>
      <c r="CD113" s="47" t="e">
        <f>(Tabelle4[[#This Row],[Total Industry Funding (IPK)]] + Tabelle4[[#This Row],[Total Public Funding (IPK)]])/Tabelle4[[#This Row],[Total Project Volume (IPK)]]</f>
        <v>#DIV/0!</v>
      </c>
      <c r="CE113" s="47" t="e">
        <f>Tabelle4[[#This Row],[Total Industry Funding (IPK)]] / Tabelle4[[#This Row],[Total Project Volume (IPK)]]</f>
        <v>#DIV/0!</v>
      </c>
      <c r="CF113" s="33" t="str">
        <f>Tabelle4[[#This Row],[Project Funding Classification]]</f>
        <v>Industry</v>
      </c>
      <c r="CG113" s="44">
        <f>Tabelle4[[#This Row],[Industry Funding from DE (IPK)]]+Tabelle4[[#This Row],[Public Funding from DE (IPK)]]</f>
        <v>0</v>
      </c>
      <c r="CH113" s="46">
        <f>Tabelle4[[#This Row],[Industry Funding from BR (IPK)]]+Tabelle4[[#This Row],[Public Funding from BR (IPK)]]</f>
        <v>0</v>
      </c>
      <c r="CI113" s="44">
        <f>Tabelle4[[#This Row],[Industry Funding from DE (ITA)]]+Tabelle4[[#This Row],[Industry Funding from BR (ITA)]]+Tabelle4[[#This Row],[Public Funding from DE (ITA)]]+Tabelle4[[#This Row],[Public Funding from BR (ITA)]]</f>
        <v>22382.846605274757</v>
      </c>
      <c r="CJ113" s="44">
        <f>Tabelle4[[#This Row],[Industry Funding from DE (ITA)]]+Tabelle4[[#This Row],[Industry Funding from BR (ITA)]]</f>
        <v>22382.846605274757</v>
      </c>
      <c r="CK113" s="44">
        <f>Tabelle4[[#This Row],[Public Funding from DE (ITA)]]+Tabelle4[[#This Row],[Public Funding from BR (ITA)]]</f>
        <v>0</v>
      </c>
      <c r="CL113" s="47">
        <f>Tabelle4[[#This Row],[Total Industry Funding (ITA)]]/Tabelle4[[#This Row],[Total Project Volume (ITA)]]</f>
        <v>1</v>
      </c>
      <c r="CM113" s="33" t="str">
        <f>IF(Tabelle4[[#This Row],[Funding Ratio (ITA)]]&lt;0.5,"Public Funding","Industry")</f>
        <v>Industry</v>
      </c>
      <c r="CN113" s="44">
        <f>Tabelle4[[#This Row],[Industry Funding from DE (ITA)]]+Tabelle4[[#This Row],[Public Funding from DE (ITA)]]</f>
        <v>0</v>
      </c>
      <c r="CO113" s="46">
        <f>Tabelle4[[#This Row],[Industry Funding from BR (ITA)]]+Tabelle4[[#This Row],[Public Funding from BR (ITA)]]</f>
        <v>22382.846605274757</v>
      </c>
      <c r="CP113" s="44">
        <f>Tabelle4[[#This Row],[Total Project Volume (IPK)]]+Tabelle4[[#This Row],[Total Project Volume (ITA)]]</f>
        <v>22382.846605274757</v>
      </c>
      <c r="CQ113" s="44">
        <f>Tabelle4[[#This Row],[Total Industry Funding (IPK)]]+Tabelle4[[#This Row],[Total Industry Funding (ITA)]]</f>
        <v>22382.846605274757</v>
      </c>
      <c r="CR113" s="44">
        <f>Tabelle4[[#This Row],[Industry Funding from DE (IPK)]]+Tabelle4[[#This Row],[Industry Funding from DE (ITA)]]</f>
        <v>0</v>
      </c>
      <c r="CS113" s="44">
        <f>Tabelle4[[#This Row],[Industry Funding from BR (IPK)]]+Tabelle4[[#This Row],[Industry Funding from BR (ITA)]]</f>
        <v>22382.846605274757</v>
      </c>
      <c r="CT113" s="44">
        <f>Tabelle4[[#This Row],[Total Public Funding (IPK)]]+Tabelle4[[#This Row],[Total Public Funding (ITA)]]</f>
        <v>0</v>
      </c>
      <c r="CU113" s="44">
        <f>Tabelle4[[#This Row],[Public Funding from DE (IPK)]]+Tabelle4[[#This Row],[Public Funding from DE (ITA)]]</f>
        <v>0</v>
      </c>
      <c r="CV113" s="44">
        <f>Tabelle4[[#This Row],[Public Funding from BR (IPK)]]+Tabelle4[[#This Row],[Public Funding from BR (ITA)]]</f>
        <v>0</v>
      </c>
      <c r="CW113" s="44">
        <f>Tabelle4[[#This Row],[Industry Funding from DE (FPC)]]+Tabelle4[[#This Row],[Public Funding from DE (FPC)]]</f>
        <v>0</v>
      </c>
      <c r="CX113" s="46">
        <f>Tabelle4[[#This Row],[Industry Funding from BR (FPC)]]+Tabelle4[[#This Row],[Public Funding from BR (FPC)]]</f>
        <v>22382.846605274757</v>
      </c>
      <c r="CY113" s="44">
        <f>Tabelle4[[#This Row],[Total Financial Budget (Other)]]+Tabelle4[[#This Row],[Total In-kind Contribution (Other)]]</f>
        <v>0</v>
      </c>
      <c r="CZ11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13" s="44">
        <f>Tabelle4[[#This Row],[In-kind Contribution (R&amp;D III)]]+Tabelle4[[#This Row],[In-kind Contribution (R&amp;D IV)]]</f>
        <v>0</v>
      </c>
      <c r="DB113" s="158">
        <f>Tabelle4[[#This Row],[Total Budget (FPC)]]+Tabelle4[[#This Row],[Total Volume (Other)]]</f>
        <v>22382.846605274757</v>
      </c>
      <c r="DC113" s="104">
        <f>Tabelle4[[#This Row],[Total Revenues (IPK)]]</f>
        <v>0</v>
      </c>
      <c r="DE113" s="44">
        <f>Tabelle4[[#This Row],[Total Revenues IPK]]*Tabelle4[[#This Row],[Probability of Success]]</f>
        <v>0</v>
      </c>
      <c r="DL113" s="44">
        <f>Tabelle4[[#This Row],[Real Budget IPK]]*Tabelle4[[#This Row],[Acquisition Factor OE810]]</f>
        <v>0</v>
      </c>
      <c r="DN113" s="46">
        <f>Tabelle4[[#This Row],[Acquisition Bonus OE810]]+Tabelle4[[#This Row],[Project Execution OE810]]</f>
        <v>0</v>
      </c>
    </row>
    <row r="114" spans="1:118" ht="75.75" customHeight="1" x14ac:dyDescent="0.45">
      <c r="A114" s="69" t="s">
        <v>343</v>
      </c>
      <c r="B114" s="33" t="s">
        <v>432</v>
      </c>
      <c r="C114" s="57" t="s">
        <v>344</v>
      </c>
      <c r="D114" s="57" t="s">
        <v>709</v>
      </c>
      <c r="E114" s="33">
        <v>1</v>
      </c>
      <c r="F114" s="33">
        <v>0</v>
      </c>
      <c r="G114" s="33" t="s">
        <v>2</v>
      </c>
      <c r="H114" s="33" t="s">
        <v>0</v>
      </c>
      <c r="J114" s="59">
        <v>43717</v>
      </c>
      <c r="K114" s="33" t="s">
        <v>246</v>
      </c>
      <c r="L114" s="59" t="s">
        <v>309</v>
      </c>
      <c r="Q114" s="58"/>
      <c r="R114" s="60"/>
      <c r="S114" s="60"/>
      <c r="T114" s="60"/>
      <c r="U114" s="60"/>
      <c r="Y114" s="59">
        <v>43492</v>
      </c>
      <c r="Z114" s="42" t="str">
        <f t="shared" si="19"/>
        <v>IPK</v>
      </c>
      <c r="AG114" s="42" t="str">
        <f t="shared" si="20"/>
        <v>ITA</v>
      </c>
      <c r="AH114" s="33" t="s">
        <v>345</v>
      </c>
      <c r="AI114" s="33" t="s">
        <v>346</v>
      </c>
      <c r="AJ114" s="104">
        <v>0</v>
      </c>
      <c r="AK114" s="104">
        <v>0</v>
      </c>
      <c r="AL114" s="64"/>
      <c r="AN114" s="101"/>
      <c r="AU114" s="65"/>
      <c r="BC114" s="42"/>
      <c r="BF114" s="65"/>
      <c r="BY114" s="44">
        <f>Tabelle4[[#This Row],[Industry Funding from DE (IPK)]]+Tabelle4[[#This Row],[Industry Funding from BR (IPK)]]+Tabelle4[[#This Row],[Public Funding from DE (IPK)]]+Tabelle4[[#This Row],[Public Funding from BR (IPK)]]+Tabelle4[[#This Row],[In-kind Contribution (IPK)]]</f>
        <v>0</v>
      </c>
      <c r="BZ114" s="44">
        <f>Tabelle4[[#This Row],[Industry Funding from DE (IPK)]]+Tabelle4[[#This Row],[Industry Funding from BR (IPK)]]+Tabelle4[[#This Row],[Public Funding from DE (IPK)]]+Tabelle4[[#This Row],[Public Funding from BR (IPK)]]</f>
        <v>0</v>
      </c>
      <c r="CA114" s="44">
        <f>Tabelle4[[#This Row],[Industry Funding from DE (IPK)]]+Tabelle4[[#This Row],[Industry Funding from BR (IPK)]]</f>
        <v>0</v>
      </c>
      <c r="CB114" s="44">
        <f>Tabelle4[[#This Row],[Public Funding from DE (IPK)]]+Tabelle4[[#This Row],[Public Funding from BR (IPK)]]</f>
        <v>0</v>
      </c>
      <c r="CC114" s="44">
        <f>Tabelle4[[#This Row],[In-kind Contribution (IPK)]]</f>
        <v>0</v>
      </c>
      <c r="CD114" s="47" t="e">
        <f>(Tabelle4[[#This Row],[Total Industry Funding (IPK)]] + Tabelle4[[#This Row],[Total Public Funding (IPK)]])/Tabelle4[[#This Row],[Total Project Volume (IPK)]]</f>
        <v>#DIV/0!</v>
      </c>
      <c r="CE114" s="47" t="e">
        <f>Tabelle4[[#This Row],[Total Industry Funding (IPK)]] / Tabelle4[[#This Row],[Total Project Volume (IPK)]]</f>
        <v>#DIV/0!</v>
      </c>
      <c r="CF114" s="33" t="str">
        <f>Tabelle4[[#This Row],[Project Funding Classification]]</f>
        <v>Industry</v>
      </c>
      <c r="CG114" s="44">
        <f>Tabelle4[[#This Row],[Industry Funding from DE (IPK)]]+Tabelle4[[#This Row],[Public Funding from DE (IPK)]]</f>
        <v>0</v>
      </c>
      <c r="CH114" s="46">
        <f>Tabelle4[[#This Row],[Industry Funding from BR (IPK)]]+Tabelle4[[#This Row],[Public Funding from BR (IPK)]]</f>
        <v>0</v>
      </c>
      <c r="CI114" s="44">
        <f>Tabelle4[[#This Row],[Industry Funding from DE (ITA)]]+Tabelle4[[#This Row],[Industry Funding from BR (ITA)]]+Tabelle4[[#This Row],[Public Funding from DE (ITA)]]+Tabelle4[[#This Row],[Public Funding from BR (ITA)]]</f>
        <v>0</v>
      </c>
      <c r="CJ114" s="44">
        <f>Tabelle4[[#This Row],[Industry Funding from DE (ITA)]]+Tabelle4[[#This Row],[Industry Funding from BR (ITA)]]</f>
        <v>0</v>
      </c>
      <c r="CK114" s="44">
        <f>Tabelle4[[#This Row],[Public Funding from DE (ITA)]]+Tabelle4[[#This Row],[Public Funding from BR (ITA)]]</f>
        <v>0</v>
      </c>
      <c r="CL114" s="47" t="e">
        <f>Tabelle4[[#This Row],[Total Industry Funding (ITA)]]/Tabelle4[[#This Row],[Total Project Volume (ITA)]]</f>
        <v>#DIV/0!</v>
      </c>
      <c r="CM114" s="33" t="e">
        <f>IF(Tabelle4[[#This Row],[Funding Ratio (ITA)]]&lt;0.5,"Public Funding","Industry")</f>
        <v>#DIV/0!</v>
      </c>
      <c r="CN114" s="44">
        <f>Tabelle4[[#This Row],[Industry Funding from DE (ITA)]]+Tabelle4[[#This Row],[Public Funding from DE (ITA)]]</f>
        <v>0</v>
      </c>
      <c r="CO114" s="46">
        <f>Tabelle4[[#This Row],[Industry Funding from BR (ITA)]]+Tabelle4[[#This Row],[Public Funding from BR (ITA)]]</f>
        <v>0</v>
      </c>
      <c r="CP114" s="44">
        <f>Tabelle4[[#This Row],[Total Project Volume (IPK)]]+Tabelle4[[#This Row],[Total Project Volume (ITA)]]</f>
        <v>0</v>
      </c>
      <c r="CQ114" s="44">
        <f>Tabelle4[[#This Row],[Total Industry Funding (IPK)]]+Tabelle4[[#This Row],[Total Industry Funding (ITA)]]</f>
        <v>0</v>
      </c>
      <c r="CR114" s="44">
        <f>Tabelle4[[#This Row],[Industry Funding from DE (IPK)]]+Tabelle4[[#This Row],[Industry Funding from DE (ITA)]]</f>
        <v>0</v>
      </c>
      <c r="CS114" s="44">
        <f>Tabelle4[[#This Row],[Industry Funding from BR (IPK)]]+Tabelle4[[#This Row],[Industry Funding from BR (ITA)]]</f>
        <v>0</v>
      </c>
      <c r="CT114" s="44">
        <f>Tabelle4[[#This Row],[Total Public Funding (IPK)]]+Tabelle4[[#This Row],[Total Public Funding (ITA)]]</f>
        <v>0</v>
      </c>
      <c r="CU114" s="44">
        <f>Tabelle4[[#This Row],[Public Funding from DE (IPK)]]+Tabelle4[[#This Row],[Public Funding from DE (ITA)]]</f>
        <v>0</v>
      </c>
      <c r="CV114" s="44">
        <f>Tabelle4[[#This Row],[Public Funding from BR (IPK)]]+Tabelle4[[#This Row],[Public Funding from BR (ITA)]]</f>
        <v>0</v>
      </c>
      <c r="CW114" s="44">
        <f>Tabelle4[[#This Row],[Industry Funding from DE (FPC)]]+Tabelle4[[#This Row],[Public Funding from DE (FPC)]]</f>
        <v>0</v>
      </c>
      <c r="CX114" s="46">
        <f>Tabelle4[[#This Row],[Industry Funding from BR (FPC)]]+Tabelle4[[#This Row],[Public Funding from BR (FPC)]]</f>
        <v>0</v>
      </c>
      <c r="CY114" s="44">
        <f>Tabelle4[[#This Row],[Total Financial Budget (Other)]]+Tabelle4[[#This Row],[Total In-kind Contribution (Other)]]</f>
        <v>0</v>
      </c>
      <c r="CZ11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14" s="44">
        <f>Tabelle4[[#This Row],[In-kind Contribution (R&amp;D III)]]+Tabelle4[[#This Row],[In-kind Contribution (R&amp;D IV)]]</f>
        <v>0</v>
      </c>
      <c r="DB114" s="158">
        <f>Tabelle4[[#This Row],[Total Budget (FPC)]]+Tabelle4[[#This Row],[Total Volume (Other)]]</f>
        <v>0</v>
      </c>
      <c r="DC114" s="104">
        <f>Tabelle4[[#This Row],[Total Revenues (IPK)]]</f>
        <v>0</v>
      </c>
      <c r="DE114" s="44">
        <f>Tabelle4[[#This Row],[Total Revenues IPK]]*Tabelle4[[#This Row],[Probability of Success]]</f>
        <v>0</v>
      </c>
      <c r="DL114" s="44">
        <f>Tabelle4[[#This Row],[Real Budget IPK]]*Tabelle4[[#This Row],[Acquisition Factor OE810]]</f>
        <v>0</v>
      </c>
      <c r="DN114" s="46">
        <f>Tabelle4[[#This Row],[Acquisition Bonus OE810]]+Tabelle4[[#This Row],[Project Execution OE810]]</f>
        <v>0</v>
      </c>
    </row>
    <row r="115" spans="1:118" ht="75.75" customHeight="1" x14ac:dyDescent="0.45">
      <c r="A115" s="33" t="s">
        <v>675</v>
      </c>
      <c r="B115" s="33" t="s">
        <v>471</v>
      </c>
      <c r="C115" s="33" t="s">
        <v>155</v>
      </c>
      <c r="D115" s="33" t="s">
        <v>709</v>
      </c>
      <c r="E115" s="33">
        <v>4</v>
      </c>
      <c r="F115" s="33">
        <v>0</v>
      </c>
      <c r="G115" s="33" t="s">
        <v>2</v>
      </c>
      <c r="H115" s="33" t="s">
        <v>0</v>
      </c>
      <c r="I115" s="33" t="s">
        <v>678</v>
      </c>
      <c r="J115" s="59">
        <v>43780</v>
      </c>
      <c r="K115" s="33" t="s">
        <v>244</v>
      </c>
      <c r="L115" s="33" t="s">
        <v>651</v>
      </c>
      <c r="M115" s="144">
        <v>6.7</v>
      </c>
      <c r="N115" s="33" t="s">
        <v>644</v>
      </c>
      <c r="Q115" s="33">
        <v>12</v>
      </c>
      <c r="S115" s="59">
        <v>43780</v>
      </c>
      <c r="U115" s="59">
        <v>43878</v>
      </c>
      <c r="V115" s="59">
        <v>44097</v>
      </c>
      <c r="W115" s="59">
        <v>44278</v>
      </c>
      <c r="Z115" s="42" t="str">
        <f t="shared" si="19"/>
        <v>IPK</v>
      </c>
      <c r="AG115" s="42" t="str">
        <f t="shared" si="20"/>
        <v>ITA</v>
      </c>
      <c r="AH115" s="33" t="s">
        <v>130</v>
      </c>
      <c r="AI115" s="33" t="s">
        <v>438</v>
      </c>
      <c r="AJ115" s="64"/>
      <c r="AK115" s="64">
        <f>(820000/M115)</f>
        <v>122388.05970149253</v>
      </c>
      <c r="AM115" s="64"/>
      <c r="AN115" s="101"/>
      <c r="AU115" s="65"/>
      <c r="BC115" s="42"/>
      <c r="BF115" s="65"/>
      <c r="BY115" s="44">
        <f>Tabelle4[[#This Row],[Industry Funding from DE (IPK)]]+Tabelle4[[#This Row],[Industry Funding from BR (IPK)]]+Tabelle4[[#This Row],[Public Funding from DE (IPK)]]+Tabelle4[[#This Row],[Public Funding from BR (IPK)]]+Tabelle4[[#This Row],[In-kind Contribution (IPK)]]</f>
        <v>0</v>
      </c>
      <c r="BZ115" s="44">
        <f>Tabelle4[[#This Row],[Industry Funding from DE (IPK)]]+Tabelle4[[#This Row],[Industry Funding from BR (IPK)]]+Tabelle4[[#This Row],[Public Funding from DE (IPK)]]+Tabelle4[[#This Row],[Public Funding from BR (IPK)]]</f>
        <v>0</v>
      </c>
      <c r="CA115" s="44">
        <f>Tabelle4[[#This Row],[Industry Funding from DE (IPK)]]+Tabelle4[[#This Row],[Industry Funding from BR (IPK)]]</f>
        <v>0</v>
      </c>
      <c r="CB115" s="44">
        <f>Tabelle4[[#This Row],[Public Funding from DE (IPK)]]+Tabelle4[[#This Row],[Public Funding from BR (IPK)]]</f>
        <v>0</v>
      </c>
      <c r="CC115" s="44">
        <f>Tabelle4[[#This Row],[In-kind Contribution (IPK)]]</f>
        <v>0</v>
      </c>
      <c r="CD115" s="47" t="e">
        <f>(Tabelle4[[#This Row],[Total Industry Funding (IPK)]] + Tabelle4[[#This Row],[Total Public Funding (IPK)]])/Tabelle4[[#This Row],[Total Project Volume (IPK)]]</f>
        <v>#DIV/0!</v>
      </c>
      <c r="CE115" s="47" t="e">
        <f>Tabelle4[[#This Row],[Total Industry Funding (IPK)]] / Tabelle4[[#This Row],[Total Project Volume (IPK)]]</f>
        <v>#DIV/0!</v>
      </c>
      <c r="CF115" s="33" t="str">
        <f>Tabelle4[[#This Row],[Project Funding Classification]]</f>
        <v>Industry</v>
      </c>
      <c r="CG115" s="44">
        <f>Tabelle4[[#This Row],[Industry Funding from DE (IPK)]]+Tabelle4[[#This Row],[Public Funding from DE (IPK)]]</f>
        <v>0</v>
      </c>
      <c r="CH115" s="46">
        <f>Tabelle4[[#This Row],[Industry Funding from BR (IPK)]]+Tabelle4[[#This Row],[Public Funding from BR (IPK)]]</f>
        <v>0</v>
      </c>
      <c r="CI115" s="44">
        <f>Tabelle4[[#This Row],[Industry Funding from DE (ITA)]]+Tabelle4[[#This Row],[Industry Funding from BR (ITA)]]+Tabelle4[[#This Row],[Public Funding from DE (ITA)]]+Tabelle4[[#This Row],[Public Funding from BR (ITA)]]</f>
        <v>122388.05970149253</v>
      </c>
      <c r="CJ115" s="44">
        <f>Tabelle4[[#This Row],[Industry Funding from DE (ITA)]]+Tabelle4[[#This Row],[Industry Funding from BR (ITA)]]</f>
        <v>122388.05970149253</v>
      </c>
      <c r="CK115" s="44">
        <f>Tabelle4[[#This Row],[Public Funding from DE (ITA)]]+Tabelle4[[#This Row],[Public Funding from BR (ITA)]]</f>
        <v>0</v>
      </c>
      <c r="CL115" s="47">
        <f>Tabelle4[[#This Row],[Total Industry Funding (ITA)]]/Tabelle4[[#This Row],[Total Project Volume (ITA)]]</f>
        <v>1</v>
      </c>
      <c r="CM115" s="33" t="str">
        <f>IF(Tabelle4[[#This Row],[Funding Ratio (ITA)]]&lt;0.5,"Public Funding","Industry")</f>
        <v>Industry</v>
      </c>
      <c r="CN115" s="44">
        <f>Tabelle4[[#This Row],[Industry Funding from DE (ITA)]]+Tabelle4[[#This Row],[Public Funding from DE (ITA)]]</f>
        <v>0</v>
      </c>
      <c r="CO115" s="46">
        <f>Tabelle4[[#This Row],[Industry Funding from BR (ITA)]]+Tabelle4[[#This Row],[Public Funding from BR (ITA)]]</f>
        <v>122388.05970149253</v>
      </c>
      <c r="CP115" s="44">
        <f>Tabelle4[[#This Row],[Total Project Volume (IPK)]]+Tabelle4[[#This Row],[Total Project Volume (ITA)]]</f>
        <v>122388.05970149253</v>
      </c>
      <c r="CQ115" s="44">
        <f>Tabelle4[[#This Row],[Total Industry Funding (IPK)]]+Tabelle4[[#This Row],[Total Industry Funding (ITA)]]</f>
        <v>122388.05970149253</v>
      </c>
      <c r="CR115" s="44">
        <f>Tabelle4[[#This Row],[Industry Funding from DE (IPK)]]+Tabelle4[[#This Row],[Industry Funding from DE (ITA)]]</f>
        <v>0</v>
      </c>
      <c r="CS115" s="44">
        <f>Tabelle4[[#This Row],[Industry Funding from BR (IPK)]]+Tabelle4[[#This Row],[Industry Funding from BR (ITA)]]</f>
        <v>122388.05970149253</v>
      </c>
      <c r="CT115" s="44">
        <f>Tabelle4[[#This Row],[Total Public Funding (IPK)]]+Tabelle4[[#This Row],[Total Public Funding (ITA)]]</f>
        <v>0</v>
      </c>
      <c r="CU115" s="44">
        <f>Tabelle4[[#This Row],[Public Funding from DE (IPK)]]+Tabelle4[[#This Row],[Public Funding from DE (ITA)]]</f>
        <v>0</v>
      </c>
      <c r="CV115" s="44">
        <f>Tabelle4[[#This Row],[Public Funding from BR (IPK)]]+Tabelle4[[#This Row],[Public Funding from BR (ITA)]]</f>
        <v>0</v>
      </c>
      <c r="CW115" s="44">
        <f>Tabelle4[[#This Row],[Industry Funding from DE (FPC)]]+Tabelle4[[#This Row],[Public Funding from DE (FPC)]]</f>
        <v>0</v>
      </c>
      <c r="CX115" s="46">
        <f>Tabelle4[[#This Row],[Industry Funding from BR (FPC)]]+Tabelle4[[#This Row],[Public Funding from BR (FPC)]]</f>
        <v>122388.05970149253</v>
      </c>
      <c r="CY115" s="44">
        <f>Tabelle4[[#This Row],[Total Financial Budget (Other)]]+Tabelle4[[#This Row],[Total In-kind Contribution (Other)]]</f>
        <v>0</v>
      </c>
      <c r="CZ11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15" s="44">
        <f>Tabelle4[[#This Row],[In-kind Contribution (R&amp;D III)]]+Tabelle4[[#This Row],[In-kind Contribution (R&amp;D IV)]]</f>
        <v>0</v>
      </c>
      <c r="DB115" s="158">
        <f>Tabelle4[[#This Row],[Total Budget (FPC)]]+Tabelle4[[#This Row],[Total Volume (Other)]]</f>
        <v>122388.05970149253</v>
      </c>
      <c r="DC115" s="104">
        <f>Tabelle4[[#This Row],[Total Revenues (IPK)]]</f>
        <v>0</v>
      </c>
      <c r="DE115" s="44">
        <f>Tabelle4[[#This Row],[Total Revenues IPK]]*Tabelle4[[#This Row],[Probability of Success]]</f>
        <v>0</v>
      </c>
      <c r="DL115" s="44">
        <f>Tabelle4[[#This Row],[Real Budget IPK]]*Tabelle4[[#This Row],[Acquisition Factor OE810]]</f>
        <v>0</v>
      </c>
      <c r="DN115" s="46">
        <f>Tabelle4[[#This Row],[Acquisition Bonus OE810]]+Tabelle4[[#This Row],[Project Execution OE810]]</f>
        <v>0</v>
      </c>
    </row>
    <row r="116" spans="1:118" ht="75.75" customHeight="1" x14ac:dyDescent="0.45">
      <c r="A116" s="69" t="s">
        <v>430</v>
      </c>
      <c r="B116" s="33" t="s">
        <v>404</v>
      </c>
      <c r="C116" s="33" t="s">
        <v>155</v>
      </c>
      <c r="D116" s="33" t="s">
        <v>709</v>
      </c>
      <c r="E116" s="33">
        <v>1</v>
      </c>
      <c r="F116" s="33">
        <v>0</v>
      </c>
      <c r="G116" s="33" t="s">
        <v>2</v>
      </c>
      <c r="H116" s="33" t="s">
        <v>0</v>
      </c>
      <c r="J116" s="59">
        <v>43060</v>
      </c>
      <c r="K116" s="33" t="s">
        <v>244</v>
      </c>
      <c r="L116" s="59" t="s">
        <v>651</v>
      </c>
      <c r="Q116" s="33">
        <v>12</v>
      </c>
      <c r="Z116" s="42" t="str">
        <f t="shared" si="19"/>
        <v>IPK</v>
      </c>
      <c r="AB116" s="104"/>
      <c r="AC116" s="104"/>
      <c r="AD116" s="104"/>
      <c r="AE116" s="104"/>
      <c r="AF116" s="104"/>
      <c r="AG116" s="42" t="str">
        <f t="shared" si="20"/>
        <v>ITA</v>
      </c>
      <c r="AH116" s="33" t="s">
        <v>361</v>
      </c>
      <c r="AI116" s="33" t="s">
        <v>320</v>
      </c>
      <c r="AM116" s="64">
        <f>(359000/4.3111)</f>
        <v>83273.410498480676</v>
      </c>
      <c r="AN116" s="101"/>
      <c r="AQ116" s="104"/>
      <c r="AR116" s="104"/>
      <c r="AS116" s="104"/>
      <c r="AT116" s="104"/>
      <c r="AU116" s="101"/>
      <c r="AX116" s="104"/>
      <c r="AY116" s="104"/>
      <c r="AZ116" s="104"/>
      <c r="BA116" s="104"/>
      <c r="BB116" s="104"/>
      <c r="BC116" s="42" t="s">
        <v>155</v>
      </c>
      <c r="BE116" s="104">
        <f>(359000/4.3111)</f>
        <v>83273.410498480676</v>
      </c>
      <c r="BF116" s="101"/>
      <c r="BI116" s="104"/>
      <c r="BJ116" s="101"/>
      <c r="BM116" s="104"/>
      <c r="BN116" s="101"/>
      <c r="BQ116" s="104"/>
      <c r="BR116" s="101"/>
      <c r="BU116" s="101"/>
      <c r="BX116" s="101"/>
      <c r="BY116" s="44">
        <f>Tabelle4[[#This Row],[Industry Funding from DE (IPK)]]+Tabelle4[[#This Row],[Industry Funding from BR (IPK)]]+Tabelle4[[#This Row],[Public Funding from DE (IPK)]]+Tabelle4[[#This Row],[Public Funding from BR (IPK)]]+Tabelle4[[#This Row],[In-kind Contribution (IPK)]]</f>
        <v>0</v>
      </c>
      <c r="BZ116" s="44">
        <f>Tabelle4[[#This Row],[Industry Funding from DE (IPK)]]+Tabelle4[[#This Row],[Industry Funding from BR (IPK)]]+Tabelle4[[#This Row],[Public Funding from DE (IPK)]]+Tabelle4[[#This Row],[Public Funding from BR (IPK)]]</f>
        <v>0</v>
      </c>
      <c r="CA116" s="44">
        <f>Tabelle4[[#This Row],[Industry Funding from DE (IPK)]]+Tabelle4[[#This Row],[Industry Funding from BR (IPK)]]</f>
        <v>0</v>
      </c>
      <c r="CB116" s="44">
        <f>Tabelle4[[#This Row],[Public Funding from DE (IPK)]]+Tabelle4[[#This Row],[Public Funding from BR (IPK)]]</f>
        <v>0</v>
      </c>
      <c r="CC116" s="44">
        <f>Tabelle4[[#This Row],[In-kind Contribution (IPK)]]</f>
        <v>0</v>
      </c>
      <c r="CD116" s="47" t="e">
        <f>(Tabelle4[[#This Row],[Total Industry Funding (IPK)]] + Tabelle4[[#This Row],[Total Public Funding (IPK)]])/Tabelle4[[#This Row],[Total Project Volume (IPK)]]</f>
        <v>#DIV/0!</v>
      </c>
      <c r="CE116" s="47" t="e">
        <f>Tabelle4[[#This Row],[Total Industry Funding (IPK)]] / Tabelle4[[#This Row],[Total Project Volume (IPK)]]</f>
        <v>#DIV/0!</v>
      </c>
      <c r="CF116" s="33" t="str">
        <f>Tabelle4[[#This Row],[Project Funding Classification]]</f>
        <v>Industry</v>
      </c>
      <c r="CG116" s="44">
        <f>Tabelle4[[#This Row],[Industry Funding from DE (IPK)]]+Tabelle4[[#This Row],[Public Funding from DE (IPK)]]</f>
        <v>0</v>
      </c>
      <c r="CH116" s="46">
        <f>Tabelle4[[#This Row],[Industry Funding from BR (IPK)]]+Tabelle4[[#This Row],[Public Funding from BR (IPK)]]</f>
        <v>0</v>
      </c>
      <c r="CI116" s="44">
        <f>Tabelle4[[#This Row],[Industry Funding from DE (ITA)]]+Tabelle4[[#This Row],[Industry Funding from BR (ITA)]]+Tabelle4[[#This Row],[Public Funding from DE (ITA)]]+Tabelle4[[#This Row],[Public Funding from BR (ITA)]]</f>
        <v>83273.410498480676</v>
      </c>
      <c r="CJ116" s="44">
        <f>Tabelle4[[#This Row],[Industry Funding from DE (ITA)]]+Tabelle4[[#This Row],[Industry Funding from BR (ITA)]]</f>
        <v>0</v>
      </c>
      <c r="CK116" s="44">
        <f>Tabelle4[[#This Row],[Public Funding from DE (ITA)]]+Tabelle4[[#This Row],[Public Funding from BR (ITA)]]</f>
        <v>83273.410498480676</v>
      </c>
      <c r="CL116" s="47">
        <f>Tabelle4[[#This Row],[Total Industry Funding (ITA)]]/Tabelle4[[#This Row],[Total Project Volume (ITA)]]</f>
        <v>0</v>
      </c>
      <c r="CM116" s="33" t="str">
        <f>IF(Tabelle4[[#This Row],[Funding Ratio (ITA)]]&lt;0.5,"Public Funding","Industry")</f>
        <v>Public Funding</v>
      </c>
      <c r="CN116" s="44">
        <f>Tabelle4[[#This Row],[Industry Funding from DE (ITA)]]+Tabelle4[[#This Row],[Public Funding from DE (ITA)]]</f>
        <v>0</v>
      </c>
      <c r="CO116" s="46">
        <f>Tabelle4[[#This Row],[Industry Funding from BR (ITA)]]+Tabelle4[[#This Row],[Public Funding from BR (ITA)]]</f>
        <v>83273.410498480676</v>
      </c>
      <c r="CP116" s="44">
        <f>Tabelle4[[#This Row],[Total Project Volume (IPK)]]+Tabelle4[[#This Row],[Total Project Volume (ITA)]]</f>
        <v>83273.410498480676</v>
      </c>
      <c r="CQ116" s="44">
        <f>Tabelle4[[#This Row],[Total Industry Funding (IPK)]]+Tabelle4[[#This Row],[Total Industry Funding (ITA)]]</f>
        <v>0</v>
      </c>
      <c r="CR116" s="44">
        <f>Tabelle4[[#This Row],[Industry Funding from DE (IPK)]]+Tabelle4[[#This Row],[Industry Funding from DE (ITA)]]</f>
        <v>0</v>
      </c>
      <c r="CS116" s="44">
        <f>Tabelle4[[#This Row],[Industry Funding from BR (IPK)]]+Tabelle4[[#This Row],[Industry Funding from BR (ITA)]]</f>
        <v>0</v>
      </c>
      <c r="CT116" s="44">
        <f>Tabelle4[[#This Row],[Total Public Funding (IPK)]]+Tabelle4[[#This Row],[Total Public Funding (ITA)]]</f>
        <v>83273.410498480676</v>
      </c>
      <c r="CU116" s="44">
        <f>Tabelle4[[#This Row],[Public Funding from DE (IPK)]]+Tabelle4[[#This Row],[Public Funding from DE (ITA)]]</f>
        <v>0</v>
      </c>
      <c r="CV116" s="44">
        <f>Tabelle4[[#This Row],[Public Funding from BR (IPK)]]+Tabelle4[[#This Row],[Public Funding from BR (ITA)]]</f>
        <v>83273.410498480676</v>
      </c>
      <c r="CW116" s="44">
        <f>Tabelle4[[#This Row],[Industry Funding from DE (FPC)]]+Tabelle4[[#This Row],[Public Funding from DE (FPC)]]</f>
        <v>0</v>
      </c>
      <c r="CX116" s="46">
        <f>Tabelle4[[#This Row],[Industry Funding from BR (FPC)]]+Tabelle4[[#This Row],[Public Funding from BR (FPC)]]</f>
        <v>83273.410498480676</v>
      </c>
      <c r="CY116" s="44">
        <f>Tabelle4[[#This Row],[Total Financial Budget (Other)]]+Tabelle4[[#This Row],[Total In-kind Contribution (Other)]]</f>
        <v>0</v>
      </c>
      <c r="CZ11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16" s="44">
        <f>Tabelle4[[#This Row],[In-kind Contribution (R&amp;D III)]]+Tabelle4[[#This Row],[In-kind Contribution (R&amp;D IV)]]</f>
        <v>0</v>
      </c>
      <c r="DB116" s="158">
        <f>Tabelle4[[#This Row],[Total Budget (FPC)]]+Tabelle4[[#This Row],[Total Volume (Other)]]</f>
        <v>83273.410498480676</v>
      </c>
      <c r="DC116" s="104">
        <f>Tabelle4[[#This Row],[Total Revenues (IPK)]]</f>
        <v>0</v>
      </c>
      <c r="DE116" s="44">
        <f>Tabelle4[[#This Row],[Total Revenues IPK]]*Tabelle4[[#This Row],[Probability of Success]]</f>
        <v>0</v>
      </c>
      <c r="DL116" s="44">
        <f>Tabelle4[[#This Row],[Real Budget IPK]]*Tabelle4[[#This Row],[Acquisition Factor OE810]]</f>
        <v>0</v>
      </c>
      <c r="DN116" s="46">
        <f>Tabelle4[[#This Row],[Acquisition Bonus OE810]]+Tabelle4[[#This Row],[Project Execution OE810]]</f>
        <v>0</v>
      </c>
    </row>
    <row r="117" spans="1:118" ht="75.75" customHeight="1" x14ac:dyDescent="0.45">
      <c r="A117" s="69" t="s">
        <v>406</v>
      </c>
      <c r="B117" s="33" t="s">
        <v>407</v>
      </c>
      <c r="C117" s="33" t="s">
        <v>155</v>
      </c>
      <c r="D117" s="33" t="s">
        <v>709</v>
      </c>
      <c r="E117" s="33">
        <v>1</v>
      </c>
      <c r="F117" s="33">
        <v>0</v>
      </c>
      <c r="G117" s="33" t="s">
        <v>2</v>
      </c>
      <c r="H117" s="33" t="s">
        <v>0</v>
      </c>
      <c r="J117" s="59">
        <v>43696</v>
      </c>
      <c r="K117" s="33" t="s">
        <v>246</v>
      </c>
      <c r="L117" s="43" t="s">
        <v>309</v>
      </c>
      <c r="Q117" s="33">
        <v>12</v>
      </c>
      <c r="U117" s="59">
        <v>43717</v>
      </c>
      <c r="Y117" s="59">
        <v>43951</v>
      </c>
      <c r="Z117" s="42" t="str">
        <f t="shared" si="19"/>
        <v>IPK</v>
      </c>
      <c r="AG117" s="42" t="str">
        <f t="shared" si="20"/>
        <v>ITA</v>
      </c>
      <c r="AH117" s="33" t="s">
        <v>408</v>
      </c>
      <c r="AI117" s="33" t="s">
        <v>324</v>
      </c>
      <c r="AN117" s="101"/>
      <c r="AU117" s="65"/>
      <c r="BC117" s="42"/>
      <c r="BF117" s="65"/>
      <c r="BY117" s="44">
        <f>Tabelle4[[#This Row],[Industry Funding from DE (IPK)]]+Tabelle4[[#This Row],[Industry Funding from BR (IPK)]]+Tabelle4[[#This Row],[Public Funding from DE (IPK)]]+Tabelle4[[#This Row],[Public Funding from BR (IPK)]]+Tabelle4[[#This Row],[In-kind Contribution (IPK)]]</f>
        <v>0</v>
      </c>
      <c r="BZ117" s="44">
        <f>Tabelle4[[#This Row],[Industry Funding from DE (IPK)]]+Tabelle4[[#This Row],[Industry Funding from BR (IPK)]]+Tabelle4[[#This Row],[Public Funding from DE (IPK)]]+Tabelle4[[#This Row],[Public Funding from BR (IPK)]]</f>
        <v>0</v>
      </c>
      <c r="CA117" s="44">
        <f>Tabelle4[[#This Row],[Industry Funding from DE (IPK)]]+Tabelle4[[#This Row],[Industry Funding from BR (IPK)]]</f>
        <v>0</v>
      </c>
      <c r="CB117" s="44">
        <f>Tabelle4[[#This Row],[Public Funding from DE (IPK)]]+Tabelle4[[#This Row],[Public Funding from BR (IPK)]]</f>
        <v>0</v>
      </c>
      <c r="CC117" s="44">
        <f>Tabelle4[[#This Row],[In-kind Contribution (IPK)]]</f>
        <v>0</v>
      </c>
      <c r="CD117" s="47" t="e">
        <f>(Tabelle4[[#This Row],[Total Industry Funding (IPK)]] + Tabelle4[[#This Row],[Total Public Funding (IPK)]])/Tabelle4[[#This Row],[Total Project Volume (IPK)]]</f>
        <v>#DIV/0!</v>
      </c>
      <c r="CE117" s="47" t="e">
        <f>Tabelle4[[#This Row],[Total Industry Funding (IPK)]] / Tabelle4[[#This Row],[Total Project Volume (IPK)]]</f>
        <v>#DIV/0!</v>
      </c>
      <c r="CF117" s="33" t="str">
        <f>Tabelle4[[#This Row],[Project Funding Classification]]</f>
        <v>Industry</v>
      </c>
      <c r="CG117" s="44">
        <f>Tabelle4[[#This Row],[Industry Funding from DE (IPK)]]+Tabelle4[[#This Row],[Public Funding from DE (IPK)]]</f>
        <v>0</v>
      </c>
      <c r="CH117" s="46">
        <f>Tabelle4[[#This Row],[Industry Funding from BR (IPK)]]+Tabelle4[[#This Row],[Public Funding from BR (IPK)]]</f>
        <v>0</v>
      </c>
      <c r="CI117" s="44">
        <f>Tabelle4[[#This Row],[Industry Funding from DE (ITA)]]+Tabelle4[[#This Row],[Industry Funding from BR (ITA)]]+Tabelle4[[#This Row],[Public Funding from DE (ITA)]]+Tabelle4[[#This Row],[Public Funding from BR (ITA)]]</f>
        <v>0</v>
      </c>
      <c r="CJ117" s="44">
        <f>Tabelle4[[#This Row],[Industry Funding from DE (ITA)]]+Tabelle4[[#This Row],[Industry Funding from BR (ITA)]]</f>
        <v>0</v>
      </c>
      <c r="CK117" s="44">
        <f>Tabelle4[[#This Row],[Public Funding from DE (ITA)]]+Tabelle4[[#This Row],[Public Funding from BR (ITA)]]</f>
        <v>0</v>
      </c>
      <c r="CL117" s="47" t="e">
        <f>Tabelle4[[#This Row],[Total Industry Funding (ITA)]]/Tabelle4[[#This Row],[Total Project Volume (ITA)]]</f>
        <v>#DIV/0!</v>
      </c>
      <c r="CM117" s="33" t="e">
        <f>IF(Tabelle4[[#This Row],[Funding Ratio (ITA)]]&lt;0.5,"Public Funding","Industry")</f>
        <v>#DIV/0!</v>
      </c>
      <c r="CN117" s="44">
        <f>Tabelle4[[#This Row],[Industry Funding from DE (ITA)]]+Tabelle4[[#This Row],[Public Funding from DE (ITA)]]</f>
        <v>0</v>
      </c>
      <c r="CO117" s="46">
        <f>Tabelle4[[#This Row],[Industry Funding from BR (ITA)]]+Tabelle4[[#This Row],[Public Funding from BR (ITA)]]</f>
        <v>0</v>
      </c>
      <c r="CP117" s="44">
        <f>Tabelle4[[#This Row],[Total Project Volume (IPK)]]+Tabelle4[[#This Row],[Total Project Volume (ITA)]]</f>
        <v>0</v>
      </c>
      <c r="CQ117" s="44">
        <f>Tabelle4[[#This Row],[Total Industry Funding (IPK)]]+Tabelle4[[#This Row],[Total Industry Funding (ITA)]]</f>
        <v>0</v>
      </c>
      <c r="CR117" s="44">
        <f>Tabelle4[[#This Row],[Industry Funding from DE (IPK)]]+Tabelle4[[#This Row],[Industry Funding from DE (ITA)]]</f>
        <v>0</v>
      </c>
      <c r="CS117" s="44">
        <f>Tabelle4[[#This Row],[Industry Funding from BR (IPK)]]+Tabelle4[[#This Row],[Industry Funding from BR (ITA)]]</f>
        <v>0</v>
      </c>
      <c r="CT117" s="44">
        <f>Tabelle4[[#This Row],[Total Public Funding (IPK)]]+Tabelle4[[#This Row],[Total Public Funding (ITA)]]</f>
        <v>0</v>
      </c>
      <c r="CU117" s="44">
        <f>Tabelle4[[#This Row],[Public Funding from DE (IPK)]]+Tabelle4[[#This Row],[Public Funding from DE (ITA)]]</f>
        <v>0</v>
      </c>
      <c r="CV117" s="44">
        <f>Tabelle4[[#This Row],[Public Funding from BR (IPK)]]+Tabelle4[[#This Row],[Public Funding from BR (ITA)]]</f>
        <v>0</v>
      </c>
      <c r="CW117" s="44">
        <f>Tabelle4[[#This Row],[Industry Funding from DE (FPC)]]+Tabelle4[[#This Row],[Public Funding from DE (FPC)]]</f>
        <v>0</v>
      </c>
      <c r="CX117" s="46">
        <f>Tabelle4[[#This Row],[Industry Funding from BR (FPC)]]+Tabelle4[[#This Row],[Public Funding from BR (FPC)]]</f>
        <v>0</v>
      </c>
      <c r="CY117" s="44">
        <f>Tabelle4[[#This Row],[Total Financial Budget (Other)]]+Tabelle4[[#This Row],[Total In-kind Contribution (Other)]]</f>
        <v>0</v>
      </c>
      <c r="CZ11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17" s="44">
        <f>Tabelle4[[#This Row],[In-kind Contribution (R&amp;D III)]]+Tabelle4[[#This Row],[In-kind Contribution (R&amp;D IV)]]</f>
        <v>0</v>
      </c>
      <c r="DB117" s="158">
        <f>Tabelle4[[#This Row],[Total Budget (FPC)]]+Tabelle4[[#This Row],[Total Volume (Other)]]</f>
        <v>0</v>
      </c>
      <c r="DC117" s="104">
        <f>Tabelle4[[#This Row],[Total Revenues (IPK)]]</f>
        <v>0</v>
      </c>
      <c r="DE117" s="44">
        <f>Tabelle4[[#This Row],[Total Revenues IPK]]*Tabelle4[[#This Row],[Probability of Success]]</f>
        <v>0</v>
      </c>
      <c r="DL117" s="44">
        <f>Tabelle4[[#This Row],[Real Budget IPK]]*Tabelle4[[#This Row],[Acquisition Factor OE810]]</f>
        <v>0</v>
      </c>
      <c r="DN117" s="46">
        <f>Tabelle4[[#This Row],[Acquisition Bonus OE810]]+Tabelle4[[#This Row],[Project Execution OE810]]</f>
        <v>0</v>
      </c>
    </row>
    <row r="118" spans="1:118" ht="75.75" customHeight="1" x14ac:dyDescent="0.45">
      <c r="A118" s="69" t="s">
        <v>672</v>
      </c>
      <c r="B118" s="33" t="s">
        <v>674</v>
      </c>
      <c r="C118" s="33" t="s">
        <v>673</v>
      </c>
      <c r="D118" s="33" t="s">
        <v>705</v>
      </c>
      <c r="G118" s="33" t="s">
        <v>2</v>
      </c>
      <c r="H118" s="33" t="s">
        <v>96</v>
      </c>
      <c r="I118" s="33" t="s">
        <v>553</v>
      </c>
      <c r="K118" s="33" t="s">
        <v>244</v>
      </c>
      <c r="L118" s="59" t="s">
        <v>651</v>
      </c>
      <c r="M118" s="144">
        <v>6.7</v>
      </c>
      <c r="N118" s="33" t="s">
        <v>671</v>
      </c>
      <c r="Q118" s="58">
        <v>30</v>
      </c>
      <c r="U118" s="59">
        <v>43944</v>
      </c>
      <c r="V118" s="59">
        <v>44138</v>
      </c>
      <c r="W118" s="59">
        <v>44166</v>
      </c>
      <c r="Y118" s="153"/>
      <c r="Z118" s="42" t="str">
        <f t="shared" si="19"/>
        <v>IPK</v>
      </c>
      <c r="AG118" s="42" t="str">
        <f t="shared" si="20"/>
        <v>ITA</v>
      </c>
      <c r="AH118" s="33" t="s">
        <v>395</v>
      </c>
      <c r="AI118" s="33" t="s">
        <v>717</v>
      </c>
      <c r="AK118" s="64"/>
      <c r="AL118" s="64"/>
      <c r="AM118" s="64">
        <f>(800000/M118)</f>
        <v>119402.98507462686</v>
      </c>
      <c r="AN118" s="101"/>
      <c r="AU118" s="101"/>
      <c r="BC118" s="42"/>
      <c r="BE118" s="64"/>
      <c r="BF118" s="65"/>
      <c r="BU118" s="67"/>
      <c r="BY118" s="44">
        <f>Tabelle4[[#This Row],[Industry Funding from DE (IPK)]]+Tabelle4[[#This Row],[Industry Funding from BR (IPK)]]+Tabelle4[[#This Row],[Public Funding from DE (IPK)]]+Tabelle4[[#This Row],[Public Funding from BR (IPK)]]+Tabelle4[[#This Row],[In-kind Contribution (IPK)]]</f>
        <v>0</v>
      </c>
      <c r="BZ118" s="44">
        <f>Tabelle4[[#This Row],[Industry Funding from DE (IPK)]]+Tabelle4[[#This Row],[Industry Funding from BR (IPK)]]+Tabelle4[[#This Row],[Public Funding from DE (IPK)]]+Tabelle4[[#This Row],[Public Funding from BR (IPK)]]</f>
        <v>0</v>
      </c>
      <c r="CA118" s="44">
        <f>Tabelle4[[#This Row],[Industry Funding from DE (IPK)]]+Tabelle4[[#This Row],[Industry Funding from BR (IPK)]]</f>
        <v>0</v>
      </c>
      <c r="CB118" s="44">
        <f>Tabelle4[[#This Row],[Public Funding from DE (IPK)]]+Tabelle4[[#This Row],[Public Funding from BR (IPK)]]</f>
        <v>0</v>
      </c>
      <c r="CC118" s="44">
        <f>Tabelle4[[#This Row],[In-kind Contribution (IPK)]]</f>
        <v>0</v>
      </c>
      <c r="CD118" s="47" t="e">
        <f>(Tabelle4[[#This Row],[Total Industry Funding (IPK)]] + Tabelle4[[#This Row],[Total Public Funding (IPK)]])/Tabelle4[[#This Row],[Total Project Volume (IPK)]]</f>
        <v>#DIV/0!</v>
      </c>
      <c r="CE118" s="47" t="e">
        <f>Tabelle4[[#This Row],[Total Industry Funding (IPK)]] / Tabelle4[[#This Row],[Total Project Volume (IPK)]]</f>
        <v>#DIV/0!</v>
      </c>
      <c r="CF118" s="33" t="str">
        <f>Tabelle4[[#This Row],[Project Funding Classification]]</f>
        <v>Public Funding</v>
      </c>
      <c r="CG118" s="44">
        <f>Tabelle4[[#This Row],[Industry Funding from DE (IPK)]]+Tabelle4[[#This Row],[Public Funding from DE (IPK)]]</f>
        <v>0</v>
      </c>
      <c r="CH118" s="46">
        <f>Tabelle4[[#This Row],[Industry Funding from BR (IPK)]]+Tabelle4[[#This Row],[Public Funding from BR (IPK)]]</f>
        <v>0</v>
      </c>
      <c r="CI118" s="44">
        <f>Tabelle4[[#This Row],[Industry Funding from DE (ITA)]]+Tabelle4[[#This Row],[Industry Funding from BR (ITA)]]+Tabelle4[[#This Row],[Public Funding from DE (ITA)]]+Tabelle4[[#This Row],[Public Funding from BR (ITA)]]</f>
        <v>119402.98507462686</v>
      </c>
      <c r="CJ118" s="44">
        <f>Tabelle4[[#This Row],[Industry Funding from DE (ITA)]]+Tabelle4[[#This Row],[Industry Funding from BR (ITA)]]</f>
        <v>0</v>
      </c>
      <c r="CK118" s="44">
        <f>Tabelle4[[#This Row],[Public Funding from DE (ITA)]]+Tabelle4[[#This Row],[Public Funding from BR (ITA)]]</f>
        <v>119402.98507462686</v>
      </c>
      <c r="CL118" s="47">
        <f>Tabelle4[[#This Row],[Total Industry Funding (ITA)]]/Tabelle4[[#This Row],[Total Project Volume (ITA)]]</f>
        <v>0</v>
      </c>
      <c r="CM118" s="33" t="str">
        <f>IF(Tabelle4[[#This Row],[Funding Ratio (ITA)]]&lt;0.5,"Public Funding","Industry")</f>
        <v>Public Funding</v>
      </c>
      <c r="CN118" s="44">
        <f>Tabelle4[[#This Row],[Industry Funding from DE (ITA)]]+Tabelle4[[#This Row],[Public Funding from DE (ITA)]]</f>
        <v>0</v>
      </c>
      <c r="CO118" s="46">
        <f>Tabelle4[[#This Row],[Industry Funding from BR (ITA)]]+Tabelle4[[#This Row],[Public Funding from BR (ITA)]]</f>
        <v>119402.98507462686</v>
      </c>
      <c r="CP118" s="44">
        <f>Tabelle4[[#This Row],[Total Project Volume (IPK)]]+Tabelle4[[#This Row],[Total Project Volume (ITA)]]</f>
        <v>119402.98507462686</v>
      </c>
      <c r="CQ118" s="44">
        <f>Tabelle4[[#This Row],[Total Industry Funding (IPK)]]+Tabelle4[[#This Row],[Total Industry Funding (ITA)]]</f>
        <v>0</v>
      </c>
      <c r="CR118" s="44">
        <f>Tabelle4[[#This Row],[Industry Funding from DE (IPK)]]+Tabelle4[[#This Row],[Industry Funding from DE (ITA)]]</f>
        <v>0</v>
      </c>
      <c r="CS118" s="44">
        <f>Tabelle4[[#This Row],[Industry Funding from BR (IPK)]]+Tabelle4[[#This Row],[Industry Funding from BR (ITA)]]</f>
        <v>0</v>
      </c>
      <c r="CT118" s="44">
        <f>Tabelle4[[#This Row],[Total Public Funding (IPK)]]+Tabelle4[[#This Row],[Total Public Funding (ITA)]]</f>
        <v>119402.98507462686</v>
      </c>
      <c r="CU118" s="44">
        <f>Tabelle4[[#This Row],[Public Funding from DE (IPK)]]+Tabelle4[[#This Row],[Public Funding from DE (ITA)]]</f>
        <v>0</v>
      </c>
      <c r="CV118" s="44">
        <f>Tabelle4[[#This Row],[Public Funding from BR (IPK)]]+Tabelle4[[#This Row],[Public Funding from BR (ITA)]]</f>
        <v>119402.98507462686</v>
      </c>
      <c r="CW118" s="44">
        <f>Tabelle4[[#This Row],[Industry Funding from DE (FPC)]]+Tabelle4[[#This Row],[Public Funding from DE (FPC)]]</f>
        <v>0</v>
      </c>
      <c r="CX118" s="46">
        <f>Tabelle4[[#This Row],[Industry Funding from BR (FPC)]]+Tabelle4[[#This Row],[Public Funding from BR (FPC)]]</f>
        <v>119402.98507462686</v>
      </c>
      <c r="CY118" s="44">
        <f>Tabelle4[[#This Row],[Total Financial Budget (Other)]]+Tabelle4[[#This Row],[Total In-kind Contribution (Other)]]</f>
        <v>0</v>
      </c>
      <c r="CZ11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18" s="44">
        <f>Tabelle4[[#This Row],[In-kind Contribution (R&amp;D III)]]+Tabelle4[[#This Row],[In-kind Contribution (R&amp;D IV)]]</f>
        <v>0</v>
      </c>
      <c r="DB118" s="158">
        <f>Tabelle4[[#This Row],[Total Budget (FPC)]]+Tabelle4[[#This Row],[Total Volume (Other)]]</f>
        <v>119402.98507462686</v>
      </c>
      <c r="DC118" s="104">
        <f>Tabelle4[[#This Row],[Total Revenues (IPK)]]</f>
        <v>0</v>
      </c>
      <c r="DE118" s="44">
        <f>Tabelle4[[#This Row],[Total Revenues IPK]]*Tabelle4[[#This Row],[Probability of Success]]</f>
        <v>0</v>
      </c>
      <c r="DL118" s="44">
        <f>Tabelle4[[#This Row],[Real Budget IPK]]*Tabelle4[[#This Row],[Acquisition Factor OE810]]</f>
        <v>0</v>
      </c>
      <c r="DN118" s="46">
        <f>Tabelle4[[#This Row],[Acquisition Bonus OE810]]+Tabelle4[[#This Row],[Project Execution OE810]]</f>
        <v>0</v>
      </c>
    </row>
    <row r="119" spans="1:118" ht="75.75" customHeight="1" x14ac:dyDescent="0.45">
      <c r="A119" s="49" t="s">
        <v>217</v>
      </c>
      <c r="B119" s="49"/>
      <c r="C119" s="49" t="s">
        <v>218</v>
      </c>
      <c r="D119" s="49" t="s">
        <v>706</v>
      </c>
      <c r="E119" s="49"/>
      <c r="F119" s="49"/>
      <c r="G119" s="49" t="s">
        <v>97</v>
      </c>
      <c r="H119" s="49" t="s">
        <v>0</v>
      </c>
      <c r="I119" s="49"/>
      <c r="J119" s="50"/>
      <c r="K119" s="49" t="s">
        <v>246</v>
      </c>
      <c r="L119" s="49" t="s">
        <v>309</v>
      </c>
      <c r="M119" s="146"/>
      <c r="N119" s="49"/>
      <c r="O119" s="50"/>
      <c r="P119" s="50"/>
      <c r="Q119" s="49">
        <v>6</v>
      </c>
      <c r="R119" s="50"/>
      <c r="S119" s="50"/>
      <c r="T119" s="50"/>
      <c r="U119" s="50">
        <v>43745</v>
      </c>
      <c r="V119" s="50"/>
      <c r="W119" s="50"/>
      <c r="X119" s="50"/>
      <c r="Y119" s="50">
        <v>43964</v>
      </c>
      <c r="Z119" s="48" t="str">
        <f t="shared" si="19"/>
        <v>IPK</v>
      </c>
      <c r="AA119" s="49"/>
      <c r="AB119" s="105"/>
      <c r="AC119" s="105"/>
      <c r="AD119" s="105"/>
      <c r="AE119" s="105"/>
      <c r="AF119" s="105"/>
      <c r="AG119" s="48" t="str">
        <f t="shared" si="20"/>
        <v>ITA</v>
      </c>
      <c r="AH119" s="33" t="s">
        <v>450</v>
      </c>
      <c r="AI119" s="33" t="s">
        <v>130</v>
      </c>
      <c r="AK119" s="104">
        <f>(80000/4.3111)</f>
        <v>18556.748857600149</v>
      </c>
      <c r="AN119" s="101"/>
      <c r="AO119" s="49"/>
      <c r="AP119" s="49"/>
      <c r="AQ119" s="105"/>
      <c r="AR119" s="105"/>
      <c r="AS119" s="105"/>
      <c r="AT119" s="105"/>
      <c r="AU119" s="102"/>
      <c r="AV119" s="49"/>
      <c r="AW119" s="49"/>
      <c r="AX119" s="105"/>
      <c r="AY119" s="105"/>
      <c r="AZ119" s="105"/>
      <c r="BA119" s="105"/>
      <c r="BB119" s="105"/>
      <c r="BC119" s="48" t="s">
        <v>218</v>
      </c>
      <c r="BD119" s="49"/>
      <c r="BE119" s="105">
        <f>Tabelle4[[#This Row],[Industry Funding from BR (ITA)]]</f>
        <v>18556.748857600149</v>
      </c>
      <c r="BF119" s="102"/>
      <c r="BG119" s="49"/>
      <c r="BH119" s="49"/>
      <c r="BI119" s="105"/>
      <c r="BJ119" s="102"/>
      <c r="BK119" s="49"/>
      <c r="BL119" s="49"/>
      <c r="BM119" s="105"/>
      <c r="BN119" s="102"/>
      <c r="BO119" s="49"/>
      <c r="BP119" s="49"/>
      <c r="BQ119" s="105"/>
      <c r="BR119" s="102"/>
      <c r="BS119" s="49"/>
      <c r="BT119" s="49"/>
      <c r="BU119" s="102"/>
      <c r="BV119" s="49"/>
      <c r="BW119" s="49"/>
      <c r="BX119" s="102"/>
      <c r="BY119" s="51">
        <f>Tabelle4[[#This Row],[Industry Funding from DE (IPK)]]+Tabelle4[[#This Row],[Industry Funding from BR (IPK)]]+Tabelle4[[#This Row],[Public Funding from DE (IPK)]]+Tabelle4[[#This Row],[Public Funding from BR (IPK)]]+Tabelle4[[#This Row],[In-kind Contribution (IPK)]]</f>
        <v>0</v>
      </c>
      <c r="BZ119" s="51">
        <f>Tabelle4[[#This Row],[Industry Funding from DE (IPK)]]+Tabelle4[[#This Row],[Industry Funding from BR (IPK)]]+Tabelle4[[#This Row],[Public Funding from DE (IPK)]]+Tabelle4[[#This Row],[Public Funding from BR (IPK)]]</f>
        <v>0</v>
      </c>
      <c r="CA119" s="51">
        <f>Tabelle4[[#This Row],[Industry Funding from DE (IPK)]]+Tabelle4[[#This Row],[Industry Funding from BR (IPK)]]</f>
        <v>0</v>
      </c>
      <c r="CB119" s="51">
        <f>Tabelle4[[#This Row],[Public Funding from DE (IPK)]]+Tabelle4[[#This Row],[Public Funding from BR (IPK)]]</f>
        <v>0</v>
      </c>
      <c r="CC119" s="51">
        <f>Tabelle4[[#This Row],[In-kind Contribution (IPK)]]</f>
        <v>0</v>
      </c>
      <c r="CD119" s="53" t="e">
        <f>(Tabelle4[[#This Row],[Total Industry Funding (IPK)]] + Tabelle4[[#This Row],[Total Public Funding (IPK)]])/Tabelle4[[#This Row],[Total Project Volume (IPK)]]</f>
        <v>#DIV/0!</v>
      </c>
      <c r="CE119" s="53" t="e">
        <f>Tabelle4[[#This Row],[Total Industry Funding (IPK)]] / Tabelle4[[#This Row],[Total Project Volume (IPK)]]</f>
        <v>#DIV/0!</v>
      </c>
      <c r="CF119" s="49" t="str">
        <f>Tabelle4[[#This Row],[Project Funding Classification]]</f>
        <v>Industry</v>
      </c>
      <c r="CG119" s="51">
        <f>Tabelle4[[#This Row],[Industry Funding from DE (IPK)]]+Tabelle4[[#This Row],[Public Funding from DE (IPK)]]</f>
        <v>0</v>
      </c>
      <c r="CH119" s="52">
        <f>Tabelle4[[#This Row],[Industry Funding from BR (IPK)]]+Tabelle4[[#This Row],[Public Funding from BR (IPK)]]</f>
        <v>0</v>
      </c>
      <c r="CI119" s="51">
        <f>Tabelle4[[#This Row],[Industry Funding from DE (ITA)]]+Tabelle4[[#This Row],[Industry Funding from BR (ITA)]]+Tabelle4[[#This Row],[Public Funding from DE (ITA)]]+Tabelle4[[#This Row],[Public Funding from BR (ITA)]]</f>
        <v>18556.748857600149</v>
      </c>
      <c r="CJ119" s="51">
        <f>Tabelle4[[#This Row],[Industry Funding from DE (ITA)]]+Tabelle4[[#This Row],[Industry Funding from BR (ITA)]]</f>
        <v>18556.748857600149</v>
      </c>
      <c r="CK119" s="51">
        <f>Tabelle4[[#This Row],[Public Funding from DE (ITA)]]+Tabelle4[[#This Row],[Public Funding from BR (ITA)]]</f>
        <v>0</v>
      </c>
      <c r="CL119" s="53">
        <f>Tabelle4[[#This Row],[Total Industry Funding (ITA)]]/Tabelle4[[#This Row],[Total Project Volume (ITA)]]</f>
        <v>1</v>
      </c>
      <c r="CM119" s="49" t="str">
        <f>IF(Tabelle4[[#This Row],[Funding Ratio (ITA)]]&lt;0.5,"Public Funding","Industry")</f>
        <v>Industry</v>
      </c>
      <c r="CN119" s="51">
        <f>Tabelle4[[#This Row],[Industry Funding from DE (ITA)]]+Tabelle4[[#This Row],[Public Funding from DE (ITA)]]</f>
        <v>0</v>
      </c>
      <c r="CO119" s="52">
        <f>Tabelle4[[#This Row],[Industry Funding from BR (ITA)]]+Tabelle4[[#This Row],[Public Funding from BR (ITA)]]</f>
        <v>18556.748857600149</v>
      </c>
      <c r="CP119" s="51">
        <f>Tabelle4[[#This Row],[Total Project Volume (IPK)]]+Tabelle4[[#This Row],[Total Project Volume (ITA)]]</f>
        <v>18556.748857600149</v>
      </c>
      <c r="CQ119" s="51">
        <f>Tabelle4[[#This Row],[Total Industry Funding (IPK)]]+Tabelle4[[#This Row],[Total Industry Funding (ITA)]]</f>
        <v>18556.748857600149</v>
      </c>
      <c r="CR119" s="51">
        <f>Tabelle4[[#This Row],[Industry Funding from DE (IPK)]]+Tabelle4[[#This Row],[Industry Funding from DE (ITA)]]</f>
        <v>0</v>
      </c>
      <c r="CS119" s="51">
        <f>Tabelle4[[#This Row],[Industry Funding from BR (IPK)]]+Tabelle4[[#This Row],[Industry Funding from BR (ITA)]]</f>
        <v>18556.748857600149</v>
      </c>
      <c r="CT119" s="51">
        <f>Tabelle4[[#This Row],[Total Public Funding (IPK)]]+Tabelle4[[#This Row],[Total Public Funding (ITA)]]</f>
        <v>0</v>
      </c>
      <c r="CU119" s="51">
        <f>Tabelle4[[#This Row],[Public Funding from DE (IPK)]]+Tabelle4[[#This Row],[Public Funding from DE (ITA)]]</f>
        <v>0</v>
      </c>
      <c r="CV119" s="51">
        <f>Tabelle4[[#This Row],[Public Funding from BR (IPK)]]+Tabelle4[[#This Row],[Public Funding from BR (ITA)]]</f>
        <v>0</v>
      </c>
      <c r="CW119" s="51">
        <f>Tabelle4[[#This Row],[Industry Funding from DE (FPC)]]+Tabelle4[[#This Row],[Public Funding from DE (FPC)]]</f>
        <v>0</v>
      </c>
      <c r="CX119" s="52">
        <f>Tabelle4[[#This Row],[Industry Funding from BR (FPC)]]+Tabelle4[[#This Row],[Public Funding from BR (FPC)]]</f>
        <v>18556.748857600149</v>
      </c>
      <c r="CY119" s="44">
        <f>Tabelle4[[#This Row],[Total Financial Budget (Other)]]+Tabelle4[[#This Row],[Total In-kind Contribution (Other)]]</f>
        <v>0</v>
      </c>
      <c r="CZ119"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19" s="44">
        <f>Tabelle4[[#This Row],[In-kind Contribution (R&amp;D III)]]+Tabelle4[[#This Row],[In-kind Contribution (R&amp;D IV)]]</f>
        <v>0</v>
      </c>
      <c r="DB119" s="158">
        <f>Tabelle4[[#This Row],[Total Budget (FPC)]]+Tabelle4[[#This Row],[Total Volume (Other)]]</f>
        <v>18556.748857600149</v>
      </c>
      <c r="DC119" s="105">
        <f>Tabelle4[[#This Row],[Total Revenues (IPK)]]</f>
        <v>0</v>
      </c>
      <c r="DD119" s="53">
        <v>0</v>
      </c>
      <c r="DE119" s="51">
        <f>Tabelle4[[#This Row],[Total Revenues IPK]]*Tabelle4[[#This Row],[Probability of Success]]</f>
        <v>0</v>
      </c>
      <c r="DF119" s="51"/>
      <c r="DG119" s="51"/>
      <c r="DH119" s="51"/>
      <c r="DI119" s="51"/>
      <c r="DJ119" s="51"/>
      <c r="DK119" s="53"/>
      <c r="DL119" s="51">
        <f>Tabelle4[[#This Row],[Real Budget IPK]]*Tabelle4[[#This Row],[Acquisition Factor OE810]]</f>
        <v>0</v>
      </c>
      <c r="DM119" s="51">
        <v>0</v>
      </c>
      <c r="DN119" s="52">
        <f>Tabelle4[[#This Row],[Acquisition Bonus OE810]]+Tabelle4[[#This Row],[Project Execution OE810]]</f>
        <v>0</v>
      </c>
    </row>
    <row r="120" spans="1:118" ht="75.75" customHeight="1" x14ac:dyDescent="0.45">
      <c r="A120" s="49" t="s">
        <v>203</v>
      </c>
      <c r="B120" s="49"/>
      <c r="C120" s="49" t="s">
        <v>115</v>
      </c>
      <c r="D120" s="49" t="s">
        <v>711</v>
      </c>
      <c r="E120" s="49"/>
      <c r="F120" s="49"/>
      <c r="G120" s="49" t="s">
        <v>1</v>
      </c>
      <c r="H120" s="49" t="s">
        <v>0</v>
      </c>
      <c r="I120" s="49"/>
      <c r="J120" s="50"/>
      <c r="K120" s="49" t="s">
        <v>246</v>
      </c>
      <c r="L120" s="49"/>
      <c r="M120" s="146"/>
      <c r="N120" s="49"/>
      <c r="O120" s="50"/>
      <c r="P120" s="50"/>
      <c r="Q120" s="49"/>
      <c r="R120" s="50"/>
      <c r="S120" s="50"/>
      <c r="T120" s="50"/>
      <c r="U120" s="50"/>
      <c r="V120" s="50"/>
      <c r="W120" s="50"/>
      <c r="X120" s="50"/>
      <c r="Y120" s="50"/>
      <c r="Z120" s="48" t="str">
        <f t="shared" si="19"/>
        <v>IPK</v>
      </c>
      <c r="AA120" s="49"/>
      <c r="AB120" s="105"/>
      <c r="AC120" s="105">
        <v>35000</v>
      </c>
      <c r="AD120" s="105"/>
      <c r="AE120" s="105"/>
      <c r="AF120" s="105"/>
      <c r="AG120" s="48" t="str">
        <f t="shared" si="20"/>
        <v>ITA</v>
      </c>
      <c r="AH120" s="49"/>
      <c r="AI120" s="49"/>
      <c r="AN120" s="101"/>
      <c r="AO120" s="49"/>
      <c r="AP120" s="49"/>
      <c r="AQ120" s="105"/>
      <c r="AR120" s="105"/>
      <c r="AS120" s="105"/>
      <c r="AT120" s="105"/>
      <c r="AU120" s="102"/>
      <c r="AV120" s="49"/>
      <c r="AW120" s="49"/>
      <c r="AX120" s="105"/>
      <c r="AY120" s="105"/>
      <c r="AZ120" s="105"/>
      <c r="BA120" s="105"/>
      <c r="BB120" s="105"/>
      <c r="BC120" s="48" t="s">
        <v>115</v>
      </c>
      <c r="BD120" s="49"/>
      <c r="BE120" s="105">
        <v>35000</v>
      </c>
      <c r="BF120" s="102"/>
      <c r="BG120" s="49"/>
      <c r="BH120" s="49"/>
      <c r="BI120" s="105"/>
      <c r="BJ120" s="102"/>
      <c r="BK120" s="49"/>
      <c r="BL120" s="49"/>
      <c r="BM120" s="105"/>
      <c r="BN120" s="102"/>
      <c r="BO120" s="49"/>
      <c r="BP120" s="49"/>
      <c r="BQ120" s="105"/>
      <c r="BR120" s="102"/>
      <c r="BS120" s="49"/>
      <c r="BT120" s="49"/>
      <c r="BU120" s="102"/>
      <c r="BV120" s="49"/>
      <c r="BW120" s="49"/>
      <c r="BX120" s="102"/>
      <c r="BY120" s="51">
        <f>Tabelle4[[#This Row],[Industry Funding from DE (IPK)]]+Tabelle4[[#This Row],[Industry Funding from BR (IPK)]]+Tabelle4[[#This Row],[Public Funding from DE (IPK)]]+Tabelle4[[#This Row],[Public Funding from BR (IPK)]]+Tabelle4[[#This Row],[In-kind Contribution (IPK)]]</f>
        <v>35000</v>
      </c>
      <c r="BZ120" s="51">
        <f>Tabelle4[[#This Row],[Industry Funding from DE (IPK)]]+Tabelle4[[#This Row],[Industry Funding from BR (IPK)]]+Tabelle4[[#This Row],[Public Funding from DE (IPK)]]+Tabelle4[[#This Row],[Public Funding from BR (IPK)]]</f>
        <v>35000</v>
      </c>
      <c r="CA120" s="51">
        <f>Tabelle4[[#This Row],[Industry Funding from DE (IPK)]]+Tabelle4[[#This Row],[Industry Funding from BR (IPK)]]</f>
        <v>35000</v>
      </c>
      <c r="CB120" s="51">
        <f>Tabelle4[[#This Row],[Public Funding from DE (IPK)]]+Tabelle4[[#This Row],[Public Funding from BR (IPK)]]</f>
        <v>0</v>
      </c>
      <c r="CC120" s="51">
        <f>Tabelle4[[#This Row],[In-kind Contribution (IPK)]]</f>
        <v>0</v>
      </c>
      <c r="CD120" s="53">
        <f>(Tabelle4[[#This Row],[Total Industry Funding (IPK)]] + Tabelle4[[#This Row],[Total Public Funding (IPK)]])/Tabelle4[[#This Row],[Total Project Volume (IPK)]]</f>
        <v>1</v>
      </c>
      <c r="CE120" s="53">
        <f>Tabelle4[[#This Row],[Total Industry Funding (IPK)]] / Tabelle4[[#This Row],[Total Project Volume (IPK)]]</f>
        <v>1</v>
      </c>
      <c r="CF120" s="49" t="str">
        <f>Tabelle4[[#This Row],[Project Funding Classification]]</f>
        <v>Industry</v>
      </c>
      <c r="CG120" s="51">
        <f>Tabelle4[[#This Row],[Industry Funding from DE (IPK)]]+Tabelle4[[#This Row],[Public Funding from DE (IPK)]]</f>
        <v>0</v>
      </c>
      <c r="CH120" s="52">
        <f>Tabelle4[[#This Row],[Industry Funding from BR (IPK)]]+Tabelle4[[#This Row],[Public Funding from BR (IPK)]]</f>
        <v>35000</v>
      </c>
      <c r="CI120" s="51">
        <f>Tabelle4[[#This Row],[Industry Funding from DE (ITA)]]+Tabelle4[[#This Row],[Industry Funding from BR (ITA)]]+Tabelle4[[#This Row],[Public Funding from DE (ITA)]]+Tabelle4[[#This Row],[Public Funding from BR (ITA)]]</f>
        <v>0</v>
      </c>
      <c r="CJ120" s="51">
        <f>Tabelle4[[#This Row],[Industry Funding from DE (ITA)]]+Tabelle4[[#This Row],[Industry Funding from BR (ITA)]]</f>
        <v>0</v>
      </c>
      <c r="CK120" s="51">
        <f>Tabelle4[[#This Row],[Public Funding from DE (ITA)]]+Tabelle4[[#This Row],[Public Funding from BR (ITA)]]</f>
        <v>0</v>
      </c>
      <c r="CL120" s="53" t="e">
        <f>Tabelle4[[#This Row],[Total Industry Funding (ITA)]]/Tabelle4[[#This Row],[Total Project Volume (ITA)]]</f>
        <v>#DIV/0!</v>
      </c>
      <c r="CM120" s="49" t="e">
        <f>IF(Tabelle4[[#This Row],[Funding Ratio (ITA)]]&lt;0.5,"Public Funding","Industry")</f>
        <v>#DIV/0!</v>
      </c>
      <c r="CN120" s="51">
        <f>Tabelle4[[#This Row],[Industry Funding from DE (ITA)]]+Tabelle4[[#This Row],[Public Funding from DE (ITA)]]</f>
        <v>0</v>
      </c>
      <c r="CO120" s="52">
        <f>Tabelle4[[#This Row],[Industry Funding from BR (ITA)]]+Tabelle4[[#This Row],[Public Funding from BR (ITA)]]</f>
        <v>0</v>
      </c>
      <c r="CP120" s="51">
        <f>Tabelle4[[#This Row],[Total Project Volume (IPK)]]+Tabelle4[[#This Row],[Total Project Volume (ITA)]]</f>
        <v>35000</v>
      </c>
      <c r="CQ120" s="51">
        <f>Tabelle4[[#This Row],[Total Industry Funding (IPK)]]+Tabelle4[[#This Row],[Total Industry Funding (ITA)]]</f>
        <v>35000</v>
      </c>
      <c r="CR120" s="51">
        <f>Tabelle4[[#This Row],[Industry Funding from DE (IPK)]]+Tabelle4[[#This Row],[Industry Funding from DE (ITA)]]</f>
        <v>0</v>
      </c>
      <c r="CS120" s="51">
        <f>Tabelle4[[#This Row],[Industry Funding from BR (IPK)]]+Tabelle4[[#This Row],[Industry Funding from BR (ITA)]]</f>
        <v>35000</v>
      </c>
      <c r="CT120" s="51">
        <f>Tabelle4[[#This Row],[Total Public Funding (IPK)]]+Tabelle4[[#This Row],[Total Public Funding (ITA)]]</f>
        <v>0</v>
      </c>
      <c r="CU120" s="51">
        <f>Tabelle4[[#This Row],[Public Funding from DE (IPK)]]+Tabelle4[[#This Row],[Public Funding from DE (ITA)]]</f>
        <v>0</v>
      </c>
      <c r="CV120" s="51">
        <f>Tabelle4[[#This Row],[Public Funding from BR (IPK)]]+Tabelle4[[#This Row],[Public Funding from BR (ITA)]]</f>
        <v>0</v>
      </c>
      <c r="CW120" s="51">
        <f>Tabelle4[[#This Row],[Industry Funding from DE (FPC)]]+Tabelle4[[#This Row],[Public Funding from DE (FPC)]]</f>
        <v>0</v>
      </c>
      <c r="CX120" s="52">
        <f>Tabelle4[[#This Row],[Industry Funding from BR (FPC)]]+Tabelle4[[#This Row],[Public Funding from BR (FPC)]]</f>
        <v>35000</v>
      </c>
      <c r="CY120" s="44">
        <f>Tabelle4[[#This Row],[Total Financial Budget (Other)]]+Tabelle4[[#This Row],[Total In-kind Contribution (Other)]]</f>
        <v>0</v>
      </c>
      <c r="CZ120"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20" s="44">
        <f>Tabelle4[[#This Row],[In-kind Contribution (R&amp;D III)]]+Tabelle4[[#This Row],[In-kind Contribution (R&amp;D IV)]]</f>
        <v>0</v>
      </c>
      <c r="DB120" s="158">
        <f>Tabelle4[[#This Row],[Total Budget (FPC)]]+Tabelle4[[#This Row],[Total Volume (Other)]]</f>
        <v>35000</v>
      </c>
      <c r="DC120" s="105">
        <f>Tabelle4[[#This Row],[Total Revenues (IPK)]]</f>
        <v>35000</v>
      </c>
      <c r="DD120" s="53">
        <v>0</v>
      </c>
      <c r="DE120" s="51">
        <f>Tabelle4[[#This Row],[Total Revenues IPK]]*Tabelle4[[#This Row],[Probability of Success]]</f>
        <v>0</v>
      </c>
      <c r="DF120" s="51"/>
      <c r="DG120" s="51"/>
      <c r="DH120" s="51"/>
      <c r="DI120" s="51"/>
      <c r="DJ120" s="51"/>
      <c r="DK120" s="53"/>
      <c r="DL120" s="51">
        <f>Tabelle4[[#This Row],[Real Budget IPK]]*Tabelle4[[#This Row],[Acquisition Factor OE810]]</f>
        <v>0</v>
      </c>
      <c r="DM120" s="51">
        <v>0</v>
      </c>
      <c r="DN120" s="52">
        <f>Tabelle4[[#This Row],[Acquisition Bonus OE810]]+Tabelle4[[#This Row],[Project Execution OE810]]</f>
        <v>0</v>
      </c>
    </row>
    <row r="121" spans="1:118" ht="75.75" customHeight="1" x14ac:dyDescent="0.45">
      <c r="A121" s="69" t="s">
        <v>610</v>
      </c>
      <c r="B121" s="33" t="s">
        <v>611</v>
      </c>
      <c r="C121" s="57" t="s">
        <v>545</v>
      </c>
      <c r="D121" s="57" t="s">
        <v>706</v>
      </c>
      <c r="E121" s="33">
        <v>2</v>
      </c>
      <c r="F121" s="33">
        <v>1</v>
      </c>
      <c r="G121" s="33" t="s">
        <v>1</v>
      </c>
      <c r="H121" s="33" t="s">
        <v>0</v>
      </c>
      <c r="I121" s="33" t="s">
        <v>544</v>
      </c>
      <c r="J121" s="59">
        <v>43969</v>
      </c>
      <c r="K121" s="33" t="s">
        <v>246</v>
      </c>
      <c r="L121" s="59"/>
      <c r="Q121" s="58">
        <v>36</v>
      </c>
      <c r="S121" s="59">
        <v>43969</v>
      </c>
      <c r="Y121" s="59">
        <v>44343</v>
      </c>
      <c r="Z121" s="42" t="str">
        <f t="shared" si="19"/>
        <v>IPK</v>
      </c>
      <c r="AA121" s="33" t="s">
        <v>459</v>
      </c>
      <c r="AG121" s="42"/>
      <c r="AK121" s="64"/>
      <c r="AL121" s="64"/>
      <c r="AM121" s="64"/>
      <c r="AN121" s="101"/>
      <c r="AO121" s="33" t="s">
        <v>119</v>
      </c>
      <c r="AP121" s="33" t="s">
        <v>597</v>
      </c>
      <c r="AU121" s="101"/>
      <c r="BC121" s="42" t="s">
        <v>571</v>
      </c>
      <c r="BD121" s="33" t="s">
        <v>572</v>
      </c>
      <c r="BE121" s="64"/>
      <c r="BF121" s="65"/>
      <c r="BS121" s="33" t="s">
        <v>573</v>
      </c>
      <c r="BU121" s="67"/>
      <c r="BY121" s="44">
        <f>Tabelle4[[#This Row],[Industry Funding from DE (IPK)]]+Tabelle4[[#This Row],[Industry Funding from BR (IPK)]]+Tabelle4[[#This Row],[Public Funding from DE (IPK)]]+Tabelle4[[#This Row],[Public Funding from BR (IPK)]]+Tabelle4[[#This Row],[In-kind Contribution (IPK)]]</f>
        <v>0</v>
      </c>
      <c r="BZ121" s="44">
        <f>Tabelle4[[#This Row],[Industry Funding from DE (IPK)]]+Tabelle4[[#This Row],[Industry Funding from BR (IPK)]]+Tabelle4[[#This Row],[Public Funding from DE (IPK)]]+Tabelle4[[#This Row],[Public Funding from BR (IPK)]]</f>
        <v>0</v>
      </c>
      <c r="CA121" s="44">
        <f>Tabelle4[[#This Row],[Industry Funding from DE (IPK)]]+Tabelle4[[#This Row],[Industry Funding from BR (IPK)]]</f>
        <v>0</v>
      </c>
      <c r="CB121" s="44">
        <f>Tabelle4[[#This Row],[Public Funding from DE (IPK)]]+Tabelle4[[#This Row],[Public Funding from BR (IPK)]]</f>
        <v>0</v>
      </c>
      <c r="CC121" s="44">
        <f>Tabelle4[[#This Row],[In-kind Contribution (IPK)]]</f>
        <v>0</v>
      </c>
      <c r="CD121" s="47" t="e">
        <f>(Tabelle4[[#This Row],[Total Industry Funding (IPK)]] + Tabelle4[[#This Row],[Total Public Funding (IPK)]])/Tabelle4[[#This Row],[Total Project Volume (IPK)]]</f>
        <v>#DIV/0!</v>
      </c>
      <c r="CE121" s="47" t="e">
        <f>Tabelle4[[#This Row],[Total Industry Funding (IPK)]] / Tabelle4[[#This Row],[Total Project Volume (IPK)]]</f>
        <v>#DIV/0!</v>
      </c>
      <c r="CF121" s="33" t="str">
        <f>Tabelle4[[#This Row],[Project Funding Classification]]</f>
        <v>Industry</v>
      </c>
      <c r="CG121" s="44">
        <f>Tabelle4[[#This Row],[Industry Funding from DE (IPK)]]+Tabelle4[[#This Row],[Public Funding from DE (IPK)]]</f>
        <v>0</v>
      </c>
      <c r="CH121" s="46">
        <f>Tabelle4[[#This Row],[Industry Funding from BR (IPK)]]+Tabelle4[[#This Row],[Public Funding from BR (IPK)]]</f>
        <v>0</v>
      </c>
      <c r="CI121" s="44">
        <f>Tabelle4[[#This Row],[Industry Funding from DE (ITA)]]+Tabelle4[[#This Row],[Industry Funding from BR (ITA)]]+Tabelle4[[#This Row],[Public Funding from DE (ITA)]]+Tabelle4[[#This Row],[Public Funding from BR (ITA)]]</f>
        <v>0</v>
      </c>
      <c r="CJ121" s="44">
        <f>Tabelle4[[#This Row],[Industry Funding from DE (ITA)]]+Tabelle4[[#This Row],[Industry Funding from BR (ITA)]]</f>
        <v>0</v>
      </c>
      <c r="CK121" s="44">
        <f>Tabelle4[[#This Row],[Public Funding from DE (ITA)]]+Tabelle4[[#This Row],[Public Funding from BR (ITA)]]</f>
        <v>0</v>
      </c>
      <c r="CL121" s="47" t="e">
        <f>Tabelle4[[#This Row],[Total Industry Funding (ITA)]]/Tabelle4[[#This Row],[Total Project Volume (ITA)]]</f>
        <v>#DIV/0!</v>
      </c>
      <c r="CM121" s="33" t="e">
        <f>IF(Tabelle4[[#This Row],[Funding Ratio (ITA)]]&lt;0.5,"Public Funding","Industry")</f>
        <v>#DIV/0!</v>
      </c>
      <c r="CN121" s="44">
        <f>Tabelle4[[#This Row],[Industry Funding from DE (ITA)]]+Tabelle4[[#This Row],[Public Funding from DE (ITA)]]</f>
        <v>0</v>
      </c>
      <c r="CO121" s="46">
        <f>Tabelle4[[#This Row],[Industry Funding from BR (ITA)]]+Tabelle4[[#This Row],[Public Funding from BR (ITA)]]</f>
        <v>0</v>
      </c>
      <c r="CP121" s="44">
        <f>Tabelle4[[#This Row],[Total Project Volume (IPK)]]+Tabelle4[[#This Row],[Total Project Volume (ITA)]]</f>
        <v>0</v>
      </c>
      <c r="CQ121" s="44">
        <f>Tabelle4[[#This Row],[Total Industry Funding (IPK)]]+Tabelle4[[#This Row],[Total Industry Funding (ITA)]]</f>
        <v>0</v>
      </c>
      <c r="CR121" s="44">
        <f>Tabelle4[[#This Row],[Industry Funding from DE (IPK)]]+Tabelle4[[#This Row],[Industry Funding from DE (ITA)]]</f>
        <v>0</v>
      </c>
      <c r="CS121" s="44">
        <f>Tabelle4[[#This Row],[Industry Funding from BR (IPK)]]+Tabelle4[[#This Row],[Industry Funding from BR (ITA)]]</f>
        <v>0</v>
      </c>
      <c r="CT121" s="44">
        <f>Tabelle4[[#This Row],[Total Public Funding (IPK)]]+Tabelle4[[#This Row],[Total Public Funding (ITA)]]</f>
        <v>0</v>
      </c>
      <c r="CU121" s="44">
        <f>Tabelle4[[#This Row],[Public Funding from DE (IPK)]]+Tabelle4[[#This Row],[Public Funding from DE (ITA)]]</f>
        <v>0</v>
      </c>
      <c r="CV121" s="44">
        <f>Tabelle4[[#This Row],[Public Funding from BR (IPK)]]+Tabelle4[[#This Row],[Public Funding from BR (ITA)]]</f>
        <v>0</v>
      </c>
      <c r="CW121" s="44">
        <f>Tabelle4[[#This Row],[Industry Funding from DE (FPC)]]+Tabelle4[[#This Row],[Public Funding from DE (FPC)]]</f>
        <v>0</v>
      </c>
      <c r="CX121" s="46">
        <f>Tabelle4[[#This Row],[Industry Funding from BR (FPC)]]+Tabelle4[[#This Row],[Public Funding from BR (FPC)]]</f>
        <v>0</v>
      </c>
      <c r="CY121" s="44">
        <f>Tabelle4[[#This Row],[Total Financial Budget (Other)]]+Tabelle4[[#This Row],[Total In-kind Contribution (Other)]]</f>
        <v>0</v>
      </c>
      <c r="CZ12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21" s="44">
        <f>Tabelle4[[#This Row],[In-kind Contribution (R&amp;D III)]]+Tabelle4[[#This Row],[In-kind Contribution (R&amp;D IV)]]</f>
        <v>0</v>
      </c>
      <c r="DB121" s="158">
        <f>Tabelle4[[#This Row],[Total Budget (FPC)]]+Tabelle4[[#This Row],[Total Volume (Other)]]</f>
        <v>0</v>
      </c>
      <c r="DC121" s="104">
        <f>Tabelle4[[#This Row],[Total Revenues (IPK)]]</f>
        <v>0</v>
      </c>
      <c r="DD121" s="47">
        <v>0.01</v>
      </c>
      <c r="DE121" s="44">
        <f>Tabelle4[[#This Row],[Total Revenues IPK]]*Tabelle4[[#This Row],[Probability of Success]]</f>
        <v>0</v>
      </c>
      <c r="DL121" s="44">
        <f>Tabelle4[[#This Row],[Real Budget IPK]]*Tabelle4[[#This Row],[Acquisition Factor OE810]]</f>
        <v>0</v>
      </c>
      <c r="DN121" s="46">
        <f>Tabelle4[[#This Row],[Acquisition Bonus OE810]]+Tabelle4[[#This Row],[Project Execution OE810]]</f>
        <v>0</v>
      </c>
    </row>
    <row r="122" spans="1:118" ht="75.75" customHeight="1" x14ac:dyDescent="0.45">
      <c r="A122" s="42" t="s">
        <v>117</v>
      </c>
      <c r="C122" s="33" t="s">
        <v>118</v>
      </c>
      <c r="D122" s="33" t="s">
        <v>709</v>
      </c>
      <c r="E122" s="33">
        <v>1</v>
      </c>
      <c r="G122" s="33" t="s">
        <v>1</v>
      </c>
      <c r="H122" s="33" t="s">
        <v>0</v>
      </c>
      <c r="K122" s="33" t="s">
        <v>245</v>
      </c>
      <c r="P122" s="59">
        <v>43282</v>
      </c>
      <c r="R122" s="59">
        <v>43496</v>
      </c>
      <c r="X122" s="59">
        <v>43496</v>
      </c>
      <c r="Z122" s="42" t="str">
        <f t="shared" si="19"/>
        <v>IPK</v>
      </c>
      <c r="AA122" s="33" t="s">
        <v>141</v>
      </c>
      <c r="AB122" s="61">
        <v>0</v>
      </c>
      <c r="AC122" s="61">
        <v>40000</v>
      </c>
      <c r="AD122" s="61">
        <v>0</v>
      </c>
      <c r="AE122" s="61">
        <v>0</v>
      </c>
      <c r="AF122" s="61">
        <v>0</v>
      </c>
      <c r="AG122" s="42" t="str">
        <f t="shared" ref="AG122:AG131" si="21">"ITA"</f>
        <v>ITA</v>
      </c>
      <c r="AI122" s="33" t="s">
        <v>116</v>
      </c>
      <c r="AJ122" s="104">
        <v>0</v>
      </c>
      <c r="AL122" s="104">
        <v>0</v>
      </c>
      <c r="AM122" s="104">
        <v>0</v>
      </c>
      <c r="AN122" s="101">
        <v>0</v>
      </c>
      <c r="AO122" s="33" t="s">
        <v>119</v>
      </c>
      <c r="AQ122" s="61">
        <v>0</v>
      </c>
      <c r="AR122" s="61">
        <v>12000</v>
      </c>
      <c r="AS122" s="61">
        <v>0</v>
      </c>
      <c r="AT122" s="61">
        <v>0</v>
      </c>
      <c r="AU122" s="65">
        <v>0</v>
      </c>
      <c r="AV122" s="33" t="s">
        <v>116</v>
      </c>
      <c r="AW122" s="33" t="s">
        <v>116</v>
      </c>
      <c r="AX122" s="61">
        <v>0</v>
      </c>
      <c r="AY122" s="61">
        <v>0</v>
      </c>
      <c r="AZ122" s="61">
        <v>0</v>
      </c>
      <c r="BA122" s="61">
        <v>0</v>
      </c>
      <c r="BB122" s="61">
        <v>0</v>
      </c>
      <c r="BC122" s="42" t="s">
        <v>118</v>
      </c>
      <c r="BD122" s="33" t="s">
        <v>260</v>
      </c>
      <c r="BE122" s="104">
        <v>52000</v>
      </c>
      <c r="BF122" s="65">
        <v>0</v>
      </c>
      <c r="BG122" s="33" t="s">
        <v>116</v>
      </c>
      <c r="BH122" s="33" t="s">
        <v>116</v>
      </c>
      <c r="BI122" s="61">
        <v>0</v>
      </c>
      <c r="BJ122" s="65">
        <v>0</v>
      </c>
      <c r="BK122" s="33" t="s">
        <v>116</v>
      </c>
      <c r="BL122" s="33" t="s">
        <v>116</v>
      </c>
      <c r="BM122" s="61">
        <v>0</v>
      </c>
      <c r="BN122" s="65">
        <v>0</v>
      </c>
      <c r="BO122" s="33" t="s">
        <v>116</v>
      </c>
      <c r="BP122" s="33" t="s">
        <v>116</v>
      </c>
      <c r="BQ122" s="61">
        <v>0</v>
      </c>
      <c r="BR122" s="65">
        <v>0</v>
      </c>
      <c r="BS122" s="33" t="s">
        <v>116</v>
      </c>
      <c r="BT122" s="33" t="s">
        <v>116</v>
      </c>
      <c r="BU122" s="65">
        <v>0</v>
      </c>
      <c r="BV122" s="33" t="s">
        <v>116</v>
      </c>
      <c r="BW122" s="33" t="s">
        <v>116</v>
      </c>
      <c r="BX122" s="65">
        <v>0</v>
      </c>
      <c r="BY122" s="44">
        <f>Tabelle4[[#This Row],[Industry Funding from DE (IPK)]]+Tabelle4[[#This Row],[Industry Funding from BR (IPK)]]+Tabelle4[[#This Row],[Public Funding from DE (IPK)]]+Tabelle4[[#This Row],[Public Funding from BR (IPK)]]+Tabelle4[[#This Row],[In-kind Contribution (IPK)]]</f>
        <v>40000</v>
      </c>
      <c r="BZ122" s="44">
        <f>Tabelle4[[#This Row],[Industry Funding from DE (IPK)]]+Tabelle4[[#This Row],[Industry Funding from BR (IPK)]]+Tabelle4[[#This Row],[Public Funding from DE (IPK)]]+Tabelle4[[#This Row],[Public Funding from BR (IPK)]]</f>
        <v>40000</v>
      </c>
      <c r="CA122" s="44">
        <f>Tabelle4[[#This Row],[Industry Funding from DE (IPK)]]+Tabelle4[[#This Row],[Industry Funding from BR (IPK)]]</f>
        <v>40000</v>
      </c>
      <c r="CB122" s="44">
        <f>Tabelle4[[#This Row],[Public Funding from DE (IPK)]]+Tabelle4[[#This Row],[Public Funding from BR (IPK)]]</f>
        <v>0</v>
      </c>
      <c r="CC122" s="44">
        <f>Tabelle4[[#This Row],[In-kind Contribution (IPK)]]</f>
        <v>0</v>
      </c>
      <c r="CD122" s="47">
        <f>(Tabelle4[[#This Row],[Total Industry Funding (IPK)]] + Tabelle4[[#This Row],[Total Public Funding (IPK)]])/Tabelle4[[#This Row],[Total Project Volume (IPK)]]</f>
        <v>1</v>
      </c>
      <c r="CE122" s="47">
        <f>Tabelle4[[#This Row],[Total Industry Funding (IPK)]] / Tabelle4[[#This Row],[Total Project Volume (IPK)]]</f>
        <v>1</v>
      </c>
      <c r="CF122" s="33" t="str">
        <f>Tabelle4[[#This Row],[Project Funding Classification]]</f>
        <v>Industry</v>
      </c>
      <c r="CG122" s="44">
        <f>Tabelle4[[#This Row],[Industry Funding from DE (IPK)]]+Tabelle4[[#This Row],[Public Funding from DE (IPK)]]</f>
        <v>0</v>
      </c>
      <c r="CH122" s="46">
        <f>Tabelle4[[#This Row],[Industry Funding from BR (IPK)]]+Tabelle4[[#This Row],[Public Funding from BR (IPK)]]</f>
        <v>40000</v>
      </c>
      <c r="CI122" s="44">
        <f>Tabelle4[[#This Row],[Industry Funding from DE (ITA)]]+Tabelle4[[#This Row],[Industry Funding from BR (ITA)]]+Tabelle4[[#This Row],[Public Funding from DE (ITA)]]+Tabelle4[[#This Row],[Public Funding from BR (ITA)]]</f>
        <v>0</v>
      </c>
      <c r="CJ122" s="44">
        <f>Tabelle4[[#This Row],[Industry Funding from DE (ITA)]]+Tabelle4[[#This Row],[Industry Funding from BR (ITA)]]</f>
        <v>0</v>
      </c>
      <c r="CK122" s="44">
        <f>Tabelle4[[#This Row],[Public Funding from DE (ITA)]]+Tabelle4[[#This Row],[Public Funding from BR (ITA)]]</f>
        <v>0</v>
      </c>
      <c r="CL122" s="47" t="e">
        <f>Tabelle4[[#This Row],[Total Industry Funding (ITA)]]/Tabelle4[[#This Row],[Total Project Volume (ITA)]]</f>
        <v>#DIV/0!</v>
      </c>
      <c r="CM122" s="33" t="e">
        <f>IF(Tabelle4[[#This Row],[Funding Ratio (ITA)]]&lt;0.5,"Public Funding","Industry")</f>
        <v>#DIV/0!</v>
      </c>
      <c r="CN122" s="44">
        <f>Tabelle4[[#This Row],[Industry Funding from DE (ITA)]]+Tabelle4[[#This Row],[Public Funding from DE (ITA)]]</f>
        <v>0</v>
      </c>
      <c r="CO122" s="46">
        <f>Tabelle4[[#This Row],[Industry Funding from BR (ITA)]]+Tabelle4[[#This Row],[Public Funding from BR (ITA)]]</f>
        <v>0</v>
      </c>
      <c r="CP122" s="44">
        <f>Tabelle4[[#This Row],[Total Project Volume (IPK)]]+Tabelle4[[#This Row],[Total Project Volume (ITA)]]</f>
        <v>40000</v>
      </c>
      <c r="CQ122" s="44">
        <f>Tabelle4[[#This Row],[Total Industry Funding (IPK)]]+Tabelle4[[#This Row],[Total Industry Funding (ITA)]]</f>
        <v>40000</v>
      </c>
      <c r="CR122" s="44">
        <f>Tabelle4[[#This Row],[Industry Funding from DE (IPK)]]+Tabelle4[[#This Row],[Industry Funding from DE (ITA)]]</f>
        <v>0</v>
      </c>
      <c r="CS122" s="44">
        <f>Tabelle4[[#This Row],[Industry Funding from BR (IPK)]]+Tabelle4[[#This Row],[Industry Funding from BR (ITA)]]</f>
        <v>40000</v>
      </c>
      <c r="CT122" s="44">
        <f>Tabelle4[[#This Row],[Total Public Funding (IPK)]]+Tabelle4[[#This Row],[Total Public Funding (ITA)]]</f>
        <v>0</v>
      </c>
      <c r="CU122" s="44">
        <f>Tabelle4[[#This Row],[Public Funding from DE (IPK)]]+Tabelle4[[#This Row],[Public Funding from DE (ITA)]]</f>
        <v>0</v>
      </c>
      <c r="CV122" s="44">
        <f>Tabelle4[[#This Row],[Public Funding from BR (IPK)]]+Tabelle4[[#This Row],[Public Funding from BR (ITA)]]</f>
        <v>0</v>
      </c>
      <c r="CW122" s="44">
        <f>Tabelle4[[#This Row],[Industry Funding from DE (FPC)]]+Tabelle4[[#This Row],[Public Funding from DE (FPC)]]</f>
        <v>0</v>
      </c>
      <c r="CX122" s="46">
        <f>Tabelle4[[#This Row],[Industry Funding from BR (FPC)]]+Tabelle4[[#This Row],[Public Funding from BR (FPC)]]</f>
        <v>40000</v>
      </c>
      <c r="CY122" s="44">
        <f>Tabelle4[[#This Row],[Total Financial Budget (Other)]]+Tabelle4[[#This Row],[Total In-kind Contribution (Other)]]</f>
        <v>12000</v>
      </c>
      <c r="CZ12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12000</v>
      </c>
      <c r="DA122" s="44">
        <f>Tabelle4[[#This Row],[In-kind Contribution (R&amp;D III)]]+Tabelle4[[#This Row],[In-kind Contribution (R&amp;D IV)]]</f>
        <v>0</v>
      </c>
      <c r="DB122" s="158">
        <f>Tabelle4[[#This Row],[Total Budget (FPC)]]+Tabelle4[[#This Row],[Total Volume (Other)]]</f>
        <v>52000</v>
      </c>
      <c r="DC122" s="104">
        <f>Tabelle4[[#This Row],[Total Revenues (IPK)]]</f>
        <v>40000</v>
      </c>
      <c r="DD122" s="47">
        <v>1</v>
      </c>
      <c r="DE122" s="44">
        <f>Tabelle4[[#This Row],[Total Revenues IPK]]*Tabelle4[[#This Row],[Probability of Success]]</f>
        <v>40000</v>
      </c>
      <c r="DG122" s="44">
        <v>18000</v>
      </c>
      <c r="DH122" s="44">
        <v>18000</v>
      </c>
      <c r="DK122" s="47">
        <v>0.1</v>
      </c>
      <c r="DL122" s="44">
        <f>Tabelle4[[#This Row],[Real Budget IPK]]*Tabelle4[[#This Row],[Acquisition Factor OE810]]</f>
        <v>4000</v>
      </c>
      <c r="DM122" s="44">
        <v>0</v>
      </c>
      <c r="DN122" s="46">
        <f>Tabelle4[[#This Row],[Acquisition Bonus OE810]]+Tabelle4[[#This Row],[Project Execution OE810]]</f>
        <v>4000</v>
      </c>
    </row>
    <row r="123" spans="1:118" ht="41.65" x14ac:dyDescent="0.45">
      <c r="A123" s="42" t="s">
        <v>160</v>
      </c>
      <c r="C123" s="33" t="s">
        <v>161</v>
      </c>
      <c r="D123" s="33" t="s">
        <v>709</v>
      </c>
      <c r="G123" s="33" t="s">
        <v>1</v>
      </c>
      <c r="H123" s="33" t="s">
        <v>0</v>
      </c>
      <c r="I123" s="33" t="s">
        <v>543</v>
      </c>
      <c r="K123" s="33" t="s">
        <v>246</v>
      </c>
      <c r="Z123" s="42" t="str">
        <f t="shared" si="19"/>
        <v>IPK</v>
      </c>
      <c r="AC123" s="61">
        <v>150000</v>
      </c>
      <c r="AG123" s="42" t="str">
        <f t="shared" si="21"/>
        <v>ITA</v>
      </c>
      <c r="AN123" s="101"/>
      <c r="AU123" s="65"/>
      <c r="BC123" s="42" t="s">
        <v>161</v>
      </c>
      <c r="BE123" s="61">
        <v>150000</v>
      </c>
      <c r="BF123" s="65"/>
      <c r="BY123" s="44">
        <f>Tabelle4[[#This Row],[Industry Funding from DE (IPK)]]+Tabelle4[[#This Row],[Industry Funding from BR (IPK)]]+Tabelle4[[#This Row],[Public Funding from DE (IPK)]]+Tabelle4[[#This Row],[Public Funding from BR (IPK)]]+Tabelle4[[#This Row],[In-kind Contribution (IPK)]]</f>
        <v>150000</v>
      </c>
      <c r="BZ123" s="44">
        <f>Tabelle4[[#This Row],[Industry Funding from DE (IPK)]]+Tabelle4[[#This Row],[Industry Funding from BR (IPK)]]+Tabelle4[[#This Row],[Public Funding from DE (IPK)]]+Tabelle4[[#This Row],[Public Funding from BR (IPK)]]</f>
        <v>150000</v>
      </c>
      <c r="CA123" s="44">
        <f>Tabelle4[[#This Row],[Industry Funding from DE (IPK)]]+Tabelle4[[#This Row],[Industry Funding from BR (IPK)]]</f>
        <v>150000</v>
      </c>
      <c r="CB123" s="44">
        <f>Tabelle4[[#This Row],[Public Funding from DE (IPK)]]+Tabelle4[[#This Row],[Public Funding from BR (IPK)]]</f>
        <v>0</v>
      </c>
      <c r="CC123" s="44">
        <f>Tabelle4[[#This Row],[In-kind Contribution (IPK)]]</f>
        <v>0</v>
      </c>
      <c r="CD123" s="47">
        <f>(Tabelle4[[#This Row],[Total Industry Funding (IPK)]] + Tabelle4[[#This Row],[Total Public Funding (IPK)]])/Tabelle4[[#This Row],[Total Project Volume (IPK)]]</f>
        <v>1</v>
      </c>
      <c r="CE123" s="47">
        <f>Tabelle4[[#This Row],[Total Industry Funding (IPK)]] / Tabelle4[[#This Row],[Total Project Volume (IPK)]]</f>
        <v>1</v>
      </c>
      <c r="CF123" s="33" t="str">
        <f>Tabelle4[[#This Row],[Project Funding Classification]]</f>
        <v>Industry</v>
      </c>
      <c r="CG123" s="44">
        <f>Tabelle4[[#This Row],[Industry Funding from DE (IPK)]]+Tabelle4[[#This Row],[Public Funding from DE (IPK)]]</f>
        <v>0</v>
      </c>
      <c r="CH123" s="46">
        <f>Tabelle4[[#This Row],[Industry Funding from BR (IPK)]]+Tabelle4[[#This Row],[Public Funding from BR (IPK)]]</f>
        <v>150000</v>
      </c>
      <c r="CI123" s="44">
        <f>Tabelle4[[#This Row],[Industry Funding from DE (ITA)]]+Tabelle4[[#This Row],[Industry Funding from BR (ITA)]]+Tabelle4[[#This Row],[Public Funding from DE (ITA)]]+Tabelle4[[#This Row],[Public Funding from BR (ITA)]]</f>
        <v>0</v>
      </c>
      <c r="CJ123" s="44">
        <f>Tabelle4[[#This Row],[Industry Funding from DE (ITA)]]+Tabelle4[[#This Row],[Industry Funding from BR (ITA)]]</f>
        <v>0</v>
      </c>
      <c r="CK123" s="44">
        <f>Tabelle4[[#This Row],[Public Funding from DE (ITA)]]+Tabelle4[[#This Row],[Public Funding from BR (ITA)]]</f>
        <v>0</v>
      </c>
      <c r="CL123" s="47" t="e">
        <f>Tabelle4[[#This Row],[Total Industry Funding (ITA)]]/Tabelle4[[#This Row],[Total Project Volume (ITA)]]</f>
        <v>#DIV/0!</v>
      </c>
      <c r="CM123" s="33" t="e">
        <f>IF(Tabelle4[[#This Row],[Funding Ratio (ITA)]]&lt;0.5,"Public Funding","Industry")</f>
        <v>#DIV/0!</v>
      </c>
      <c r="CN123" s="44">
        <f>Tabelle4[[#This Row],[Industry Funding from DE (ITA)]]+Tabelle4[[#This Row],[Public Funding from DE (ITA)]]</f>
        <v>0</v>
      </c>
      <c r="CO123" s="46">
        <f>Tabelle4[[#This Row],[Industry Funding from BR (ITA)]]+Tabelle4[[#This Row],[Public Funding from BR (ITA)]]</f>
        <v>0</v>
      </c>
      <c r="CP123" s="44">
        <f>Tabelle4[[#This Row],[Total Project Volume (IPK)]]+Tabelle4[[#This Row],[Total Project Volume (ITA)]]</f>
        <v>150000</v>
      </c>
      <c r="CQ123" s="44">
        <f>Tabelle4[[#This Row],[Total Industry Funding (IPK)]]+Tabelle4[[#This Row],[Total Industry Funding (ITA)]]</f>
        <v>150000</v>
      </c>
      <c r="CR123" s="44">
        <f>Tabelle4[[#This Row],[Industry Funding from DE (IPK)]]+Tabelle4[[#This Row],[Industry Funding from DE (ITA)]]</f>
        <v>0</v>
      </c>
      <c r="CS123" s="44">
        <f>Tabelle4[[#This Row],[Industry Funding from BR (IPK)]]+Tabelle4[[#This Row],[Industry Funding from BR (ITA)]]</f>
        <v>150000</v>
      </c>
      <c r="CT123" s="44">
        <f>Tabelle4[[#This Row],[Total Public Funding (IPK)]]+Tabelle4[[#This Row],[Total Public Funding (ITA)]]</f>
        <v>0</v>
      </c>
      <c r="CU123" s="44">
        <f>Tabelle4[[#This Row],[Public Funding from DE (IPK)]]+Tabelle4[[#This Row],[Public Funding from DE (ITA)]]</f>
        <v>0</v>
      </c>
      <c r="CV123" s="44">
        <f>Tabelle4[[#This Row],[Public Funding from BR (IPK)]]+Tabelle4[[#This Row],[Public Funding from BR (ITA)]]</f>
        <v>0</v>
      </c>
      <c r="CW123" s="44">
        <f>Tabelle4[[#This Row],[Industry Funding from DE (FPC)]]+Tabelle4[[#This Row],[Public Funding from DE (FPC)]]</f>
        <v>0</v>
      </c>
      <c r="CX123" s="46">
        <f>Tabelle4[[#This Row],[Industry Funding from BR (FPC)]]+Tabelle4[[#This Row],[Public Funding from BR (FPC)]]</f>
        <v>150000</v>
      </c>
      <c r="CY123" s="44">
        <f>Tabelle4[[#This Row],[Total Financial Budget (Other)]]+Tabelle4[[#This Row],[Total In-kind Contribution (Other)]]</f>
        <v>0</v>
      </c>
      <c r="CZ12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23" s="44">
        <f>Tabelle4[[#This Row],[In-kind Contribution (R&amp;D III)]]+Tabelle4[[#This Row],[In-kind Contribution (R&amp;D IV)]]</f>
        <v>0</v>
      </c>
      <c r="DB123" s="158">
        <f>Tabelle4[[#This Row],[Total Budget (FPC)]]+Tabelle4[[#This Row],[Total Volume (Other)]]</f>
        <v>150000</v>
      </c>
      <c r="DC123" s="104">
        <f>Tabelle4[[#This Row],[Total Revenues (IPK)]]</f>
        <v>150000</v>
      </c>
      <c r="DD123" s="47">
        <v>0.25</v>
      </c>
      <c r="DE123" s="44">
        <f>Tabelle4[[#This Row],[Total Revenues IPK]]*Tabelle4[[#This Row],[Probability of Success]]</f>
        <v>37500</v>
      </c>
      <c r="DK123" s="47">
        <v>0.2</v>
      </c>
      <c r="DL123" s="44">
        <f>Tabelle4[[#This Row],[Real Budget IPK]]*Tabelle4[[#This Row],[Acquisition Factor OE810]]</f>
        <v>7500</v>
      </c>
      <c r="DM123" s="44">
        <v>0</v>
      </c>
      <c r="DN123" s="46">
        <f>Tabelle4[[#This Row],[Acquisition Bonus OE810]]+Tabelle4[[#This Row],[Project Execution OE810]]</f>
        <v>7500</v>
      </c>
    </row>
    <row r="124" spans="1:118" ht="75" customHeight="1" x14ac:dyDescent="0.45">
      <c r="A124" s="70" t="s">
        <v>589</v>
      </c>
      <c r="B124" s="33" t="s">
        <v>422</v>
      </c>
      <c r="C124" s="57" t="s">
        <v>421</v>
      </c>
      <c r="D124" s="57" t="s">
        <v>705</v>
      </c>
      <c r="E124" s="33">
        <v>2</v>
      </c>
      <c r="F124" s="33">
        <v>0</v>
      </c>
      <c r="G124" s="33" t="s">
        <v>2</v>
      </c>
      <c r="H124" s="33" t="s">
        <v>0</v>
      </c>
      <c r="I124" s="33" t="s">
        <v>454</v>
      </c>
      <c r="K124" s="33" t="s">
        <v>630</v>
      </c>
      <c r="L124" s="59" t="s">
        <v>651</v>
      </c>
      <c r="M124" s="144">
        <v>4.3099999999999996</v>
      </c>
      <c r="Q124" s="58">
        <v>48</v>
      </c>
      <c r="Z124" s="42" t="str">
        <f t="shared" si="19"/>
        <v>IPK</v>
      </c>
      <c r="AG124" s="42" t="str">
        <f t="shared" si="21"/>
        <v>ITA</v>
      </c>
      <c r="AH124" s="33" t="s">
        <v>423</v>
      </c>
      <c r="AI124" s="33" t="s">
        <v>378</v>
      </c>
      <c r="AK124" s="64">
        <f>(1004000.6/M124)</f>
        <v>232946.77494199536</v>
      </c>
      <c r="AL124" s="64"/>
      <c r="AM124" s="64">
        <f>(2007520/M124)</f>
        <v>465781.90255220421</v>
      </c>
      <c r="AN124" s="101"/>
      <c r="AU124" s="101"/>
      <c r="BC124" s="42" t="s">
        <v>156</v>
      </c>
      <c r="BE124" s="64">
        <f>(2000520/4.3111)</f>
        <v>464039.34030757815</v>
      </c>
      <c r="BF124" s="65"/>
      <c r="BS124" s="33" t="s">
        <v>424</v>
      </c>
      <c r="BU124" s="67">
        <f>(1000004/4.3111)</f>
        <v>231960.28855744476</v>
      </c>
      <c r="BY124" s="44">
        <f>Tabelle4[[#This Row],[Industry Funding from DE (IPK)]]+Tabelle4[[#This Row],[Industry Funding from BR (IPK)]]+Tabelle4[[#This Row],[Public Funding from DE (IPK)]]+Tabelle4[[#This Row],[Public Funding from BR (IPK)]]+Tabelle4[[#This Row],[In-kind Contribution (IPK)]]</f>
        <v>0</v>
      </c>
      <c r="BZ124" s="44">
        <f>Tabelle4[[#This Row],[Industry Funding from DE (IPK)]]+Tabelle4[[#This Row],[Industry Funding from BR (IPK)]]+Tabelle4[[#This Row],[Public Funding from DE (IPK)]]+Tabelle4[[#This Row],[Public Funding from BR (IPK)]]</f>
        <v>0</v>
      </c>
      <c r="CA124" s="44">
        <f>Tabelle4[[#This Row],[Industry Funding from DE (IPK)]]+Tabelle4[[#This Row],[Industry Funding from BR (IPK)]]</f>
        <v>0</v>
      </c>
      <c r="CB124" s="44">
        <f>Tabelle4[[#This Row],[Public Funding from DE (IPK)]]+Tabelle4[[#This Row],[Public Funding from BR (IPK)]]</f>
        <v>0</v>
      </c>
      <c r="CC124" s="44">
        <f>Tabelle4[[#This Row],[In-kind Contribution (IPK)]]</f>
        <v>0</v>
      </c>
      <c r="CD124" s="47" t="e">
        <f>(Tabelle4[[#This Row],[Total Industry Funding (IPK)]] + Tabelle4[[#This Row],[Total Public Funding (IPK)]])/Tabelle4[[#This Row],[Total Project Volume (IPK)]]</f>
        <v>#DIV/0!</v>
      </c>
      <c r="CE124" s="47" t="e">
        <f>Tabelle4[[#This Row],[Total Industry Funding (IPK)]] / Tabelle4[[#This Row],[Total Project Volume (IPK)]]</f>
        <v>#DIV/0!</v>
      </c>
      <c r="CF124" s="33" t="str">
        <f>Tabelle4[[#This Row],[Project Funding Classification]]</f>
        <v>Industry</v>
      </c>
      <c r="CG124" s="44">
        <f>Tabelle4[[#This Row],[Industry Funding from DE (IPK)]]+Tabelle4[[#This Row],[Public Funding from DE (IPK)]]</f>
        <v>0</v>
      </c>
      <c r="CH124" s="46">
        <f>Tabelle4[[#This Row],[Industry Funding from BR (IPK)]]+Tabelle4[[#This Row],[Public Funding from BR (IPK)]]</f>
        <v>0</v>
      </c>
      <c r="CI124" s="44">
        <f>Tabelle4[[#This Row],[Industry Funding from DE (ITA)]]+Tabelle4[[#This Row],[Industry Funding from BR (ITA)]]+Tabelle4[[#This Row],[Public Funding from DE (ITA)]]+Tabelle4[[#This Row],[Public Funding from BR (ITA)]]</f>
        <v>698728.6774941996</v>
      </c>
      <c r="CJ124" s="44">
        <f>Tabelle4[[#This Row],[Industry Funding from DE (ITA)]]+Tabelle4[[#This Row],[Industry Funding from BR (ITA)]]</f>
        <v>232946.77494199536</v>
      </c>
      <c r="CK124" s="44">
        <f>Tabelle4[[#This Row],[Public Funding from DE (ITA)]]+Tabelle4[[#This Row],[Public Funding from BR (ITA)]]</f>
        <v>465781.90255220421</v>
      </c>
      <c r="CL124" s="47">
        <f>Tabelle4[[#This Row],[Total Industry Funding (ITA)]]/Tabelle4[[#This Row],[Total Project Volume (ITA)]]</f>
        <v>0.3333865954627705</v>
      </c>
      <c r="CM124" s="33" t="str">
        <f>IF(Tabelle4[[#This Row],[Funding Ratio (ITA)]]&lt;0.5,"Public Funding","Industry")</f>
        <v>Public Funding</v>
      </c>
      <c r="CN124" s="44">
        <f>Tabelle4[[#This Row],[Industry Funding from DE (ITA)]]+Tabelle4[[#This Row],[Public Funding from DE (ITA)]]</f>
        <v>0</v>
      </c>
      <c r="CO124" s="46">
        <f>Tabelle4[[#This Row],[Industry Funding from BR (ITA)]]+Tabelle4[[#This Row],[Public Funding from BR (ITA)]]</f>
        <v>698728.6774941996</v>
      </c>
      <c r="CP124" s="44">
        <f>Tabelle4[[#This Row],[Total Project Volume (IPK)]]+Tabelle4[[#This Row],[Total Project Volume (ITA)]]</f>
        <v>698728.6774941996</v>
      </c>
      <c r="CQ124" s="44">
        <f>Tabelle4[[#This Row],[Total Industry Funding (IPK)]]+Tabelle4[[#This Row],[Total Industry Funding (ITA)]]</f>
        <v>232946.77494199536</v>
      </c>
      <c r="CR124" s="44">
        <f>Tabelle4[[#This Row],[Industry Funding from DE (IPK)]]+Tabelle4[[#This Row],[Industry Funding from DE (ITA)]]</f>
        <v>0</v>
      </c>
      <c r="CS124" s="44">
        <f>Tabelle4[[#This Row],[Industry Funding from BR (IPK)]]+Tabelle4[[#This Row],[Industry Funding from BR (ITA)]]</f>
        <v>232946.77494199536</v>
      </c>
      <c r="CT124" s="44">
        <f>Tabelle4[[#This Row],[Total Public Funding (IPK)]]+Tabelle4[[#This Row],[Total Public Funding (ITA)]]</f>
        <v>465781.90255220421</v>
      </c>
      <c r="CU124" s="44">
        <f>Tabelle4[[#This Row],[Public Funding from DE (IPK)]]+Tabelle4[[#This Row],[Public Funding from DE (ITA)]]</f>
        <v>0</v>
      </c>
      <c r="CV124" s="44">
        <f>Tabelle4[[#This Row],[Public Funding from BR (IPK)]]+Tabelle4[[#This Row],[Public Funding from BR (ITA)]]</f>
        <v>465781.90255220421</v>
      </c>
      <c r="CW124" s="44">
        <f>Tabelle4[[#This Row],[Industry Funding from DE (FPC)]]+Tabelle4[[#This Row],[Public Funding from DE (FPC)]]</f>
        <v>0</v>
      </c>
      <c r="CX124" s="46">
        <f>Tabelle4[[#This Row],[Industry Funding from BR (FPC)]]+Tabelle4[[#This Row],[Public Funding from BR (FPC)]]</f>
        <v>698728.6774941996</v>
      </c>
      <c r="CY124" s="44">
        <f>Tabelle4[[#This Row],[Total Financial Budget (Other)]]+Tabelle4[[#This Row],[Total In-kind Contribution (Other)]]</f>
        <v>0</v>
      </c>
      <c r="CZ12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24" s="44">
        <f>Tabelle4[[#This Row],[In-kind Contribution (R&amp;D III)]]+Tabelle4[[#This Row],[In-kind Contribution (R&amp;D IV)]]</f>
        <v>0</v>
      </c>
      <c r="DB124" s="158">
        <f>Tabelle4[[#This Row],[Total Budget (FPC)]]+Tabelle4[[#This Row],[Total Volume (Other)]]</f>
        <v>698728.6774941996</v>
      </c>
      <c r="DC124" s="104">
        <f>Tabelle4[[#This Row],[Total Revenues (IPK)]]</f>
        <v>0</v>
      </c>
      <c r="DE124" s="44">
        <f>Tabelle4[[#This Row],[Total Revenues IPK]]*Tabelle4[[#This Row],[Probability of Success]]</f>
        <v>0</v>
      </c>
      <c r="DL124" s="44">
        <f>Tabelle4[[#This Row],[Real Budget IPK]]*Tabelle4[[#This Row],[Acquisition Factor OE810]]</f>
        <v>0</v>
      </c>
      <c r="DN124" s="46">
        <f>Tabelle4[[#This Row],[Acquisition Bonus OE810]]+Tabelle4[[#This Row],[Project Execution OE810]]</f>
        <v>0</v>
      </c>
    </row>
    <row r="125" spans="1:118" ht="75" customHeight="1" x14ac:dyDescent="0.45">
      <c r="A125" s="42" t="s">
        <v>114</v>
      </c>
      <c r="C125" s="33" t="s">
        <v>115</v>
      </c>
      <c r="D125" s="33" t="s">
        <v>711</v>
      </c>
      <c r="G125" s="33" t="s">
        <v>1</v>
      </c>
      <c r="H125" s="33" t="s">
        <v>0</v>
      </c>
      <c r="K125" s="33" t="s">
        <v>245</v>
      </c>
      <c r="Z125" s="42" t="str">
        <f t="shared" ref="Z125:Z134" si="22">"IPK"</f>
        <v>IPK</v>
      </c>
      <c r="AB125" s="61">
        <v>0</v>
      </c>
      <c r="AC125" s="61">
        <v>7000</v>
      </c>
      <c r="AD125" s="61">
        <v>0</v>
      </c>
      <c r="AE125" s="61">
        <v>0</v>
      </c>
      <c r="AF125" s="61">
        <v>0</v>
      </c>
      <c r="AG125" s="42" t="str">
        <f t="shared" si="21"/>
        <v>ITA</v>
      </c>
      <c r="AI125" s="33" t="s">
        <v>116</v>
      </c>
      <c r="AJ125" s="104">
        <v>0</v>
      </c>
      <c r="AL125" s="104">
        <v>0</v>
      </c>
      <c r="AM125" s="104">
        <v>0</v>
      </c>
      <c r="AN125" s="101">
        <v>0</v>
      </c>
      <c r="AO125" s="33" t="s">
        <v>116</v>
      </c>
      <c r="AP125" s="33" t="s">
        <v>116</v>
      </c>
      <c r="AQ125" s="61">
        <v>0</v>
      </c>
      <c r="AR125" s="61">
        <v>0</v>
      </c>
      <c r="AS125" s="61">
        <v>0</v>
      </c>
      <c r="AT125" s="61">
        <v>0</v>
      </c>
      <c r="AU125" s="65">
        <v>0</v>
      </c>
      <c r="AV125" s="33" t="s">
        <v>116</v>
      </c>
      <c r="AW125" s="33" t="s">
        <v>116</v>
      </c>
      <c r="AX125" s="61">
        <v>0</v>
      </c>
      <c r="AY125" s="61">
        <v>0</v>
      </c>
      <c r="AZ125" s="61">
        <v>0</v>
      </c>
      <c r="BA125" s="61">
        <v>0</v>
      </c>
      <c r="BB125" s="61">
        <v>0</v>
      </c>
      <c r="BC125" s="42" t="s">
        <v>115</v>
      </c>
      <c r="BE125" s="61">
        <v>7000</v>
      </c>
      <c r="BF125" s="65">
        <v>0</v>
      </c>
      <c r="BG125" s="33" t="s">
        <v>116</v>
      </c>
      <c r="BH125" s="33" t="s">
        <v>116</v>
      </c>
      <c r="BI125" s="61">
        <v>0</v>
      </c>
      <c r="BJ125" s="65">
        <v>0</v>
      </c>
      <c r="BK125" s="33" t="s">
        <v>116</v>
      </c>
      <c r="BL125" s="33" t="s">
        <v>116</v>
      </c>
      <c r="BM125" s="61">
        <v>0</v>
      </c>
      <c r="BN125" s="65">
        <v>0</v>
      </c>
      <c r="BO125" s="33" t="s">
        <v>116</v>
      </c>
      <c r="BP125" s="33" t="s">
        <v>116</v>
      </c>
      <c r="BQ125" s="61">
        <v>0</v>
      </c>
      <c r="BR125" s="65">
        <v>0</v>
      </c>
      <c r="BS125" s="33" t="s">
        <v>116</v>
      </c>
      <c r="BT125" s="33" t="s">
        <v>116</v>
      </c>
      <c r="BU125" s="65">
        <v>0</v>
      </c>
      <c r="BV125" s="33" t="s">
        <v>116</v>
      </c>
      <c r="BW125" s="33" t="s">
        <v>116</v>
      </c>
      <c r="BX125" s="65">
        <v>0</v>
      </c>
      <c r="BY125" s="44">
        <f>Tabelle4[[#This Row],[Industry Funding from DE (IPK)]]+Tabelle4[[#This Row],[Industry Funding from BR (IPK)]]+Tabelle4[[#This Row],[Public Funding from DE (IPK)]]+Tabelle4[[#This Row],[Public Funding from BR (IPK)]]+Tabelle4[[#This Row],[In-kind Contribution (IPK)]]</f>
        <v>7000</v>
      </c>
      <c r="BZ125" s="44">
        <f>Tabelle4[[#This Row],[Industry Funding from DE (IPK)]]+Tabelle4[[#This Row],[Industry Funding from BR (IPK)]]+Tabelle4[[#This Row],[Public Funding from DE (IPK)]]+Tabelle4[[#This Row],[Public Funding from BR (IPK)]]</f>
        <v>7000</v>
      </c>
      <c r="CA125" s="44">
        <f>Tabelle4[[#This Row],[Industry Funding from DE (IPK)]]+Tabelle4[[#This Row],[Industry Funding from BR (IPK)]]</f>
        <v>7000</v>
      </c>
      <c r="CB125" s="44">
        <f>Tabelle4[[#This Row],[Public Funding from DE (IPK)]]+Tabelle4[[#This Row],[Public Funding from BR (IPK)]]</f>
        <v>0</v>
      </c>
      <c r="CC125" s="44">
        <f>Tabelle4[[#This Row],[In-kind Contribution (IPK)]]</f>
        <v>0</v>
      </c>
      <c r="CD125" s="47">
        <f>(Tabelle4[[#This Row],[Total Industry Funding (IPK)]] + Tabelle4[[#This Row],[Total Public Funding (IPK)]])/Tabelle4[[#This Row],[Total Project Volume (IPK)]]</f>
        <v>1</v>
      </c>
      <c r="CE125" s="47">
        <f>Tabelle4[[#This Row],[Total Industry Funding (IPK)]] / Tabelle4[[#This Row],[Total Project Volume (IPK)]]</f>
        <v>1</v>
      </c>
      <c r="CF125" s="33" t="str">
        <f>Tabelle4[[#This Row],[Project Funding Classification]]</f>
        <v>Industry</v>
      </c>
      <c r="CG125" s="44">
        <f>Tabelle4[[#This Row],[Industry Funding from DE (IPK)]]+Tabelle4[[#This Row],[Public Funding from DE (IPK)]]</f>
        <v>0</v>
      </c>
      <c r="CH125" s="46">
        <f>Tabelle4[[#This Row],[Industry Funding from BR (IPK)]]+Tabelle4[[#This Row],[Public Funding from BR (IPK)]]</f>
        <v>7000</v>
      </c>
      <c r="CI125" s="44">
        <f>Tabelle4[[#This Row],[Industry Funding from DE (ITA)]]+Tabelle4[[#This Row],[Industry Funding from BR (ITA)]]+Tabelle4[[#This Row],[Public Funding from DE (ITA)]]+Tabelle4[[#This Row],[Public Funding from BR (ITA)]]</f>
        <v>0</v>
      </c>
      <c r="CJ125" s="44">
        <f>Tabelle4[[#This Row],[Industry Funding from DE (ITA)]]+Tabelle4[[#This Row],[Industry Funding from BR (ITA)]]</f>
        <v>0</v>
      </c>
      <c r="CK125" s="44">
        <f>Tabelle4[[#This Row],[Public Funding from DE (ITA)]]+Tabelle4[[#This Row],[Public Funding from BR (ITA)]]</f>
        <v>0</v>
      </c>
      <c r="CL125" s="47" t="e">
        <f>Tabelle4[[#This Row],[Total Industry Funding (ITA)]]/Tabelle4[[#This Row],[Total Project Volume (ITA)]]</f>
        <v>#DIV/0!</v>
      </c>
      <c r="CM125" s="33" t="e">
        <f>IF(Tabelle4[[#This Row],[Funding Ratio (ITA)]]&lt;0.5,"Public Funding","Industry")</f>
        <v>#DIV/0!</v>
      </c>
      <c r="CN125" s="44">
        <f>Tabelle4[[#This Row],[Industry Funding from DE (ITA)]]+Tabelle4[[#This Row],[Public Funding from DE (ITA)]]</f>
        <v>0</v>
      </c>
      <c r="CO125" s="46">
        <f>Tabelle4[[#This Row],[Industry Funding from BR (ITA)]]+Tabelle4[[#This Row],[Public Funding from BR (ITA)]]</f>
        <v>0</v>
      </c>
      <c r="CP125" s="44">
        <f>Tabelle4[[#This Row],[Total Project Volume (IPK)]]+Tabelle4[[#This Row],[Total Project Volume (ITA)]]</f>
        <v>7000</v>
      </c>
      <c r="CQ125" s="44">
        <f>Tabelle4[[#This Row],[Total Industry Funding (IPK)]]+Tabelle4[[#This Row],[Total Industry Funding (ITA)]]</f>
        <v>7000</v>
      </c>
      <c r="CR125" s="44">
        <f>Tabelle4[[#This Row],[Industry Funding from DE (IPK)]]+Tabelle4[[#This Row],[Industry Funding from DE (ITA)]]</f>
        <v>0</v>
      </c>
      <c r="CS125" s="44">
        <f>Tabelle4[[#This Row],[Industry Funding from BR (IPK)]]+Tabelle4[[#This Row],[Industry Funding from BR (ITA)]]</f>
        <v>7000</v>
      </c>
      <c r="CT125" s="44">
        <f>Tabelle4[[#This Row],[Total Public Funding (IPK)]]+Tabelle4[[#This Row],[Total Public Funding (ITA)]]</f>
        <v>0</v>
      </c>
      <c r="CU125" s="44">
        <f>Tabelle4[[#This Row],[Public Funding from DE (IPK)]]+Tabelle4[[#This Row],[Public Funding from DE (ITA)]]</f>
        <v>0</v>
      </c>
      <c r="CV125" s="44">
        <f>Tabelle4[[#This Row],[Public Funding from BR (IPK)]]+Tabelle4[[#This Row],[Public Funding from BR (ITA)]]</f>
        <v>0</v>
      </c>
      <c r="CW125" s="44">
        <f>Tabelle4[[#This Row],[Industry Funding from DE (FPC)]]+Tabelle4[[#This Row],[Public Funding from DE (FPC)]]</f>
        <v>0</v>
      </c>
      <c r="CX125" s="46">
        <f>Tabelle4[[#This Row],[Industry Funding from BR (FPC)]]+Tabelle4[[#This Row],[Public Funding from BR (FPC)]]</f>
        <v>7000</v>
      </c>
      <c r="CY125" s="44">
        <f>Tabelle4[[#This Row],[Total Financial Budget (Other)]]+Tabelle4[[#This Row],[Total In-kind Contribution (Other)]]</f>
        <v>0</v>
      </c>
      <c r="CZ12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25" s="44">
        <f>Tabelle4[[#This Row],[In-kind Contribution (R&amp;D III)]]+Tabelle4[[#This Row],[In-kind Contribution (R&amp;D IV)]]</f>
        <v>0</v>
      </c>
      <c r="DB125" s="158">
        <f>Tabelle4[[#This Row],[Total Budget (FPC)]]+Tabelle4[[#This Row],[Total Volume (Other)]]</f>
        <v>7000</v>
      </c>
      <c r="DC125" s="104">
        <f>Tabelle4[[#This Row],[Total Revenues (IPK)]]</f>
        <v>7000</v>
      </c>
      <c r="DD125" s="47">
        <v>1</v>
      </c>
      <c r="DE125" s="44">
        <f>Tabelle4[[#This Row],[Total Revenues IPK]]*Tabelle4[[#This Row],[Probability of Success]]</f>
        <v>7000</v>
      </c>
      <c r="DG125" s="44">
        <v>3500</v>
      </c>
      <c r="DK125" s="47">
        <v>0</v>
      </c>
      <c r="DL125" s="44">
        <f>Tabelle4[[#This Row],[Real Budget IPK]]*Tabelle4[[#This Row],[Acquisition Factor OE810]]</f>
        <v>0</v>
      </c>
      <c r="DM125" s="44">
        <v>3500</v>
      </c>
      <c r="DN125" s="46">
        <f>Tabelle4[[#This Row],[Acquisition Bonus OE810]]+Tabelle4[[#This Row],[Project Execution OE810]]</f>
        <v>3500</v>
      </c>
    </row>
    <row r="126" spans="1:118" ht="64.5" customHeight="1" x14ac:dyDescent="0.45">
      <c r="A126" s="48" t="s">
        <v>216</v>
      </c>
      <c r="B126" s="49"/>
      <c r="C126" s="49" t="s">
        <v>214</v>
      </c>
      <c r="D126" s="49" t="s">
        <v>711</v>
      </c>
      <c r="E126" s="49"/>
      <c r="F126" s="49"/>
      <c r="G126" s="49" t="s">
        <v>1</v>
      </c>
      <c r="H126" s="49" t="s">
        <v>0</v>
      </c>
      <c r="I126" s="49"/>
      <c r="J126" s="50"/>
      <c r="K126" s="49" t="s">
        <v>246</v>
      </c>
      <c r="L126" s="49" t="s">
        <v>309</v>
      </c>
      <c r="M126" s="146"/>
      <c r="N126" s="49"/>
      <c r="O126" s="50"/>
      <c r="P126" s="50"/>
      <c r="Q126" s="49"/>
      <c r="R126" s="50"/>
      <c r="S126" s="50"/>
      <c r="T126" s="50"/>
      <c r="U126" s="50"/>
      <c r="V126" s="50"/>
      <c r="W126" s="50"/>
      <c r="X126" s="50"/>
      <c r="Y126" s="50"/>
      <c r="Z126" s="48" t="str">
        <f t="shared" si="22"/>
        <v>IPK</v>
      </c>
      <c r="AA126" s="49"/>
      <c r="AB126" s="105"/>
      <c r="AC126" s="105">
        <v>76550</v>
      </c>
      <c r="AD126" s="105"/>
      <c r="AE126" s="105"/>
      <c r="AF126" s="105"/>
      <c r="AG126" s="48" t="str">
        <f t="shared" si="21"/>
        <v>ITA</v>
      </c>
      <c r="AH126" s="49"/>
      <c r="AI126" s="49"/>
      <c r="AN126" s="101"/>
      <c r="AO126" s="49"/>
      <c r="AP126" s="49"/>
      <c r="AQ126" s="105"/>
      <c r="AR126" s="105"/>
      <c r="AS126" s="105"/>
      <c r="AT126" s="105"/>
      <c r="AU126" s="102"/>
      <c r="AV126" s="49"/>
      <c r="AW126" s="49"/>
      <c r="AX126" s="105"/>
      <c r="AY126" s="105"/>
      <c r="AZ126" s="105"/>
      <c r="BA126" s="105"/>
      <c r="BB126" s="105"/>
      <c r="BC126" s="48" t="s">
        <v>214</v>
      </c>
      <c r="BD126" s="49"/>
      <c r="BE126" s="105">
        <v>76550</v>
      </c>
      <c r="BF126" s="102"/>
      <c r="BG126" s="49"/>
      <c r="BH126" s="49"/>
      <c r="BI126" s="105"/>
      <c r="BJ126" s="102"/>
      <c r="BK126" s="49"/>
      <c r="BL126" s="49"/>
      <c r="BM126" s="105"/>
      <c r="BN126" s="102"/>
      <c r="BO126" s="49"/>
      <c r="BP126" s="49"/>
      <c r="BQ126" s="105"/>
      <c r="BR126" s="102"/>
      <c r="BS126" s="49"/>
      <c r="BT126" s="49"/>
      <c r="BU126" s="102"/>
      <c r="BV126" s="49"/>
      <c r="BW126" s="49"/>
      <c r="BX126" s="102"/>
      <c r="BY126" s="51">
        <f>Tabelle4[[#This Row],[Industry Funding from DE (IPK)]]+Tabelle4[[#This Row],[Industry Funding from BR (IPK)]]+Tabelle4[[#This Row],[Public Funding from DE (IPK)]]+Tabelle4[[#This Row],[Public Funding from BR (IPK)]]+Tabelle4[[#This Row],[In-kind Contribution (IPK)]]</f>
        <v>76550</v>
      </c>
      <c r="BZ126" s="51">
        <f>Tabelle4[[#This Row],[Industry Funding from DE (IPK)]]+Tabelle4[[#This Row],[Industry Funding from BR (IPK)]]+Tabelle4[[#This Row],[Public Funding from DE (IPK)]]+Tabelle4[[#This Row],[Public Funding from BR (IPK)]]</f>
        <v>76550</v>
      </c>
      <c r="CA126" s="51">
        <f>Tabelle4[[#This Row],[Industry Funding from DE (IPK)]]+Tabelle4[[#This Row],[Industry Funding from BR (IPK)]]</f>
        <v>76550</v>
      </c>
      <c r="CB126" s="51">
        <f>Tabelle4[[#This Row],[Public Funding from DE (IPK)]]+Tabelle4[[#This Row],[Public Funding from BR (IPK)]]</f>
        <v>0</v>
      </c>
      <c r="CC126" s="51">
        <f>Tabelle4[[#This Row],[In-kind Contribution (IPK)]]</f>
        <v>0</v>
      </c>
      <c r="CD126" s="53">
        <f>(Tabelle4[[#This Row],[Total Industry Funding (IPK)]] + Tabelle4[[#This Row],[Total Public Funding (IPK)]])/Tabelle4[[#This Row],[Total Project Volume (IPK)]]</f>
        <v>1</v>
      </c>
      <c r="CE126" s="53">
        <f>Tabelle4[[#This Row],[Total Industry Funding (IPK)]] / Tabelle4[[#This Row],[Total Project Volume (IPK)]]</f>
        <v>1</v>
      </c>
      <c r="CF126" s="49" t="str">
        <f>Tabelle4[[#This Row],[Project Funding Classification]]</f>
        <v>Industry</v>
      </c>
      <c r="CG126" s="51">
        <f>Tabelle4[[#This Row],[Industry Funding from DE (IPK)]]+Tabelle4[[#This Row],[Public Funding from DE (IPK)]]</f>
        <v>0</v>
      </c>
      <c r="CH126" s="52">
        <f>Tabelle4[[#This Row],[Industry Funding from BR (IPK)]]+Tabelle4[[#This Row],[Public Funding from BR (IPK)]]</f>
        <v>76550</v>
      </c>
      <c r="CI126" s="51">
        <f>Tabelle4[[#This Row],[Industry Funding from DE (ITA)]]+Tabelle4[[#This Row],[Industry Funding from BR (ITA)]]+Tabelle4[[#This Row],[Public Funding from DE (ITA)]]+Tabelle4[[#This Row],[Public Funding from BR (ITA)]]</f>
        <v>0</v>
      </c>
      <c r="CJ126" s="51">
        <f>Tabelle4[[#This Row],[Industry Funding from DE (ITA)]]+Tabelle4[[#This Row],[Industry Funding from BR (ITA)]]</f>
        <v>0</v>
      </c>
      <c r="CK126" s="51">
        <f>Tabelle4[[#This Row],[Public Funding from DE (ITA)]]+Tabelle4[[#This Row],[Public Funding from BR (ITA)]]</f>
        <v>0</v>
      </c>
      <c r="CL126" s="53" t="e">
        <f>Tabelle4[[#This Row],[Total Industry Funding (ITA)]]/Tabelle4[[#This Row],[Total Project Volume (ITA)]]</f>
        <v>#DIV/0!</v>
      </c>
      <c r="CM126" s="49" t="e">
        <f>IF(Tabelle4[[#This Row],[Funding Ratio (ITA)]]&lt;0.5,"Public Funding","Industry")</f>
        <v>#DIV/0!</v>
      </c>
      <c r="CN126" s="51">
        <f>Tabelle4[[#This Row],[Industry Funding from DE (ITA)]]+Tabelle4[[#This Row],[Public Funding from DE (ITA)]]</f>
        <v>0</v>
      </c>
      <c r="CO126" s="52">
        <f>Tabelle4[[#This Row],[Industry Funding from BR (ITA)]]+Tabelle4[[#This Row],[Public Funding from BR (ITA)]]</f>
        <v>0</v>
      </c>
      <c r="CP126" s="51">
        <f>Tabelle4[[#This Row],[Total Project Volume (IPK)]]+Tabelle4[[#This Row],[Total Project Volume (ITA)]]</f>
        <v>76550</v>
      </c>
      <c r="CQ126" s="51">
        <f>Tabelle4[[#This Row],[Total Industry Funding (IPK)]]+Tabelle4[[#This Row],[Total Industry Funding (ITA)]]</f>
        <v>76550</v>
      </c>
      <c r="CR126" s="51">
        <f>Tabelle4[[#This Row],[Industry Funding from DE (IPK)]]+Tabelle4[[#This Row],[Industry Funding from DE (ITA)]]</f>
        <v>0</v>
      </c>
      <c r="CS126" s="51">
        <f>Tabelle4[[#This Row],[Industry Funding from BR (IPK)]]+Tabelle4[[#This Row],[Industry Funding from BR (ITA)]]</f>
        <v>76550</v>
      </c>
      <c r="CT126" s="51">
        <f>Tabelle4[[#This Row],[Total Public Funding (IPK)]]+Tabelle4[[#This Row],[Total Public Funding (ITA)]]</f>
        <v>0</v>
      </c>
      <c r="CU126" s="51">
        <f>Tabelle4[[#This Row],[Public Funding from DE (IPK)]]+Tabelle4[[#This Row],[Public Funding from DE (ITA)]]</f>
        <v>0</v>
      </c>
      <c r="CV126" s="51">
        <f>Tabelle4[[#This Row],[Public Funding from BR (IPK)]]+Tabelle4[[#This Row],[Public Funding from BR (ITA)]]</f>
        <v>0</v>
      </c>
      <c r="CW126" s="51">
        <f>Tabelle4[[#This Row],[Industry Funding from DE (FPC)]]+Tabelle4[[#This Row],[Public Funding from DE (FPC)]]</f>
        <v>0</v>
      </c>
      <c r="CX126" s="52">
        <f>Tabelle4[[#This Row],[Industry Funding from BR (FPC)]]+Tabelle4[[#This Row],[Public Funding from BR (FPC)]]</f>
        <v>76550</v>
      </c>
      <c r="CY126" s="44">
        <f>Tabelle4[[#This Row],[Total Financial Budget (Other)]]+Tabelle4[[#This Row],[Total In-kind Contribution (Other)]]</f>
        <v>0</v>
      </c>
      <c r="CZ126"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26" s="44">
        <f>Tabelle4[[#This Row],[In-kind Contribution (R&amp;D III)]]+Tabelle4[[#This Row],[In-kind Contribution (R&amp;D IV)]]</f>
        <v>0</v>
      </c>
      <c r="DB126" s="158">
        <f>Tabelle4[[#This Row],[Total Budget (FPC)]]+Tabelle4[[#This Row],[Total Volume (Other)]]</f>
        <v>76550</v>
      </c>
      <c r="DC126" s="105">
        <f>Tabelle4[[#This Row],[Total Revenues (IPK)]]</f>
        <v>76550</v>
      </c>
      <c r="DD126" s="53">
        <v>0</v>
      </c>
      <c r="DE126" s="51">
        <f>Tabelle4[[#This Row],[Total Revenues IPK]]*Tabelle4[[#This Row],[Probability of Success]]</f>
        <v>0</v>
      </c>
      <c r="DF126" s="51"/>
      <c r="DG126" s="51"/>
      <c r="DH126" s="51"/>
      <c r="DI126" s="51"/>
      <c r="DJ126" s="51"/>
      <c r="DK126" s="53"/>
      <c r="DL126" s="51">
        <f>Tabelle4[[#This Row],[Real Budget IPK]]*Tabelle4[[#This Row],[Acquisition Factor OE810]]</f>
        <v>0</v>
      </c>
      <c r="DM126" s="51">
        <v>0</v>
      </c>
      <c r="DN126" s="52">
        <f>Tabelle4[[#This Row],[Acquisition Bonus OE810]]+Tabelle4[[#This Row],[Project Execution OE810]]</f>
        <v>0</v>
      </c>
    </row>
    <row r="127" spans="1:118" ht="47.25" customHeight="1" x14ac:dyDescent="0.45">
      <c r="A127" s="70" t="s">
        <v>683</v>
      </c>
      <c r="B127" s="33" t="s">
        <v>588</v>
      </c>
      <c r="C127" s="57" t="s">
        <v>163</v>
      </c>
      <c r="D127" s="57" t="s">
        <v>706</v>
      </c>
      <c r="E127" s="33">
        <v>1</v>
      </c>
      <c r="G127" s="33" t="s">
        <v>2</v>
      </c>
      <c r="H127" s="33" t="s">
        <v>96</v>
      </c>
      <c r="J127" s="59">
        <v>43970</v>
      </c>
      <c r="K127" s="33" t="s">
        <v>245</v>
      </c>
      <c r="L127" s="43" t="s">
        <v>651</v>
      </c>
      <c r="M127" s="145"/>
      <c r="N127" s="147"/>
      <c r="O127" s="122"/>
      <c r="P127" s="59">
        <v>43966</v>
      </c>
      <c r="Q127" s="58">
        <v>5</v>
      </c>
      <c r="U127" s="97"/>
      <c r="W127" s="59">
        <v>43966</v>
      </c>
      <c r="X127" s="59">
        <v>44086</v>
      </c>
      <c r="Z127" s="42" t="str">
        <f t="shared" si="22"/>
        <v>IPK</v>
      </c>
      <c r="AG127" s="42" t="str">
        <f t="shared" si="21"/>
        <v>ITA</v>
      </c>
      <c r="AH127" s="33" t="s">
        <v>442</v>
      </c>
      <c r="AI127" s="33" t="s">
        <v>442</v>
      </c>
      <c r="AK127" s="64"/>
      <c r="AM127" s="64">
        <f>(30000/6.3)</f>
        <v>4761.9047619047624</v>
      </c>
      <c r="AN127" s="101"/>
      <c r="AU127" s="101"/>
      <c r="BC127" s="42"/>
      <c r="BE127" s="64"/>
      <c r="BF127" s="65"/>
      <c r="BU127" s="67"/>
      <c r="BY127" s="44">
        <f>Tabelle4[[#This Row],[Industry Funding from DE (IPK)]]+Tabelle4[[#This Row],[Industry Funding from BR (IPK)]]+Tabelle4[[#This Row],[Public Funding from DE (IPK)]]+Tabelle4[[#This Row],[Public Funding from BR (IPK)]]+Tabelle4[[#This Row],[In-kind Contribution (IPK)]]</f>
        <v>0</v>
      </c>
      <c r="BZ127" s="44">
        <f>Tabelle4[[#This Row],[Industry Funding from DE (IPK)]]+Tabelle4[[#This Row],[Industry Funding from BR (IPK)]]+Tabelle4[[#This Row],[Public Funding from DE (IPK)]]+Tabelle4[[#This Row],[Public Funding from BR (IPK)]]</f>
        <v>0</v>
      </c>
      <c r="CA127" s="44">
        <f>Tabelle4[[#This Row],[Industry Funding from DE (IPK)]]+Tabelle4[[#This Row],[Industry Funding from BR (IPK)]]</f>
        <v>0</v>
      </c>
      <c r="CB127" s="44">
        <f>Tabelle4[[#This Row],[Public Funding from DE (IPK)]]+Tabelle4[[#This Row],[Public Funding from BR (IPK)]]</f>
        <v>0</v>
      </c>
      <c r="CC127" s="44">
        <f>Tabelle4[[#This Row],[In-kind Contribution (IPK)]]</f>
        <v>0</v>
      </c>
      <c r="CD127" s="47" t="e">
        <f>(Tabelle4[[#This Row],[Total Industry Funding (IPK)]] + Tabelle4[[#This Row],[Total Public Funding (IPK)]])/Tabelle4[[#This Row],[Total Project Volume (IPK)]]</f>
        <v>#DIV/0!</v>
      </c>
      <c r="CE127" s="47" t="e">
        <f>Tabelle4[[#This Row],[Total Industry Funding (IPK)]] / Tabelle4[[#This Row],[Total Project Volume (IPK)]]</f>
        <v>#DIV/0!</v>
      </c>
      <c r="CF127" s="33" t="str">
        <f>Tabelle4[[#This Row],[Project Funding Classification]]</f>
        <v>Public Funding</v>
      </c>
      <c r="CG127" s="44">
        <f>Tabelle4[[#This Row],[Industry Funding from DE (IPK)]]+Tabelle4[[#This Row],[Public Funding from DE (IPK)]]</f>
        <v>0</v>
      </c>
      <c r="CH127" s="46">
        <f>Tabelle4[[#This Row],[Industry Funding from BR (IPK)]]+Tabelle4[[#This Row],[Public Funding from BR (IPK)]]</f>
        <v>0</v>
      </c>
      <c r="CI127" s="44">
        <f>Tabelle4[[#This Row],[Industry Funding from DE (ITA)]]+Tabelle4[[#This Row],[Industry Funding from BR (ITA)]]+Tabelle4[[#This Row],[Public Funding from DE (ITA)]]+Tabelle4[[#This Row],[Public Funding from BR (ITA)]]</f>
        <v>4761.9047619047624</v>
      </c>
      <c r="CJ127" s="44">
        <f>Tabelle4[[#This Row],[Industry Funding from DE (ITA)]]+Tabelle4[[#This Row],[Industry Funding from BR (ITA)]]</f>
        <v>0</v>
      </c>
      <c r="CK127" s="44">
        <f>Tabelle4[[#This Row],[Public Funding from DE (ITA)]]+Tabelle4[[#This Row],[Public Funding from BR (ITA)]]</f>
        <v>4761.9047619047624</v>
      </c>
      <c r="CL127" s="47">
        <f>Tabelle4[[#This Row],[Total Industry Funding (ITA)]]/Tabelle4[[#This Row],[Total Project Volume (ITA)]]</f>
        <v>0</v>
      </c>
      <c r="CM127" s="33" t="str">
        <f>IF(Tabelle4[[#This Row],[Funding Ratio (ITA)]]&lt;0.5,"Public Funding","Industry")</f>
        <v>Public Funding</v>
      </c>
      <c r="CN127" s="44">
        <f>Tabelle4[[#This Row],[Industry Funding from DE (ITA)]]+Tabelle4[[#This Row],[Public Funding from DE (ITA)]]</f>
        <v>0</v>
      </c>
      <c r="CO127" s="46">
        <f>Tabelle4[[#This Row],[Industry Funding from BR (ITA)]]+Tabelle4[[#This Row],[Public Funding from BR (ITA)]]</f>
        <v>4761.9047619047624</v>
      </c>
      <c r="CP127" s="44">
        <f>Tabelle4[[#This Row],[Total Project Volume (IPK)]]+Tabelle4[[#This Row],[Total Project Volume (ITA)]]</f>
        <v>4761.9047619047624</v>
      </c>
      <c r="CQ127" s="44">
        <f>Tabelle4[[#This Row],[Total Industry Funding (IPK)]]+Tabelle4[[#This Row],[Total Industry Funding (ITA)]]</f>
        <v>0</v>
      </c>
      <c r="CR127" s="44">
        <f>Tabelle4[[#This Row],[Industry Funding from DE (IPK)]]+Tabelle4[[#This Row],[Industry Funding from DE (ITA)]]</f>
        <v>0</v>
      </c>
      <c r="CS127" s="44">
        <f>Tabelle4[[#This Row],[Industry Funding from BR (IPK)]]+Tabelle4[[#This Row],[Industry Funding from BR (ITA)]]</f>
        <v>0</v>
      </c>
      <c r="CT127" s="44">
        <f>Tabelle4[[#This Row],[Total Public Funding (IPK)]]+Tabelle4[[#This Row],[Total Public Funding (ITA)]]</f>
        <v>4761.9047619047624</v>
      </c>
      <c r="CU127" s="44">
        <f>Tabelle4[[#This Row],[Public Funding from DE (IPK)]]+Tabelle4[[#This Row],[Public Funding from DE (ITA)]]</f>
        <v>0</v>
      </c>
      <c r="CV127" s="44">
        <f>Tabelle4[[#This Row],[Public Funding from BR (IPK)]]+Tabelle4[[#This Row],[Public Funding from BR (ITA)]]</f>
        <v>4761.9047619047624</v>
      </c>
      <c r="CW127" s="44">
        <f>Tabelle4[[#This Row],[Industry Funding from DE (FPC)]]+Tabelle4[[#This Row],[Public Funding from DE (FPC)]]</f>
        <v>0</v>
      </c>
      <c r="CX127" s="46">
        <f>Tabelle4[[#This Row],[Industry Funding from BR (FPC)]]+Tabelle4[[#This Row],[Public Funding from BR (FPC)]]</f>
        <v>4761.9047619047624</v>
      </c>
      <c r="CY127" s="44">
        <f>Tabelle4[[#This Row],[Total Financial Budget (Other)]]+Tabelle4[[#This Row],[Total In-kind Contribution (Other)]]</f>
        <v>0</v>
      </c>
      <c r="CZ12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27" s="44">
        <f>Tabelle4[[#This Row],[In-kind Contribution (R&amp;D III)]]+Tabelle4[[#This Row],[In-kind Contribution (R&amp;D IV)]]</f>
        <v>0</v>
      </c>
      <c r="DB127" s="158">
        <f>Tabelle4[[#This Row],[Total Budget (FPC)]]+Tabelle4[[#This Row],[Total Volume (Other)]]</f>
        <v>4761.9047619047624</v>
      </c>
      <c r="DC127" s="104">
        <f>Tabelle4[[#This Row],[Total Revenues (IPK)]]</f>
        <v>0</v>
      </c>
      <c r="DE127" s="44">
        <f>Tabelle4[[#This Row],[Total Revenues IPK]]*Tabelle4[[#This Row],[Probability of Success]]</f>
        <v>0</v>
      </c>
      <c r="DL127" s="44">
        <f>Tabelle4[[#This Row],[Real Budget IPK]]*Tabelle4[[#This Row],[Acquisition Factor OE810]]</f>
        <v>0</v>
      </c>
      <c r="DN127" s="46">
        <f>Tabelle4[[#This Row],[Acquisition Bonus OE810]]+Tabelle4[[#This Row],[Project Execution OE810]]</f>
        <v>0</v>
      </c>
    </row>
    <row r="128" spans="1:118" ht="47.25" customHeight="1" x14ac:dyDescent="0.45">
      <c r="A128" s="42" t="s">
        <v>457</v>
      </c>
      <c r="C128" s="33" t="s">
        <v>163</v>
      </c>
      <c r="D128" s="33" t="s">
        <v>709</v>
      </c>
      <c r="G128" s="33" t="s">
        <v>1</v>
      </c>
      <c r="H128" s="33" t="s">
        <v>0</v>
      </c>
      <c r="J128" s="59" t="s">
        <v>458</v>
      </c>
      <c r="K128" s="33" t="s">
        <v>246</v>
      </c>
      <c r="U128" s="59" t="s">
        <v>458</v>
      </c>
      <c r="Y128" s="59">
        <v>43767</v>
      </c>
      <c r="Z128" s="42" t="str">
        <f t="shared" si="22"/>
        <v>IPK</v>
      </c>
      <c r="AA128" s="33" t="s">
        <v>459</v>
      </c>
      <c r="AB128" s="104"/>
      <c r="AC128" s="104">
        <v>77000</v>
      </c>
      <c r="AD128" s="104"/>
      <c r="AE128" s="104"/>
      <c r="AF128" s="104"/>
      <c r="AG128" s="42" t="str">
        <f t="shared" si="21"/>
        <v>ITA</v>
      </c>
      <c r="AN128" s="101"/>
      <c r="AQ128" s="104"/>
      <c r="AR128" s="104"/>
      <c r="AS128" s="104"/>
      <c r="AT128" s="104"/>
      <c r="AU128" s="101"/>
      <c r="AX128" s="104"/>
      <c r="AY128" s="104"/>
      <c r="AZ128" s="104"/>
      <c r="BA128" s="104"/>
      <c r="BB128" s="104"/>
      <c r="BC128" s="42" t="s">
        <v>163</v>
      </c>
      <c r="BD128" s="33" t="s">
        <v>460</v>
      </c>
      <c r="BE128" s="104">
        <v>77000</v>
      </c>
      <c r="BF128" s="101"/>
      <c r="BI128" s="104"/>
      <c r="BJ128" s="101"/>
      <c r="BM128" s="104"/>
      <c r="BN128" s="101"/>
      <c r="BQ128" s="104"/>
      <c r="BR128" s="101"/>
      <c r="BU128" s="101"/>
      <c r="BX128" s="101"/>
      <c r="BY128" s="44">
        <f>Tabelle4[[#This Row],[Industry Funding from DE (IPK)]]+Tabelle4[[#This Row],[Industry Funding from BR (IPK)]]+Tabelle4[[#This Row],[Public Funding from DE (IPK)]]+Tabelle4[[#This Row],[Public Funding from BR (IPK)]]+Tabelle4[[#This Row],[In-kind Contribution (IPK)]]</f>
        <v>77000</v>
      </c>
      <c r="BZ128" s="44">
        <f>Tabelle4[[#This Row],[Industry Funding from DE (IPK)]]+Tabelle4[[#This Row],[Industry Funding from BR (IPK)]]+Tabelle4[[#This Row],[Public Funding from DE (IPK)]]+Tabelle4[[#This Row],[Public Funding from BR (IPK)]]</f>
        <v>77000</v>
      </c>
      <c r="CA128" s="44">
        <f>Tabelle4[[#This Row],[Industry Funding from DE (IPK)]]+Tabelle4[[#This Row],[Industry Funding from BR (IPK)]]</f>
        <v>77000</v>
      </c>
      <c r="CB128" s="44">
        <f>Tabelle4[[#This Row],[Public Funding from DE (IPK)]]+Tabelle4[[#This Row],[Public Funding from BR (IPK)]]</f>
        <v>0</v>
      </c>
      <c r="CC128" s="44">
        <f>Tabelle4[[#This Row],[In-kind Contribution (IPK)]]</f>
        <v>0</v>
      </c>
      <c r="CD128" s="47">
        <f>(Tabelle4[[#This Row],[Total Industry Funding (IPK)]] + Tabelle4[[#This Row],[Total Public Funding (IPK)]])/Tabelle4[[#This Row],[Total Project Volume (IPK)]]</f>
        <v>1</v>
      </c>
      <c r="CE128" s="47">
        <f>Tabelle4[[#This Row],[Total Industry Funding (IPK)]] / Tabelle4[[#This Row],[Total Project Volume (IPK)]]</f>
        <v>1</v>
      </c>
      <c r="CF128" s="33" t="str">
        <f>Tabelle4[[#This Row],[Project Funding Classification]]</f>
        <v>Industry</v>
      </c>
      <c r="CG128" s="44">
        <f>Tabelle4[[#This Row],[Industry Funding from DE (IPK)]]+Tabelle4[[#This Row],[Public Funding from DE (IPK)]]</f>
        <v>0</v>
      </c>
      <c r="CH128" s="46">
        <f>Tabelle4[[#This Row],[Industry Funding from BR (IPK)]]+Tabelle4[[#This Row],[Public Funding from BR (IPK)]]</f>
        <v>77000</v>
      </c>
      <c r="CI128" s="44">
        <f>Tabelle4[[#This Row],[Industry Funding from DE (ITA)]]+Tabelle4[[#This Row],[Industry Funding from BR (ITA)]]+Tabelle4[[#This Row],[Public Funding from DE (ITA)]]+Tabelle4[[#This Row],[Public Funding from BR (ITA)]]</f>
        <v>0</v>
      </c>
      <c r="CJ128" s="44">
        <f>Tabelle4[[#This Row],[Industry Funding from DE (ITA)]]+Tabelle4[[#This Row],[Industry Funding from BR (ITA)]]</f>
        <v>0</v>
      </c>
      <c r="CK128" s="44">
        <f>Tabelle4[[#This Row],[Public Funding from DE (ITA)]]+Tabelle4[[#This Row],[Public Funding from BR (ITA)]]</f>
        <v>0</v>
      </c>
      <c r="CL128" s="47" t="e">
        <f>Tabelle4[[#This Row],[Total Industry Funding (ITA)]]/Tabelle4[[#This Row],[Total Project Volume (ITA)]]</f>
        <v>#DIV/0!</v>
      </c>
      <c r="CM128" s="33" t="e">
        <f>IF(Tabelle4[[#This Row],[Funding Ratio (ITA)]]&lt;0.5,"Public Funding","Industry")</f>
        <v>#DIV/0!</v>
      </c>
      <c r="CN128" s="44">
        <f>Tabelle4[[#This Row],[Industry Funding from DE (ITA)]]+Tabelle4[[#This Row],[Public Funding from DE (ITA)]]</f>
        <v>0</v>
      </c>
      <c r="CO128" s="46">
        <f>Tabelle4[[#This Row],[Industry Funding from BR (ITA)]]+Tabelle4[[#This Row],[Public Funding from BR (ITA)]]</f>
        <v>0</v>
      </c>
      <c r="CP128" s="44">
        <f>Tabelle4[[#This Row],[Total Project Volume (IPK)]]+Tabelle4[[#This Row],[Total Project Volume (ITA)]]</f>
        <v>77000</v>
      </c>
      <c r="CQ128" s="44">
        <f>Tabelle4[[#This Row],[Total Industry Funding (IPK)]]+Tabelle4[[#This Row],[Total Industry Funding (ITA)]]</f>
        <v>77000</v>
      </c>
      <c r="CR128" s="44">
        <f>Tabelle4[[#This Row],[Industry Funding from DE (IPK)]]+Tabelle4[[#This Row],[Industry Funding from DE (ITA)]]</f>
        <v>0</v>
      </c>
      <c r="CS128" s="44">
        <f>Tabelle4[[#This Row],[Industry Funding from BR (IPK)]]+Tabelle4[[#This Row],[Industry Funding from BR (ITA)]]</f>
        <v>77000</v>
      </c>
      <c r="CT128" s="44">
        <f>Tabelle4[[#This Row],[Total Public Funding (IPK)]]+Tabelle4[[#This Row],[Total Public Funding (ITA)]]</f>
        <v>0</v>
      </c>
      <c r="CU128" s="44">
        <f>Tabelle4[[#This Row],[Public Funding from DE (IPK)]]+Tabelle4[[#This Row],[Public Funding from DE (ITA)]]</f>
        <v>0</v>
      </c>
      <c r="CV128" s="44">
        <f>Tabelle4[[#This Row],[Public Funding from BR (IPK)]]+Tabelle4[[#This Row],[Public Funding from BR (ITA)]]</f>
        <v>0</v>
      </c>
      <c r="CW128" s="44">
        <f>Tabelle4[[#This Row],[Industry Funding from DE (FPC)]]+Tabelle4[[#This Row],[Public Funding from DE (FPC)]]</f>
        <v>0</v>
      </c>
      <c r="CX128" s="46">
        <f>Tabelle4[[#This Row],[Industry Funding from BR (FPC)]]+Tabelle4[[#This Row],[Public Funding from BR (FPC)]]</f>
        <v>77000</v>
      </c>
      <c r="CY128" s="44">
        <f>Tabelle4[[#This Row],[Total Financial Budget (Other)]]+Tabelle4[[#This Row],[Total In-kind Contribution (Other)]]</f>
        <v>0</v>
      </c>
      <c r="CZ12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28" s="44">
        <f>Tabelle4[[#This Row],[In-kind Contribution (R&amp;D III)]]+Tabelle4[[#This Row],[In-kind Contribution (R&amp;D IV)]]</f>
        <v>0</v>
      </c>
      <c r="DB128" s="158">
        <f>Tabelle4[[#This Row],[Total Budget (FPC)]]+Tabelle4[[#This Row],[Total Volume (Other)]]</f>
        <v>77000</v>
      </c>
      <c r="DC128" s="104">
        <f>Tabelle4[[#This Row],[Total Revenues (IPK)]]</f>
        <v>77000</v>
      </c>
      <c r="DE128" s="44">
        <f>Tabelle4[[#This Row],[Total Revenues IPK]]*Tabelle4[[#This Row],[Probability of Success]]</f>
        <v>0</v>
      </c>
      <c r="DL128" s="44">
        <f>Tabelle4[[#This Row],[Real Budget IPK]]*Tabelle4[[#This Row],[Acquisition Factor OE810]]</f>
        <v>0</v>
      </c>
      <c r="DN128" s="46">
        <f>Tabelle4[[#This Row],[Acquisition Bonus OE810]]+Tabelle4[[#This Row],[Project Execution OE810]]</f>
        <v>0</v>
      </c>
    </row>
    <row r="129" spans="1:118" ht="47.25" customHeight="1" x14ac:dyDescent="0.45">
      <c r="A129" s="48" t="s">
        <v>201</v>
      </c>
      <c r="B129" s="49"/>
      <c r="C129" s="49" t="s">
        <v>155</v>
      </c>
      <c r="D129" s="49" t="s">
        <v>709</v>
      </c>
      <c r="E129" s="49"/>
      <c r="F129" s="49"/>
      <c r="G129" s="49" t="s">
        <v>1</v>
      </c>
      <c r="H129" s="49" t="s">
        <v>0</v>
      </c>
      <c r="I129" s="49"/>
      <c r="J129" s="50"/>
      <c r="K129" s="49" t="s">
        <v>246</v>
      </c>
      <c r="L129" s="49"/>
      <c r="M129" s="146"/>
      <c r="N129" s="49"/>
      <c r="O129" s="50"/>
      <c r="P129" s="50"/>
      <c r="Q129" s="49"/>
      <c r="R129" s="50"/>
      <c r="S129" s="50"/>
      <c r="T129" s="50"/>
      <c r="U129" s="50"/>
      <c r="V129" s="50"/>
      <c r="W129" s="50"/>
      <c r="X129" s="50"/>
      <c r="Y129" s="50"/>
      <c r="Z129" s="48" t="str">
        <f t="shared" si="22"/>
        <v>IPK</v>
      </c>
      <c r="AA129" s="49"/>
      <c r="AB129" s="62"/>
      <c r="AC129" s="62">
        <v>105750</v>
      </c>
      <c r="AD129" s="62"/>
      <c r="AE129" s="62"/>
      <c r="AF129" s="62"/>
      <c r="AG129" s="48" t="str">
        <f t="shared" si="21"/>
        <v>ITA</v>
      </c>
      <c r="AH129" s="49"/>
      <c r="AI129" s="49"/>
      <c r="AN129" s="101"/>
      <c r="AO129" s="49"/>
      <c r="AP129" s="49"/>
      <c r="AQ129" s="62"/>
      <c r="AR129" s="62"/>
      <c r="AS129" s="62"/>
      <c r="AT129" s="62"/>
      <c r="AU129" s="66"/>
      <c r="AV129" s="49"/>
      <c r="AW129" s="49"/>
      <c r="AX129" s="62"/>
      <c r="AY129" s="62"/>
      <c r="AZ129" s="62"/>
      <c r="BA129" s="62"/>
      <c r="BB129" s="62"/>
      <c r="BC129" s="48" t="s">
        <v>155</v>
      </c>
      <c r="BD129" s="49"/>
      <c r="BE129" s="62">
        <v>105750</v>
      </c>
      <c r="BF129" s="66"/>
      <c r="BG129" s="49"/>
      <c r="BH129" s="49"/>
      <c r="BI129" s="62"/>
      <c r="BJ129" s="66"/>
      <c r="BK129" s="49"/>
      <c r="BL129" s="49"/>
      <c r="BM129" s="62"/>
      <c r="BN129" s="66"/>
      <c r="BO129" s="49"/>
      <c r="BP129" s="49"/>
      <c r="BQ129" s="62"/>
      <c r="BR129" s="66"/>
      <c r="BS129" s="49"/>
      <c r="BT129" s="49"/>
      <c r="BU129" s="66"/>
      <c r="BV129" s="49"/>
      <c r="BW129" s="49"/>
      <c r="BX129" s="66"/>
      <c r="BY129" s="51">
        <f>Tabelle4[[#This Row],[Industry Funding from DE (IPK)]]+Tabelle4[[#This Row],[Industry Funding from BR (IPK)]]+Tabelle4[[#This Row],[Public Funding from DE (IPK)]]+Tabelle4[[#This Row],[Public Funding from BR (IPK)]]+Tabelle4[[#This Row],[In-kind Contribution (IPK)]]</f>
        <v>105750</v>
      </c>
      <c r="BZ129" s="51">
        <f>Tabelle4[[#This Row],[Industry Funding from DE (IPK)]]+Tabelle4[[#This Row],[Industry Funding from BR (IPK)]]+Tabelle4[[#This Row],[Public Funding from DE (IPK)]]+Tabelle4[[#This Row],[Public Funding from BR (IPK)]]</f>
        <v>105750</v>
      </c>
      <c r="CA129" s="51">
        <f>Tabelle4[[#This Row],[Industry Funding from DE (IPK)]]+Tabelle4[[#This Row],[Industry Funding from BR (IPK)]]</f>
        <v>105750</v>
      </c>
      <c r="CB129" s="51">
        <f>Tabelle4[[#This Row],[Public Funding from DE (IPK)]]+Tabelle4[[#This Row],[Public Funding from BR (IPK)]]</f>
        <v>0</v>
      </c>
      <c r="CC129" s="51">
        <f>Tabelle4[[#This Row],[In-kind Contribution (IPK)]]</f>
        <v>0</v>
      </c>
      <c r="CD129" s="53">
        <f>(Tabelle4[[#This Row],[Total Industry Funding (IPK)]] + Tabelle4[[#This Row],[Total Public Funding (IPK)]])/Tabelle4[[#This Row],[Total Project Volume (IPK)]]</f>
        <v>1</v>
      </c>
      <c r="CE129" s="53">
        <f>Tabelle4[[#This Row],[Total Industry Funding (IPK)]] / Tabelle4[[#This Row],[Total Project Volume (IPK)]]</f>
        <v>1</v>
      </c>
      <c r="CF129" s="49" t="str">
        <f>Tabelle4[[#This Row],[Project Funding Classification]]</f>
        <v>Industry</v>
      </c>
      <c r="CG129" s="51">
        <f>Tabelle4[[#This Row],[Industry Funding from DE (IPK)]]+Tabelle4[[#This Row],[Public Funding from DE (IPK)]]</f>
        <v>0</v>
      </c>
      <c r="CH129" s="52">
        <f>Tabelle4[[#This Row],[Industry Funding from BR (IPK)]]+Tabelle4[[#This Row],[Public Funding from BR (IPK)]]</f>
        <v>105750</v>
      </c>
      <c r="CI129" s="51">
        <f>Tabelle4[[#This Row],[Industry Funding from DE (ITA)]]+Tabelle4[[#This Row],[Industry Funding from BR (ITA)]]+Tabelle4[[#This Row],[Public Funding from DE (ITA)]]+Tabelle4[[#This Row],[Public Funding from BR (ITA)]]</f>
        <v>0</v>
      </c>
      <c r="CJ129" s="51">
        <f>Tabelle4[[#This Row],[Industry Funding from DE (ITA)]]+Tabelle4[[#This Row],[Industry Funding from BR (ITA)]]</f>
        <v>0</v>
      </c>
      <c r="CK129" s="51">
        <f>Tabelle4[[#This Row],[Public Funding from DE (ITA)]]+Tabelle4[[#This Row],[Public Funding from BR (ITA)]]</f>
        <v>0</v>
      </c>
      <c r="CL129" s="53" t="e">
        <f>Tabelle4[[#This Row],[Total Industry Funding (ITA)]]/Tabelle4[[#This Row],[Total Project Volume (ITA)]]</f>
        <v>#DIV/0!</v>
      </c>
      <c r="CM129" s="49" t="e">
        <f>IF(Tabelle4[[#This Row],[Funding Ratio (ITA)]]&lt;0.5,"Public Funding","Industry")</f>
        <v>#DIV/0!</v>
      </c>
      <c r="CN129" s="51">
        <f>Tabelle4[[#This Row],[Industry Funding from DE (ITA)]]+Tabelle4[[#This Row],[Public Funding from DE (ITA)]]</f>
        <v>0</v>
      </c>
      <c r="CO129" s="52">
        <f>Tabelle4[[#This Row],[Industry Funding from BR (ITA)]]+Tabelle4[[#This Row],[Public Funding from BR (ITA)]]</f>
        <v>0</v>
      </c>
      <c r="CP129" s="51">
        <f>Tabelle4[[#This Row],[Total Project Volume (IPK)]]+Tabelle4[[#This Row],[Total Project Volume (ITA)]]</f>
        <v>105750</v>
      </c>
      <c r="CQ129" s="51">
        <f>Tabelle4[[#This Row],[Total Industry Funding (IPK)]]+Tabelle4[[#This Row],[Total Industry Funding (ITA)]]</f>
        <v>105750</v>
      </c>
      <c r="CR129" s="51">
        <f>Tabelle4[[#This Row],[Industry Funding from DE (IPK)]]+Tabelle4[[#This Row],[Industry Funding from DE (ITA)]]</f>
        <v>0</v>
      </c>
      <c r="CS129" s="51">
        <f>Tabelle4[[#This Row],[Industry Funding from BR (IPK)]]+Tabelle4[[#This Row],[Industry Funding from BR (ITA)]]</f>
        <v>105750</v>
      </c>
      <c r="CT129" s="51">
        <f>Tabelle4[[#This Row],[Total Public Funding (IPK)]]+Tabelle4[[#This Row],[Total Public Funding (ITA)]]</f>
        <v>0</v>
      </c>
      <c r="CU129" s="51">
        <f>Tabelle4[[#This Row],[Public Funding from DE (IPK)]]+Tabelle4[[#This Row],[Public Funding from DE (ITA)]]</f>
        <v>0</v>
      </c>
      <c r="CV129" s="51">
        <f>Tabelle4[[#This Row],[Public Funding from BR (IPK)]]+Tabelle4[[#This Row],[Public Funding from BR (ITA)]]</f>
        <v>0</v>
      </c>
      <c r="CW129" s="51">
        <f>Tabelle4[[#This Row],[Industry Funding from DE (FPC)]]+Tabelle4[[#This Row],[Public Funding from DE (FPC)]]</f>
        <v>0</v>
      </c>
      <c r="CX129" s="52">
        <f>Tabelle4[[#This Row],[Industry Funding from BR (FPC)]]+Tabelle4[[#This Row],[Public Funding from BR (FPC)]]</f>
        <v>105750</v>
      </c>
      <c r="CY129" s="44">
        <f>Tabelle4[[#This Row],[Total Financial Budget (Other)]]+Tabelle4[[#This Row],[Total In-kind Contribution (Other)]]</f>
        <v>0</v>
      </c>
      <c r="CZ129"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29" s="44">
        <f>Tabelle4[[#This Row],[In-kind Contribution (R&amp;D III)]]+Tabelle4[[#This Row],[In-kind Contribution (R&amp;D IV)]]</f>
        <v>0</v>
      </c>
      <c r="DB129" s="158">
        <f>Tabelle4[[#This Row],[Total Budget (FPC)]]+Tabelle4[[#This Row],[Total Volume (Other)]]</f>
        <v>105750</v>
      </c>
      <c r="DC129" s="105">
        <f>Tabelle4[[#This Row],[Total Revenues (IPK)]]</f>
        <v>105750</v>
      </c>
      <c r="DD129" s="53">
        <v>0</v>
      </c>
      <c r="DE129" s="51">
        <f>Tabelle4[[#This Row],[Total Revenues IPK]]*Tabelle4[[#This Row],[Probability of Success]]</f>
        <v>0</v>
      </c>
      <c r="DF129" s="51"/>
      <c r="DG129" s="51"/>
      <c r="DH129" s="51"/>
      <c r="DI129" s="51"/>
      <c r="DJ129" s="51"/>
      <c r="DK129" s="53"/>
      <c r="DL129" s="51">
        <f>Tabelle4[[#This Row],[Real Budget IPK]]*Tabelle4[[#This Row],[Acquisition Factor OE810]]</f>
        <v>0</v>
      </c>
      <c r="DM129" s="51">
        <v>0</v>
      </c>
      <c r="DN129" s="52">
        <f>Tabelle4[[#This Row],[Acquisition Bonus OE810]]+Tabelle4[[#This Row],[Project Execution OE810]]</f>
        <v>0</v>
      </c>
    </row>
    <row r="130" spans="1:118" ht="47.25" customHeight="1" x14ac:dyDescent="0.45">
      <c r="A130" s="70" t="s">
        <v>211</v>
      </c>
      <c r="B130" s="49"/>
      <c r="C130" s="49" t="s">
        <v>210</v>
      </c>
      <c r="D130" s="49" t="s">
        <v>705</v>
      </c>
      <c r="E130" s="49"/>
      <c r="F130" s="49"/>
      <c r="G130" s="49" t="s">
        <v>2</v>
      </c>
      <c r="H130" s="49" t="s">
        <v>96</v>
      </c>
      <c r="I130" s="33" t="s">
        <v>454</v>
      </c>
      <c r="J130" s="50"/>
      <c r="K130" s="49" t="s">
        <v>246</v>
      </c>
      <c r="L130" s="49" t="s">
        <v>309</v>
      </c>
      <c r="M130" s="146"/>
      <c r="N130" s="49"/>
      <c r="O130" s="50"/>
      <c r="P130" s="50"/>
      <c r="Q130" s="49"/>
      <c r="R130" s="50"/>
      <c r="S130" s="50"/>
      <c r="T130" s="50"/>
      <c r="U130" s="50"/>
      <c r="V130" s="50"/>
      <c r="W130" s="50"/>
      <c r="X130" s="50"/>
      <c r="Y130" s="50">
        <v>43745</v>
      </c>
      <c r="Z130" s="48" t="str">
        <f t="shared" si="22"/>
        <v>IPK</v>
      </c>
      <c r="AA130" s="49"/>
      <c r="AB130" s="105"/>
      <c r="AC130" s="105"/>
      <c r="AD130" s="105"/>
      <c r="AE130" s="105"/>
      <c r="AF130" s="105"/>
      <c r="AG130" s="48" t="str">
        <f t="shared" si="21"/>
        <v>ITA</v>
      </c>
      <c r="AH130" s="33" t="s">
        <v>423</v>
      </c>
      <c r="AI130" s="33" t="s">
        <v>130</v>
      </c>
      <c r="AM130" s="104">
        <v>1485088</v>
      </c>
      <c r="AN130" s="101"/>
      <c r="AO130" s="49"/>
      <c r="AP130" s="49"/>
      <c r="AQ130" s="105"/>
      <c r="AR130" s="105"/>
      <c r="AS130" s="105"/>
      <c r="AT130" s="105"/>
      <c r="AU130" s="102"/>
      <c r="AV130" s="49"/>
      <c r="AW130" s="49"/>
      <c r="AX130" s="105"/>
      <c r="AY130" s="105"/>
      <c r="AZ130" s="105"/>
      <c r="BA130" s="105"/>
      <c r="BB130" s="105"/>
      <c r="BC130" s="48"/>
      <c r="BD130" s="49"/>
      <c r="BE130" s="105"/>
      <c r="BF130" s="102"/>
      <c r="BG130" s="49"/>
      <c r="BH130" s="49"/>
      <c r="BI130" s="105"/>
      <c r="BJ130" s="102"/>
      <c r="BK130" s="49"/>
      <c r="BL130" s="49"/>
      <c r="BM130" s="105"/>
      <c r="BN130" s="102"/>
      <c r="BO130" s="49"/>
      <c r="BP130" s="49"/>
      <c r="BQ130" s="105"/>
      <c r="BR130" s="102"/>
      <c r="BS130" s="49" t="s">
        <v>210</v>
      </c>
      <c r="BT130" s="49"/>
      <c r="BU130" s="102">
        <v>1485088</v>
      </c>
      <c r="BV130" s="49"/>
      <c r="BW130" s="49"/>
      <c r="BX130" s="102"/>
      <c r="BY130" s="51">
        <f>Tabelle4[[#This Row],[Industry Funding from DE (IPK)]]+Tabelle4[[#This Row],[Industry Funding from BR (IPK)]]+Tabelle4[[#This Row],[Public Funding from DE (IPK)]]+Tabelle4[[#This Row],[Public Funding from BR (IPK)]]+Tabelle4[[#This Row],[In-kind Contribution (IPK)]]</f>
        <v>0</v>
      </c>
      <c r="BZ130" s="51">
        <f>Tabelle4[[#This Row],[Industry Funding from DE (IPK)]]+Tabelle4[[#This Row],[Industry Funding from BR (IPK)]]+Tabelle4[[#This Row],[Public Funding from DE (IPK)]]+Tabelle4[[#This Row],[Public Funding from BR (IPK)]]</f>
        <v>0</v>
      </c>
      <c r="CA130" s="51">
        <f>Tabelle4[[#This Row],[Industry Funding from DE (IPK)]]+Tabelle4[[#This Row],[Industry Funding from BR (IPK)]]</f>
        <v>0</v>
      </c>
      <c r="CB130" s="51">
        <f>Tabelle4[[#This Row],[Public Funding from DE (IPK)]]+Tabelle4[[#This Row],[Public Funding from BR (IPK)]]</f>
        <v>0</v>
      </c>
      <c r="CC130" s="51">
        <f>Tabelle4[[#This Row],[In-kind Contribution (IPK)]]</f>
        <v>0</v>
      </c>
      <c r="CD130" s="53" t="e">
        <f>(Tabelle4[[#This Row],[Total Industry Funding (IPK)]] + Tabelle4[[#This Row],[Total Public Funding (IPK)]])/Tabelle4[[#This Row],[Total Project Volume (IPK)]]</f>
        <v>#DIV/0!</v>
      </c>
      <c r="CE130" s="53" t="e">
        <f>Tabelle4[[#This Row],[Total Industry Funding (IPK)]] / Tabelle4[[#This Row],[Total Project Volume (IPK)]]</f>
        <v>#DIV/0!</v>
      </c>
      <c r="CF130" s="49" t="str">
        <f>Tabelle4[[#This Row],[Project Funding Classification]]</f>
        <v>Public Funding</v>
      </c>
      <c r="CG130" s="51">
        <f>Tabelle4[[#This Row],[Industry Funding from DE (IPK)]]+Tabelle4[[#This Row],[Public Funding from DE (IPK)]]</f>
        <v>0</v>
      </c>
      <c r="CH130" s="52">
        <f>Tabelle4[[#This Row],[Industry Funding from BR (IPK)]]+Tabelle4[[#This Row],[Public Funding from BR (IPK)]]</f>
        <v>0</v>
      </c>
      <c r="CI130" s="51">
        <f>Tabelle4[[#This Row],[Industry Funding from DE (ITA)]]+Tabelle4[[#This Row],[Industry Funding from BR (ITA)]]+Tabelle4[[#This Row],[Public Funding from DE (ITA)]]+Tabelle4[[#This Row],[Public Funding from BR (ITA)]]</f>
        <v>1485088</v>
      </c>
      <c r="CJ130" s="51">
        <f>Tabelle4[[#This Row],[Industry Funding from DE (ITA)]]+Tabelle4[[#This Row],[Industry Funding from BR (ITA)]]</f>
        <v>0</v>
      </c>
      <c r="CK130" s="51">
        <f>Tabelle4[[#This Row],[Public Funding from DE (ITA)]]+Tabelle4[[#This Row],[Public Funding from BR (ITA)]]</f>
        <v>1485088</v>
      </c>
      <c r="CL130" s="53">
        <f>Tabelle4[[#This Row],[Total Industry Funding (ITA)]]/Tabelle4[[#This Row],[Total Project Volume (ITA)]]</f>
        <v>0</v>
      </c>
      <c r="CM130" s="49" t="str">
        <f>IF(Tabelle4[[#This Row],[Funding Ratio (ITA)]]&lt;0.5,"Public Funding","Industry")</f>
        <v>Public Funding</v>
      </c>
      <c r="CN130" s="51">
        <f>Tabelle4[[#This Row],[Industry Funding from DE (ITA)]]+Tabelle4[[#This Row],[Public Funding from DE (ITA)]]</f>
        <v>0</v>
      </c>
      <c r="CO130" s="52">
        <f>Tabelle4[[#This Row],[Industry Funding from BR (ITA)]]+Tabelle4[[#This Row],[Public Funding from BR (ITA)]]</f>
        <v>1485088</v>
      </c>
      <c r="CP130" s="51">
        <f>Tabelle4[[#This Row],[Total Project Volume (IPK)]]+Tabelle4[[#This Row],[Total Project Volume (ITA)]]</f>
        <v>1485088</v>
      </c>
      <c r="CQ130" s="51">
        <f>Tabelle4[[#This Row],[Total Industry Funding (IPK)]]+Tabelle4[[#This Row],[Total Industry Funding (ITA)]]</f>
        <v>0</v>
      </c>
      <c r="CR130" s="51">
        <f>Tabelle4[[#This Row],[Industry Funding from DE (IPK)]]+Tabelle4[[#This Row],[Industry Funding from DE (ITA)]]</f>
        <v>0</v>
      </c>
      <c r="CS130" s="51">
        <f>Tabelle4[[#This Row],[Industry Funding from BR (IPK)]]+Tabelle4[[#This Row],[Industry Funding from BR (ITA)]]</f>
        <v>0</v>
      </c>
      <c r="CT130" s="51">
        <f>Tabelle4[[#This Row],[Total Public Funding (IPK)]]+Tabelle4[[#This Row],[Total Public Funding (ITA)]]</f>
        <v>1485088</v>
      </c>
      <c r="CU130" s="51">
        <f>Tabelle4[[#This Row],[Public Funding from DE (IPK)]]+Tabelle4[[#This Row],[Public Funding from DE (ITA)]]</f>
        <v>0</v>
      </c>
      <c r="CV130" s="51">
        <f>Tabelle4[[#This Row],[Public Funding from BR (IPK)]]+Tabelle4[[#This Row],[Public Funding from BR (ITA)]]</f>
        <v>1485088</v>
      </c>
      <c r="CW130" s="51">
        <f>Tabelle4[[#This Row],[Industry Funding from DE (FPC)]]+Tabelle4[[#This Row],[Public Funding from DE (FPC)]]</f>
        <v>0</v>
      </c>
      <c r="CX130" s="52">
        <f>Tabelle4[[#This Row],[Industry Funding from BR (FPC)]]+Tabelle4[[#This Row],[Public Funding from BR (FPC)]]</f>
        <v>1485088</v>
      </c>
      <c r="CY130" s="44">
        <f>Tabelle4[[#This Row],[Total Financial Budget (Other)]]+Tabelle4[[#This Row],[Total In-kind Contribution (Other)]]</f>
        <v>0</v>
      </c>
      <c r="CZ130"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30" s="44">
        <f>Tabelle4[[#This Row],[In-kind Contribution (R&amp;D III)]]+Tabelle4[[#This Row],[In-kind Contribution (R&amp;D IV)]]</f>
        <v>0</v>
      </c>
      <c r="DB130" s="158">
        <f>Tabelle4[[#This Row],[Total Budget (FPC)]]+Tabelle4[[#This Row],[Total Volume (Other)]]</f>
        <v>1485088</v>
      </c>
      <c r="DC130" s="105">
        <f>Tabelle4[[#This Row],[Total Revenues (IPK)]]</f>
        <v>0</v>
      </c>
      <c r="DD130" s="53"/>
      <c r="DE130" s="51">
        <f>Tabelle4[[#This Row],[Total Revenues IPK]]*Tabelle4[[#This Row],[Probability of Success]]</f>
        <v>0</v>
      </c>
      <c r="DF130" s="51"/>
      <c r="DG130" s="51"/>
      <c r="DH130" s="51"/>
      <c r="DI130" s="51"/>
      <c r="DJ130" s="51"/>
      <c r="DK130" s="53"/>
      <c r="DL130" s="51">
        <f>Tabelle4[[#This Row],[Real Budget IPK]]*Tabelle4[[#This Row],[Acquisition Factor OE810]]</f>
        <v>0</v>
      </c>
      <c r="DM130" s="51">
        <v>0</v>
      </c>
      <c r="DN130" s="52">
        <f>Tabelle4[[#This Row],[Acquisition Bonus OE810]]+Tabelle4[[#This Row],[Project Execution OE810]]</f>
        <v>0</v>
      </c>
    </row>
    <row r="131" spans="1:118" ht="47.25" customHeight="1" x14ac:dyDescent="0.45">
      <c r="A131" s="70" t="s">
        <v>209</v>
      </c>
      <c r="B131" s="49"/>
      <c r="C131" s="49" t="s">
        <v>210</v>
      </c>
      <c r="D131" s="49" t="s">
        <v>709</v>
      </c>
      <c r="E131" s="49"/>
      <c r="F131" s="49"/>
      <c r="G131" s="49" t="s">
        <v>2</v>
      </c>
      <c r="H131" s="49" t="s">
        <v>96</v>
      </c>
      <c r="I131" s="33" t="s">
        <v>454</v>
      </c>
      <c r="J131" s="50"/>
      <c r="K131" s="49" t="s">
        <v>246</v>
      </c>
      <c r="L131" s="49" t="s">
        <v>309</v>
      </c>
      <c r="M131" s="146"/>
      <c r="N131" s="49"/>
      <c r="O131" s="50"/>
      <c r="P131" s="50"/>
      <c r="Q131" s="49"/>
      <c r="R131" s="50"/>
      <c r="S131" s="50"/>
      <c r="T131" s="50"/>
      <c r="U131" s="50"/>
      <c r="V131" s="50"/>
      <c r="W131" s="50"/>
      <c r="X131" s="50"/>
      <c r="Y131" s="50">
        <v>43745</v>
      </c>
      <c r="Z131" s="48" t="str">
        <f t="shared" si="22"/>
        <v>IPK</v>
      </c>
      <c r="AA131" s="49"/>
      <c r="AB131" s="105"/>
      <c r="AC131" s="105"/>
      <c r="AD131" s="105"/>
      <c r="AE131" s="105"/>
      <c r="AF131" s="105"/>
      <c r="AG131" s="48" t="str">
        <f t="shared" si="21"/>
        <v>ITA</v>
      </c>
      <c r="AH131" s="33" t="s">
        <v>423</v>
      </c>
      <c r="AI131" s="33" t="s">
        <v>130</v>
      </c>
      <c r="AM131" s="104">
        <v>1515139</v>
      </c>
      <c r="AN131" s="101"/>
      <c r="AO131" s="49"/>
      <c r="AP131" s="49"/>
      <c r="AQ131" s="105"/>
      <c r="AR131" s="105"/>
      <c r="AS131" s="105"/>
      <c r="AT131" s="105"/>
      <c r="AU131" s="102"/>
      <c r="AV131" s="49"/>
      <c r="AW131" s="49"/>
      <c r="AX131" s="105"/>
      <c r="AY131" s="105"/>
      <c r="AZ131" s="105"/>
      <c r="BA131" s="105"/>
      <c r="BB131" s="105"/>
      <c r="BC131" s="48"/>
      <c r="BD131" s="49"/>
      <c r="BE131" s="105"/>
      <c r="BF131" s="102"/>
      <c r="BG131" s="49"/>
      <c r="BH131" s="49"/>
      <c r="BI131" s="105"/>
      <c r="BJ131" s="102"/>
      <c r="BK131" s="49"/>
      <c r="BL131" s="49"/>
      <c r="BM131" s="105"/>
      <c r="BN131" s="102"/>
      <c r="BO131" s="49"/>
      <c r="BP131" s="49"/>
      <c r="BQ131" s="105"/>
      <c r="BR131" s="102"/>
      <c r="BS131" s="49" t="s">
        <v>210</v>
      </c>
      <c r="BT131" s="49"/>
      <c r="BU131" s="102">
        <v>1515139</v>
      </c>
      <c r="BV131" s="49"/>
      <c r="BW131" s="49"/>
      <c r="BX131" s="102"/>
      <c r="BY131" s="51">
        <f>Tabelle4[[#This Row],[Industry Funding from DE (IPK)]]+Tabelle4[[#This Row],[Industry Funding from BR (IPK)]]+Tabelle4[[#This Row],[Public Funding from DE (IPK)]]+Tabelle4[[#This Row],[Public Funding from BR (IPK)]]+Tabelle4[[#This Row],[In-kind Contribution (IPK)]]</f>
        <v>0</v>
      </c>
      <c r="BZ131" s="51">
        <f>Tabelle4[[#This Row],[Industry Funding from DE (IPK)]]+Tabelle4[[#This Row],[Industry Funding from BR (IPK)]]+Tabelle4[[#This Row],[Public Funding from DE (IPK)]]+Tabelle4[[#This Row],[Public Funding from BR (IPK)]]</f>
        <v>0</v>
      </c>
      <c r="CA131" s="51">
        <f>Tabelle4[[#This Row],[Industry Funding from DE (IPK)]]+Tabelle4[[#This Row],[Industry Funding from BR (IPK)]]</f>
        <v>0</v>
      </c>
      <c r="CB131" s="51">
        <f>Tabelle4[[#This Row],[Public Funding from DE (IPK)]]+Tabelle4[[#This Row],[Public Funding from BR (IPK)]]</f>
        <v>0</v>
      </c>
      <c r="CC131" s="51">
        <f>Tabelle4[[#This Row],[In-kind Contribution (IPK)]]</f>
        <v>0</v>
      </c>
      <c r="CD131" s="53" t="e">
        <f>(Tabelle4[[#This Row],[Total Industry Funding (IPK)]] + Tabelle4[[#This Row],[Total Public Funding (IPK)]])/Tabelle4[[#This Row],[Total Project Volume (IPK)]]</f>
        <v>#DIV/0!</v>
      </c>
      <c r="CE131" s="53" t="e">
        <f>Tabelle4[[#This Row],[Total Industry Funding (IPK)]] / Tabelle4[[#This Row],[Total Project Volume (IPK)]]</f>
        <v>#DIV/0!</v>
      </c>
      <c r="CF131" s="49" t="str">
        <f>Tabelle4[[#This Row],[Project Funding Classification]]</f>
        <v>Public Funding</v>
      </c>
      <c r="CG131" s="51">
        <f>Tabelle4[[#This Row],[Industry Funding from DE (IPK)]]+Tabelle4[[#This Row],[Public Funding from DE (IPK)]]</f>
        <v>0</v>
      </c>
      <c r="CH131" s="52">
        <f>Tabelle4[[#This Row],[Industry Funding from BR (IPK)]]+Tabelle4[[#This Row],[Public Funding from BR (IPK)]]</f>
        <v>0</v>
      </c>
      <c r="CI131" s="51">
        <f>Tabelle4[[#This Row],[Industry Funding from DE (ITA)]]+Tabelle4[[#This Row],[Industry Funding from BR (ITA)]]+Tabelle4[[#This Row],[Public Funding from DE (ITA)]]+Tabelle4[[#This Row],[Public Funding from BR (ITA)]]</f>
        <v>1515139</v>
      </c>
      <c r="CJ131" s="51">
        <f>Tabelle4[[#This Row],[Industry Funding from DE (ITA)]]+Tabelle4[[#This Row],[Industry Funding from BR (ITA)]]</f>
        <v>0</v>
      </c>
      <c r="CK131" s="51">
        <f>Tabelle4[[#This Row],[Public Funding from DE (ITA)]]+Tabelle4[[#This Row],[Public Funding from BR (ITA)]]</f>
        <v>1515139</v>
      </c>
      <c r="CL131" s="53">
        <f>Tabelle4[[#This Row],[Total Industry Funding (ITA)]]/Tabelle4[[#This Row],[Total Project Volume (ITA)]]</f>
        <v>0</v>
      </c>
      <c r="CM131" s="49" t="str">
        <f>IF(Tabelle4[[#This Row],[Funding Ratio (ITA)]]&lt;0.5,"Public Funding","Industry")</f>
        <v>Public Funding</v>
      </c>
      <c r="CN131" s="51">
        <f>Tabelle4[[#This Row],[Industry Funding from DE (ITA)]]+Tabelle4[[#This Row],[Public Funding from DE (ITA)]]</f>
        <v>0</v>
      </c>
      <c r="CO131" s="52">
        <f>Tabelle4[[#This Row],[Industry Funding from BR (ITA)]]+Tabelle4[[#This Row],[Public Funding from BR (ITA)]]</f>
        <v>1515139</v>
      </c>
      <c r="CP131" s="51">
        <f>Tabelle4[[#This Row],[Total Project Volume (IPK)]]+Tabelle4[[#This Row],[Total Project Volume (ITA)]]</f>
        <v>1515139</v>
      </c>
      <c r="CQ131" s="51">
        <f>Tabelle4[[#This Row],[Total Industry Funding (IPK)]]+Tabelle4[[#This Row],[Total Industry Funding (ITA)]]</f>
        <v>0</v>
      </c>
      <c r="CR131" s="51">
        <f>Tabelle4[[#This Row],[Industry Funding from DE (IPK)]]+Tabelle4[[#This Row],[Industry Funding from DE (ITA)]]</f>
        <v>0</v>
      </c>
      <c r="CS131" s="51">
        <f>Tabelle4[[#This Row],[Industry Funding from BR (IPK)]]+Tabelle4[[#This Row],[Industry Funding from BR (ITA)]]</f>
        <v>0</v>
      </c>
      <c r="CT131" s="51">
        <f>Tabelle4[[#This Row],[Total Public Funding (IPK)]]+Tabelle4[[#This Row],[Total Public Funding (ITA)]]</f>
        <v>1515139</v>
      </c>
      <c r="CU131" s="51">
        <f>Tabelle4[[#This Row],[Public Funding from DE (IPK)]]+Tabelle4[[#This Row],[Public Funding from DE (ITA)]]</f>
        <v>0</v>
      </c>
      <c r="CV131" s="51">
        <f>Tabelle4[[#This Row],[Public Funding from BR (IPK)]]+Tabelle4[[#This Row],[Public Funding from BR (ITA)]]</f>
        <v>1515139</v>
      </c>
      <c r="CW131" s="51">
        <f>Tabelle4[[#This Row],[Industry Funding from DE (FPC)]]+Tabelle4[[#This Row],[Public Funding from DE (FPC)]]</f>
        <v>0</v>
      </c>
      <c r="CX131" s="52">
        <f>Tabelle4[[#This Row],[Industry Funding from BR (FPC)]]+Tabelle4[[#This Row],[Public Funding from BR (FPC)]]</f>
        <v>1515139</v>
      </c>
      <c r="CY131" s="44">
        <f>Tabelle4[[#This Row],[Total Financial Budget (Other)]]+Tabelle4[[#This Row],[Total In-kind Contribution (Other)]]</f>
        <v>0</v>
      </c>
      <c r="CZ131"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31" s="44">
        <f>Tabelle4[[#This Row],[In-kind Contribution (R&amp;D III)]]+Tabelle4[[#This Row],[In-kind Contribution (R&amp;D IV)]]</f>
        <v>0</v>
      </c>
      <c r="DB131" s="158">
        <f>Tabelle4[[#This Row],[Total Budget (FPC)]]+Tabelle4[[#This Row],[Total Volume (Other)]]</f>
        <v>1515139</v>
      </c>
      <c r="DC131" s="105">
        <f>Tabelle4[[#This Row],[Total Revenues (IPK)]]</f>
        <v>0</v>
      </c>
      <c r="DD131" s="53"/>
      <c r="DE131" s="51">
        <f>Tabelle4[[#This Row],[Total Revenues IPK]]*Tabelle4[[#This Row],[Probability of Success]]</f>
        <v>0</v>
      </c>
      <c r="DF131" s="51"/>
      <c r="DG131" s="51"/>
      <c r="DH131" s="51"/>
      <c r="DI131" s="51"/>
      <c r="DJ131" s="51"/>
      <c r="DK131" s="53"/>
      <c r="DL131" s="51">
        <f>Tabelle4[[#This Row],[Real Budget IPK]]*Tabelle4[[#This Row],[Acquisition Factor OE810]]</f>
        <v>0</v>
      </c>
      <c r="DM131" s="51">
        <v>0</v>
      </c>
      <c r="DN131" s="52">
        <f>Tabelle4[[#This Row],[Acquisition Bonus OE810]]+Tabelle4[[#This Row],[Project Execution OE810]]</f>
        <v>0</v>
      </c>
    </row>
    <row r="132" spans="1:118" ht="47.25" customHeight="1" x14ac:dyDescent="0.45">
      <c r="A132" s="42" t="s">
        <v>281</v>
      </c>
      <c r="C132" s="33" t="s">
        <v>691</v>
      </c>
      <c r="D132" s="33" t="s">
        <v>711</v>
      </c>
      <c r="G132" s="33" t="s">
        <v>1</v>
      </c>
      <c r="H132" s="33" t="s">
        <v>0</v>
      </c>
      <c r="J132" s="59">
        <v>43525</v>
      </c>
      <c r="K132" s="33" t="s">
        <v>630</v>
      </c>
      <c r="P132" s="59">
        <v>44256</v>
      </c>
      <c r="Q132" s="33">
        <v>10</v>
      </c>
      <c r="S132" s="59">
        <v>43627</v>
      </c>
      <c r="U132" s="59">
        <v>43862</v>
      </c>
      <c r="Z132" s="42" t="str">
        <f t="shared" si="22"/>
        <v>IPK</v>
      </c>
      <c r="AA132" s="33" t="s">
        <v>141</v>
      </c>
      <c r="AC132" s="61">
        <v>215000</v>
      </c>
      <c r="AG132" s="42"/>
      <c r="AN132" s="101"/>
      <c r="AU132" s="65"/>
      <c r="BC132" s="42" t="s">
        <v>691</v>
      </c>
      <c r="BF132" s="65"/>
      <c r="BS132" s="33" t="s">
        <v>282</v>
      </c>
      <c r="BU132" s="65">
        <v>130000</v>
      </c>
      <c r="BY132" s="44">
        <f>Tabelle4[[#This Row],[Industry Funding from DE (IPK)]]+Tabelle4[[#This Row],[Industry Funding from BR (IPK)]]+Tabelle4[[#This Row],[Public Funding from DE (IPK)]]+Tabelle4[[#This Row],[Public Funding from BR (IPK)]]+Tabelle4[[#This Row],[In-kind Contribution (IPK)]]</f>
        <v>215000</v>
      </c>
      <c r="BZ132" s="44">
        <f>Tabelle4[[#This Row],[Industry Funding from DE (IPK)]]+Tabelle4[[#This Row],[Industry Funding from BR (IPK)]]+Tabelle4[[#This Row],[Public Funding from DE (IPK)]]+Tabelle4[[#This Row],[Public Funding from BR (IPK)]]</f>
        <v>215000</v>
      </c>
      <c r="CA132" s="44">
        <f>Tabelle4[[#This Row],[Industry Funding from DE (IPK)]]+Tabelle4[[#This Row],[Industry Funding from BR (IPK)]]</f>
        <v>215000</v>
      </c>
      <c r="CB132" s="44">
        <f>Tabelle4[[#This Row],[Public Funding from DE (IPK)]]+Tabelle4[[#This Row],[Public Funding from BR (IPK)]]</f>
        <v>0</v>
      </c>
      <c r="CC132" s="44">
        <f>Tabelle4[[#This Row],[In-kind Contribution (IPK)]]</f>
        <v>0</v>
      </c>
      <c r="CD132" s="47">
        <f>(Tabelle4[[#This Row],[Total Industry Funding (IPK)]] + Tabelle4[[#This Row],[Total Public Funding (IPK)]])/Tabelle4[[#This Row],[Total Project Volume (IPK)]]</f>
        <v>1</v>
      </c>
      <c r="CE132" s="47">
        <f>Tabelle4[[#This Row],[Total Industry Funding (IPK)]] / Tabelle4[[#This Row],[Total Project Volume (IPK)]]</f>
        <v>1</v>
      </c>
      <c r="CF132" s="33" t="str">
        <f>Tabelle4[[#This Row],[Project Funding Classification]]</f>
        <v>Industry</v>
      </c>
      <c r="CG132" s="44">
        <f>Tabelle4[[#This Row],[Industry Funding from DE (IPK)]]+Tabelle4[[#This Row],[Public Funding from DE (IPK)]]</f>
        <v>0</v>
      </c>
      <c r="CH132" s="46">
        <f>Tabelle4[[#This Row],[Industry Funding from BR (IPK)]]+Tabelle4[[#This Row],[Public Funding from BR (IPK)]]</f>
        <v>215000</v>
      </c>
      <c r="CI132" s="44">
        <f>Tabelle4[[#This Row],[Industry Funding from DE (ITA)]]+Tabelle4[[#This Row],[Industry Funding from BR (ITA)]]+Tabelle4[[#This Row],[Public Funding from DE (ITA)]]+Tabelle4[[#This Row],[Public Funding from BR (ITA)]]</f>
        <v>0</v>
      </c>
      <c r="CJ132" s="44">
        <f>Tabelle4[[#This Row],[Industry Funding from DE (ITA)]]+Tabelle4[[#This Row],[Industry Funding from BR (ITA)]]</f>
        <v>0</v>
      </c>
      <c r="CK132" s="44">
        <f>Tabelle4[[#This Row],[Public Funding from DE (ITA)]]+Tabelle4[[#This Row],[Public Funding from BR (ITA)]]</f>
        <v>0</v>
      </c>
      <c r="CL132" s="47" t="e">
        <f>Tabelle4[[#This Row],[Total Industry Funding (ITA)]]/Tabelle4[[#This Row],[Total Project Volume (ITA)]]</f>
        <v>#DIV/0!</v>
      </c>
      <c r="CM132" s="33" t="e">
        <f>IF(Tabelle4[[#This Row],[Funding Ratio (ITA)]]&lt;0.5,"Public Funding","Industry")</f>
        <v>#DIV/0!</v>
      </c>
      <c r="CN132" s="44">
        <f>Tabelle4[[#This Row],[Industry Funding from DE (ITA)]]+Tabelle4[[#This Row],[Public Funding from DE (ITA)]]</f>
        <v>0</v>
      </c>
      <c r="CO132" s="46">
        <f>Tabelle4[[#This Row],[Industry Funding from BR (ITA)]]+Tabelle4[[#This Row],[Public Funding from BR (ITA)]]</f>
        <v>0</v>
      </c>
      <c r="CP132" s="44">
        <f>Tabelle4[[#This Row],[Total Project Volume (IPK)]]+Tabelle4[[#This Row],[Total Project Volume (ITA)]]</f>
        <v>215000</v>
      </c>
      <c r="CQ132" s="44">
        <f>Tabelle4[[#This Row],[Total Industry Funding (IPK)]]+Tabelle4[[#This Row],[Total Industry Funding (ITA)]]</f>
        <v>215000</v>
      </c>
      <c r="CR132" s="44">
        <f>Tabelle4[[#This Row],[Industry Funding from DE (IPK)]]+Tabelle4[[#This Row],[Industry Funding from DE (ITA)]]</f>
        <v>0</v>
      </c>
      <c r="CS132" s="44">
        <f>Tabelle4[[#This Row],[Industry Funding from BR (IPK)]]+Tabelle4[[#This Row],[Industry Funding from BR (ITA)]]</f>
        <v>215000</v>
      </c>
      <c r="CT132" s="44">
        <f>Tabelle4[[#This Row],[Total Public Funding (IPK)]]+Tabelle4[[#This Row],[Total Public Funding (ITA)]]</f>
        <v>0</v>
      </c>
      <c r="CU132" s="44">
        <f>Tabelle4[[#This Row],[Public Funding from DE (IPK)]]+Tabelle4[[#This Row],[Public Funding from DE (ITA)]]</f>
        <v>0</v>
      </c>
      <c r="CV132" s="44">
        <f>Tabelle4[[#This Row],[Public Funding from BR (IPK)]]+Tabelle4[[#This Row],[Public Funding from BR (ITA)]]</f>
        <v>0</v>
      </c>
      <c r="CW132" s="44">
        <f>Tabelle4[[#This Row],[Industry Funding from DE (FPC)]]+Tabelle4[[#This Row],[Public Funding from DE (FPC)]]</f>
        <v>0</v>
      </c>
      <c r="CX132" s="46">
        <f>Tabelle4[[#This Row],[Industry Funding from BR (FPC)]]+Tabelle4[[#This Row],[Public Funding from BR (FPC)]]</f>
        <v>215000</v>
      </c>
      <c r="CY132" s="44">
        <f>Tabelle4[[#This Row],[Total Financial Budget (Other)]]+Tabelle4[[#This Row],[Total In-kind Contribution (Other)]]</f>
        <v>0</v>
      </c>
      <c r="CZ13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32" s="44">
        <f>Tabelle4[[#This Row],[In-kind Contribution (R&amp;D III)]]+Tabelle4[[#This Row],[In-kind Contribution (R&amp;D IV)]]</f>
        <v>0</v>
      </c>
      <c r="DB132" s="158">
        <f>Tabelle4[[#This Row],[Total Budget (FPC)]]+Tabelle4[[#This Row],[Total Volume (Other)]]</f>
        <v>215000</v>
      </c>
      <c r="DC132" s="104">
        <f>Tabelle4[[#This Row],[Total Revenues (IPK)]]</f>
        <v>215000</v>
      </c>
      <c r="DD132" s="47">
        <v>0.25</v>
      </c>
      <c r="DE132" s="44">
        <f>Tabelle4[[#This Row],[Total Revenues IPK]]*Tabelle4[[#This Row],[Probability of Success]]</f>
        <v>53750</v>
      </c>
      <c r="DK132" s="47">
        <v>0.2</v>
      </c>
      <c r="DL132" s="44">
        <f>Tabelle4[[#This Row],[Real Budget IPK]]*Tabelle4[[#This Row],[Acquisition Factor OE810]]</f>
        <v>10750</v>
      </c>
      <c r="DM132" s="44">
        <v>0</v>
      </c>
      <c r="DN132" s="46">
        <f>Tabelle4[[#This Row],[Acquisition Bonus OE810]]+Tabelle4[[#This Row],[Project Execution OE810]]</f>
        <v>10750</v>
      </c>
    </row>
    <row r="133" spans="1:118" ht="47.25" customHeight="1" x14ac:dyDescent="0.45">
      <c r="A133" s="42" t="s">
        <v>139</v>
      </c>
      <c r="C133" s="33" t="s">
        <v>140</v>
      </c>
      <c r="D133" s="33" t="s">
        <v>711</v>
      </c>
      <c r="G133" s="33" t="s">
        <v>97</v>
      </c>
      <c r="H133" s="33" t="s">
        <v>96</v>
      </c>
      <c r="I133" s="33" t="s">
        <v>873</v>
      </c>
      <c r="K133" s="33" t="s">
        <v>242</v>
      </c>
      <c r="P133" s="59">
        <v>44835</v>
      </c>
      <c r="Q133" s="33">
        <v>8</v>
      </c>
      <c r="U133" s="59">
        <v>44722</v>
      </c>
      <c r="Y133" s="59">
        <v>43745</v>
      </c>
      <c r="Z133" s="42" t="str">
        <f t="shared" si="22"/>
        <v>IPK</v>
      </c>
      <c r="AA133" s="33" t="s">
        <v>141</v>
      </c>
      <c r="AB133" s="104">
        <v>0</v>
      </c>
      <c r="AC133" s="104">
        <v>0</v>
      </c>
      <c r="AD133" s="104">
        <v>0</v>
      </c>
      <c r="AE133" s="104">
        <v>98000</v>
      </c>
      <c r="AF133" s="104">
        <v>0</v>
      </c>
      <c r="AG133" s="42" t="str">
        <f>"ITA"</f>
        <v>ITA</v>
      </c>
      <c r="AJ133" s="104">
        <v>0</v>
      </c>
      <c r="AK133" s="104">
        <v>0</v>
      </c>
      <c r="AL133" s="104">
        <v>0</v>
      </c>
      <c r="AM133" s="104">
        <v>0</v>
      </c>
      <c r="AN133" s="101">
        <v>0</v>
      </c>
      <c r="AQ133" s="104">
        <v>0</v>
      </c>
      <c r="AR133" s="104">
        <v>0</v>
      </c>
      <c r="AS133" s="104">
        <v>0</v>
      </c>
      <c r="AT133" s="104">
        <v>0</v>
      </c>
      <c r="AU133" s="101">
        <v>0</v>
      </c>
      <c r="AX133" s="104">
        <v>0</v>
      </c>
      <c r="AY133" s="104">
        <v>0</v>
      </c>
      <c r="AZ133" s="104">
        <v>0</v>
      </c>
      <c r="BA133" s="104">
        <v>0</v>
      </c>
      <c r="BB133" s="104">
        <v>0</v>
      </c>
      <c r="BC133" s="42"/>
      <c r="BE133" s="104">
        <v>0</v>
      </c>
      <c r="BF133" s="101">
        <v>0</v>
      </c>
      <c r="BG133" s="33" t="s">
        <v>116</v>
      </c>
      <c r="BH133" s="33" t="s">
        <v>116</v>
      </c>
      <c r="BI133" s="104">
        <v>0</v>
      </c>
      <c r="BJ133" s="101">
        <v>0</v>
      </c>
      <c r="BK133" s="33" t="s">
        <v>116</v>
      </c>
      <c r="BL133" s="33" t="s">
        <v>116</v>
      </c>
      <c r="BM133" s="104">
        <v>0</v>
      </c>
      <c r="BN133" s="101">
        <v>0</v>
      </c>
      <c r="BO133" s="33" t="s">
        <v>116</v>
      </c>
      <c r="BP133" s="33" t="s">
        <v>116</v>
      </c>
      <c r="BQ133" s="104">
        <v>0</v>
      </c>
      <c r="BR133" s="101">
        <v>0</v>
      </c>
      <c r="BS133" s="33" t="s">
        <v>140</v>
      </c>
      <c r="BU133" s="101">
        <v>98000</v>
      </c>
      <c r="BV133" s="33" t="s">
        <v>116</v>
      </c>
      <c r="BW133" s="33" t="s">
        <v>116</v>
      </c>
      <c r="BX133" s="101">
        <v>0</v>
      </c>
      <c r="BY133" s="44">
        <f>Tabelle4[[#This Row],[Industry Funding from DE (IPK)]]+Tabelle4[[#This Row],[Industry Funding from BR (IPK)]]+Tabelle4[[#This Row],[Public Funding from DE (IPK)]]+Tabelle4[[#This Row],[Public Funding from BR (IPK)]]+Tabelle4[[#This Row],[In-kind Contribution (IPK)]]</f>
        <v>98000</v>
      </c>
      <c r="BZ133" s="44">
        <f>Tabelle4[[#This Row],[Industry Funding from DE (IPK)]]+Tabelle4[[#This Row],[Industry Funding from BR (IPK)]]+Tabelle4[[#This Row],[Public Funding from DE (IPK)]]+Tabelle4[[#This Row],[Public Funding from BR (IPK)]]</f>
        <v>98000</v>
      </c>
      <c r="CA133" s="44">
        <f>Tabelle4[[#This Row],[Industry Funding from DE (IPK)]]+Tabelle4[[#This Row],[Industry Funding from BR (IPK)]]</f>
        <v>0</v>
      </c>
      <c r="CB133" s="44">
        <f>Tabelle4[[#This Row],[Public Funding from DE (IPK)]]+Tabelle4[[#This Row],[Public Funding from BR (IPK)]]</f>
        <v>98000</v>
      </c>
      <c r="CC133" s="44">
        <f>Tabelle4[[#This Row],[In-kind Contribution (IPK)]]</f>
        <v>0</v>
      </c>
      <c r="CD133" s="47">
        <f>(Tabelle4[[#This Row],[Total Industry Funding (IPK)]] + Tabelle4[[#This Row],[Total Public Funding (IPK)]])/Tabelle4[[#This Row],[Total Project Volume (IPK)]]</f>
        <v>1</v>
      </c>
      <c r="CE133" s="47">
        <f>Tabelle4[[#This Row],[Total Industry Funding (IPK)]] / Tabelle4[[#This Row],[Total Project Volume (IPK)]]</f>
        <v>0</v>
      </c>
      <c r="CF133" s="33" t="str">
        <f>Tabelle4[[#This Row],[Project Funding Classification]]</f>
        <v>Public Funding</v>
      </c>
      <c r="CG133" s="44">
        <f>Tabelle4[[#This Row],[Industry Funding from DE (IPK)]]+Tabelle4[[#This Row],[Public Funding from DE (IPK)]]</f>
        <v>0</v>
      </c>
      <c r="CH133" s="46">
        <f>Tabelle4[[#This Row],[Industry Funding from BR (IPK)]]+Tabelle4[[#This Row],[Public Funding from BR (IPK)]]</f>
        <v>98000</v>
      </c>
      <c r="CI133" s="44">
        <f>Tabelle4[[#This Row],[Industry Funding from DE (ITA)]]+Tabelle4[[#This Row],[Industry Funding from BR (ITA)]]+Tabelle4[[#This Row],[Public Funding from DE (ITA)]]+Tabelle4[[#This Row],[Public Funding from BR (ITA)]]</f>
        <v>0</v>
      </c>
      <c r="CJ133" s="44">
        <f>Tabelle4[[#This Row],[Industry Funding from DE (ITA)]]+Tabelle4[[#This Row],[Industry Funding from BR (ITA)]]</f>
        <v>0</v>
      </c>
      <c r="CK133" s="44">
        <f>Tabelle4[[#This Row],[Public Funding from DE (ITA)]]+Tabelle4[[#This Row],[Public Funding from BR (ITA)]]</f>
        <v>0</v>
      </c>
      <c r="CL133" s="47" t="e">
        <f>Tabelle4[[#This Row],[Total Industry Funding (ITA)]]/Tabelle4[[#This Row],[Total Project Volume (ITA)]]</f>
        <v>#DIV/0!</v>
      </c>
      <c r="CM133" s="33" t="e">
        <f>IF(Tabelle4[[#This Row],[Funding Ratio (ITA)]]&lt;0.5,"Public Funding","Industry")</f>
        <v>#DIV/0!</v>
      </c>
      <c r="CN133" s="44">
        <f>Tabelle4[[#This Row],[Industry Funding from DE (ITA)]]+Tabelle4[[#This Row],[Public Funding from DE (ITA)]]</f>
        <v>0</v>
      </c>
      <c r="CO133" s="46">
        <f>Tabelle4[[#This Row],[Industry Funding from BR (ITA)]]+Tabelle4[[#This Row],[Public Funding from BR (ITA)]]</f>
        <v>0</v>
      </c>
      <c r="CP133" s="44">
        <f>Tabelle4[[#This Row],[Total Project Volume (IPK)]]+Tabelle4[[#This Row],[Total Project Volume (ITA)]]</f>
        <v>98000</v>
      </c>
      <c r="CQ133" s="44">
        <f>Tabelle4[[#This Row],[Total Industry Funding (IPK)]]+Tabelle4[[#This Row],[Total Industry Funding (ITA)]]</f>
        <v>0</v>
      </c>
      <c r="CR133" s="44">
        <f>Tabelle4[[#This Row],[Industry Funding from DE (IPK)]]+Tabelle4[[#This Row],[Industry Funding from DE (ITA)]]</f>
        <v>0</v>
      </c>
      <c r="CS133" s="44">
        <f>Tabelle4[[#This Row],[Industry Funding from BR (IPK)]]+Tabelle4[[#This Row],[Industry Funding from BR (ITA)]]</f>
        <v>0</v>
      </c>
      <c r="CT133" s="44">
        <f>Tabelle4[[#This Row],[Total Public Funding (IPK)]]+Tabelle4[[#This Row],[Total Public Funding (ITA)]]</f>
        <v>98000</v>
      </c>
      <c r="CU133" s="44">
        <f>Tabelle4[[#This Row],[Public Funding from DE (IPK)]]+Tabelle4[[#This Row],[Public Funding from DE (ITA)]]</f>
        <v>0</v>
      </c>
      <c r="CV133" s="44">
        <f>Tabelle4[[#This Row],[Public Funding from BR (IPK)]]+Tabelle4[[#This Row],[Public Funding from BR (ITA)]]</f>
        <v>98000</v>
      </c>
      <c r="CW133" s="44">
        <f>Tabelle4[[#This Row],[Industry Funding from DE (FPC)]]+Tabelle4[[#This Row],[Public Funding from DE (FPC)]]</f>
        <v>0</v>
      </c>
      <c r="CX133" s="46">
        <f>Tabelle4[[#This Row],[Industry Funding from BR (FPC)]]+Tabelle4[[#This Row],[Public Funding from BR (FPC)]]</f>
        <v>98000</v>
      </c>
      <c r="CY133" s="44">
        <f>Tabelle4[[#This Row],[Total Financial Budget (Other)]]+Tabelle4[[#This Row],[Total In-kind Contribution (Other)]]</f>
        <v>0</v>
      </c>
      <c r="CZ13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33" s="44">
        <f>Tabelle4[[#This Row],[In-kind Contribution (R&amp;D III)]]+Tabelle4[[#This Row],[In-kind Contribution (R&amp;D IV)]]</f>
        <v>0</v>
      </c>
      <c r="DB133" s="158">
        <f>Tabelle4[[#This Row],[Total Budget (FPC)]]+Tabelle4[[#This Row],[Total Volume (Other)]]</f>
        <v>98000</v>
      </c>
      <c r="DC133" s="104">
        <f>Tabelle4[[#This Row],[Total Revenues (IPK)]]</f>
        <v>98000</v>
      </c>
      <c r="DD133" s="47">
        <v>0.05</v>
      </c>
      <c r="DE133" s="44">
        <f>Tabelle4[[#This Row],[Total Revenues IPK]]*Tabelle4[[#This Row],[Probability of Success]]</f>
        <v>4900</v>
      </c>
      <c r="DK133" s="47">
        <v>0.2</v>
      </c>
      <c r="DL133" s="44">
        <f>Tabelle4[[#This Row],[Real Budget IPK]]*Tabelle4[[#This Row],[Acquisition Factor OE810]]</f>
        <v>980</v>
      </c>
      <c r="DM133" s="44">
        <v>0</v>
      </c>
      <c r="DN133" s="46">
        <f>Tabelle4[[#This Row],[Acquisition Bonus OE810]]+Tabelle4[[#This Row],[Project Execution OE810]]</f>
        <v>980</v>
      </c>
    </row>
    <row r="134" spans="1:118" ht="40.5" customHeight="1" x14ac:dyDescent="0.45">
      <c r="A134" s="70" t="s">
        <v>637</v>
      </c>
      <c r="D134" s="33" t="s">
        <v>709</v>
      </c>
      <c r="G134" s="33" t="s">
        <v>2</v>
      </c>
      <c r="H134" s="33" t="s">
        <v>0</v>
      </c>
      <c r="J134" s="59">
        <v>44060</v>
      </c>
      <c r="K134" s="33" t="s">
        <v>246</v>
      </c>
      <c r="L134" s="59" t="s">
        <v>309</v>
      </c>
      <c r="M134" s="144">
        <v>6.7</v>
      </c>
      <c r="Q134" s="58"/>
      <c r="S134" s="59">
        <v>44062</v>
      </c>
      <c r="Y134" s="59">
        <v>44253</v>
      </c>
      <c r="Z134" s="42" t="str">
        <f t="shared" si="22"/>
        <v>IPK</v>
      </c>
      <c r="AG134" s="42" t="str">
        <f>"ITA"</f>
        <v>ITA</v>
      </c>
      <c r="AH134" s="33" t="s">
        <v>130</v>
      </c>
      <c r="AI134" s="33" t="s">
        <v>438</v>
      </c>
      <c r="AK134" s="64"/>
      <c r="AL134" s="64"/>
      <c r="AM134" s="64"/>
      <c r="AN134" s="101"/>
      <c r="AU134" s="101"/>
      <c r="BC134" s="42"/>
      <c r="BE134" s="64"/>
      <c r="BF134" s="65"/>
      <c r="BI134" s="64"/>
      <c r="BO134" s="114"/>
      <c r="BP134" s="114"/>
      <c r="BW134" s="114"/>
      <c r="BY134" s="44">
        <f>Tabelle4[[#This Row],[Industry Funding from DE (IPK)]]+Tabelle4[[#This Row],[Industry Funding from BR (IPK)]]+Tabelle4[[#This Row],[Public Funding from DE (IPK)]]+Tabelle4[[#This Row],[Public Funding from BR (IPK)]]+Tabelle4[[#This Row],[In-kind Contribution (IPK)]]</f>
        <v>0</v>
      </c>
      <c r="BZ134" s="44">
        <f>Tabelle4[[#This Row],[Industry Funding from DE (IPK)]]+Tabelle4[[#This Row],[Industry Funding from BR (IPK)]]+Tabelle4[[#This Row],[Public Funding from DE (IPK)]]+Tabelle4[[#This Row],[Public Funding from BR (IPK)]]</f>
        <v>0</v>
      </c>
      <c r="CA134" s="44">
        <f>Tabelle4[[#This Row],[Industry Funding from DE (IPK)]]+Tabelle4[[#This Row],[Industry Funding from BR (IPK)]]</f>
        <v>0</v>
      </c>
      <c r="CB134" s="44">
        <f>Tabelle4[[#This Row],[Public Funding from DE (IPK)]]+Tabelle4[[#This Row],[Public Funding from BR (IPK)]]</f>
        <v>0</v>
      </c>
      <c r="CC134" s="44">
        <f>Tabelle4[[#This Row],[In-kind Contribution (IPK)]]</f>
        <v>0</v>
      </c>
      <c r="CD134" s="47" t="e">
        <f>(Tabelle4[[#This Row],[Total Industry Funding (IPK)]] + Tabelle4[[#This Row],[Total Public Funding (IPK)]])/Tabelle4[[#This Row],[Total Project Volume (IPK)]]</f>
        <v>#DIV/0!</v>
      </c>
      <c r="CE134" s="47" t="e">
        <f>Tabelle4[[#This Row],[Total Industry Funding (IPK)]] / Tabelle4[[#This Row],[Total Project Volume (IPK)]]</f>
        <v>#DIV/0!</v>
      </c>
      <c r="CF134" s="33" t="str">
        <f>Tabelle4[[#This Row],[Project Funding Classification]]</f>
        <v>Industry</v>
      </c>
      <c r="CG134" s="44">
        <f>Tabelle4[[#This Row],[Industry Funding from DE (IPK)]]+Tabelle4[[#This Row],[Public Funding from DE (IPK)]]</f>
        <v>0</v>
      </c>
      <c r="CH134" s="46">
        <f>Tabelle4[[#This Row],[Industry Funding from BR (IPK)]]+Tabelle4[[#This Row],[Public Funding from BR (IPK)]]</f>
        <v>0</v>
      </c>
      <c r="CI134" s="44">
        <f>Tabelle4[[#This Row],[Industry Funding from DE (ITA)]]+Tabelle4[[#This Row],[Industry Funding from BR (ITA)]]+Tabelle4[[#This Row],[Public Funding from DE (ITA)]]+Tabelle4[[#This Row],[Public Funding from BR (ITA)]]</f>
        <v>0</v>
      </c>
      <c r="CJ134" s="44">
        <f>Tabelle4[[#This Row],[Industry Funding from DE (ITA)]]+Tabelle4[[#This Row],[Industry Funding from BR (ITA)]]</f>
        <v>0</v>
      </c>
      <c r="CK134" s="44">
        <f>Tabelle4[[#This Row],[Public Funding from DE (ITA)]]+Tabelle4[[#This Row],[Public Funding from BR (ITA)]]</f>
        <v>0</v>
      </c>
      <c r="CL134" s="47" t="e">
        <f>Tabelle4[[#This Row],[Total Industry Funding (ITA)]]/Tabelle4[[#This Row],[Total Project Volume (ITA)]]</f>
        <v>#DIV/0!</v>
      </c>
      <c r="CM134" s="33" t="e">
        <f>IF(Tabelle4[[#This Row],[Funding Ratio (ITA)]]&lt;0.5,"Public Funding","Industry")</f>
        <v>#DIV/0!</v>
      </c>
      <c r="CN134" s="44">
        <f>Tabelle4[[#This Row],[Industry Funding from DE (ITA)]]+Tabelle4[[#This Row],[Public Funding from DE (ITA)]]</f>
        <v>0</v>
      </c>
      <c r="CO134" s="111">
        <f>Tabelle4[[#This Row],[Industry Funding from BR (ITA)]]+Tabelle4[[#This Row],[Public Funding from BR (ITA)]]</f>
        <v>0</v>
      </c>
      <c r="CP134" s="44">
        <f>Tabelle4[[#This Row],[Total Project Volume (IPK)]]+Tabelle4[[#This Row],[Total Project Volume (ITA)]]</f>
        <v>0</v>
      </c>
      <c r="CQ134" s="44">
        <f>Tabelle4[[#This Row],[Total Industry Funding (IPK)]]+Tabelle4[[#This Row],[Total Industry Funding (ITA)]]</f>
        <v>0</v>
      </c>
      <c r="CR134" s="44">
        <f>Tabelle4[[#This Row],[Industry Funding from DE (IPK)]]+Tabelle4[[#This Row],[Industry Funding from DE (ITA)]]</f>
        <v>0</v>
      </c>
      <c r="CS134" s="44">
        <f>Tabelle4[[#This Row],[Industry Funding from BR (IPK)]]+Tabelle4[[#This Row],[Industry Funding from BR (ITA)]]</f>
        <v>0</v>
      </c>
      <c r="CT134" s="44">
        <f>Tabelle4[[#This Row],[Total Public Funding (IPK)]]+Tabelle4[[#This Row],[Total Public Funding (ITA)]]</f>
        <v>0</v>
      </c>
      <c r="CU134" s="44">
        <f>Tabelle4[[#This Row],[Public Funding from DE (IPK)]]+Tabelle4[[#This Row],[Public Funding from DE (ITA)]]</f>
        <v>0</v>
      </c>
      <c r="CV134" s="44">
        <f>Tabelle4[[#This Row],[Public Funding from BR (IPK)]]+Tabelle4[[#This Row],[Public Funding from BR (ITA)]]</f>
        <v>0</v>
      </c>
      <c r="CW134" s="44">
        <f>Tabelle4[[#This Row],[Industry Funding from DE (FPC)]]+Tabelle4[[#This Row],[Public Funding from DE (FPC)]]</f>
        <v>0</v>
      </c>
      <c r="CX134" s="46">
        <f>Tabelle4[[#This Row],[Industry Funding from BR (FPC)]]+Tabelle4[[#This Row],[Public Funding from BR (FPC)]]</f>
        <v>0</v>
      </c>
      <c r="CY134" s="44">
        <f>Tabelle4[[#This Row],[Total Financial Budget (Other)]]+Tabelle4[[#This Row],[Total In-kind Contribution (Other)]]</f>
        <v>0</v>
      </c>
      <c r="CZ13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34" s="44">
        <f>Tabelle4[[#This Row],[In-kind Contribution (R&amp;D III)]]+Tabelle4[[#This Row],[In-kind Contribution (R&amp;D IV)]]</f>
        <v>0</v>
      </c>
      <c r="DB134" s="158">
        <f>Tabelle4[[#This Row],[Total Budget (FPC)]]+Tabelle4[[#This Row],[Total Volume (Other)]]</f>
        <v>0</v>
      </c>
      <c r="DC134" s="104">
        <f>Tabelle4[[#This Row],[Total Revenues (IPK)]]</f>
        <v>0</v>
      </c>
      <c r="DE134" s="44">
        <f>Tabelle4[[#This Row],[Total Revenues IPK]]*Tabelle4[[#This Row],[Probability of Success]]</f>
        <v>0</v>
      </c>
      <c r="DL134" s="44">
        <f>Tabelle4[[#This Row],[Real Budget IPK]]*Tabelle4[[#This Row],[Acquisition Factor OE810]]</f>
        <v>0</v>
      </c>
      <c r="DN134" s="46">
        <f>Tabelle4[[#This Row],[Acquisition Bonus OE810]]+Tabelle4[[#This Row],[Project Execution OE810]]</f>
        <v>0</v>
      </c>
    </row>
    <row r="135" spans="1:118" ht="40.5" customHeight="1" x14ac:dyDescent="0.45">
      <c r="A135" s="70" t="s">
        <v>338</v>
      </c>
      <c r="B135" s="33" t="s">
        <v>434</v>
      </c>
      <c r="C135" s="57" t="s">
        <v>636</v>
      </c>
      <c r="D135" s="57" t="s">
        <v>706</v>
      </c>
      <c r="E135" s="33">
        <v>1</v>
      </c>
      <c r="F135" s="33">
        <v>0</v>
      </c>
      <c r="G135" s="33" t="s">
        <v>2</v>
      </c>
      <c r="H135" s="33" t="s">
        <v>0</v>
      </c>
      <c r="J135" s="59">
        <v>43717</v>
      </c>
      <c r="K135" s="33" t="s">
        <v>246</v>
      </c>
      <c r="L135" s="59" t="s">
        <v>309</v>
      </c>
      <c r="Q135" s="58"/>
      <c r="R135" s="60"/>
      <c r="S135" s="60">
        <v>43878</v>
      </c>
      <c r="T135" s="60"/>
      <c r="U135" s="60"/>
      <c r="Z135" s="42" t="s">
        <v>1</v>
      </c>
      <c r="AB135" s="104"/>
      <c r="AC135" s="104"/>
      <c r="AD135" s="104"/>
      <c r="AE135" s="104"/>
      <c r="AF135" s="104"/>
      <c r="AG135" s="42" t="s">
        <v>2</v>
      </c>
      <c r="AH135" s="33" t="s">
        <v>337</v>
      </c>
      <c r="AI135" s="33" t="s">
        <v>337</v>
      </c>
      <c r="AJ135" s="104">
        <v>0</v>
      </c>
      <c r="AK135" s="104">
        <v>0</v>
      </c>
      <c r="AL135" s="64"/>
      <c r="AN135" s="101"/>
      <c r="AQ135" s="104"/>
      <c r="AR135" s="104"/>
      <c r="AS135" s="104"/>
      <c r="AT135" s="104"/>
      <c r="AU135" s="101"/>
      <c r="AX135" s="104"/>
      <c r="AY135" s="104"/>
      <c r="AZ135" s="104"/>
      <c r="BA135" s="104"/>
      <c r="BB135" s="104"/>
      <c r="BC135" s="42"/>
      <c r="BE135" s="104"/>
      <c r="BF135" s="101"/>
      <c r="BI135" s="104"/>
      <c r="BJ135" s="101"/>
      <c r="BM135" s="104"/>
      <c r="BN135" s="101"/>
      <c r="BQ135" s="104"/>
      <c r="BR135" s="101"/>
      <c r="BU135" s="101"/>
      <c r="BX135" s="101"/>
      <c r="BY135" s="44">
        <f>Tabelle4[[#This Row],[Industry Funding from DE (IPK)]]+Tabelle4[[#This Row],[Industry Funding from BR (IPK)]]+Tabelle4[[#This Row],[Public Funding from DE (IPK)]]+Tabelle4[[#This Row],[Public Funding from BR (IPK)]]+Tabelle4[[#This Row],[In-kind Contribution (IPK)]]</f>
        <v>0</v>
      </c>
      <c r="BZ135" s="44">
        <f>Tabelle4[[#This Row],[Industry Funding from DE (IPK)]]+Tabelle4[[#This Row],[Industry Funding from BR (IPK)]]+Tabelle4[[#This Row],[Public Funding from DE (IPK)]]+Tabelle4[[#This Row],[Public Funding from BR (IPK)]]</f>
        <v>0</v>
      </c>
      <c r="CA135" s="44">
        <f>Tabelle4[[#This Row],[Industry Funding from DE (IPK)]]+Tabelle4[[#This Row],[Industry Funding from BR (IPK)]]</f>
        <v>0</v>
      </c>
      <c r="CB135" s="44">
        <f>Tabelle4[[#This Row],[Public Funding from DE (IPK)]]+Tabelle4[[#This Row],[Public Funding from BR (IPK)]]</f>
        <v>0</v>
      </c>
      <c r="CC135" s="44">
        <f>Tabelle4[[#This Row],[In-kind Contribution (IPK)]]</f>
        <v>0</v>
      </c>
      <c r="CD135" s="47" t="e">
        <f>(Tabelle4[[#This Row],[Total Industry Funding (IPK)]] + Tabelle4[[#This Row],[Total Public Funding (IPK)]])/Tabelle4[[#This Row],[Total Project Volume (IPK)]]</f>
        <v>#DIV/0!</v>
      </c>
      <c r="CE135" s="47" t="e">
        <f>Tabelle4[[#This Row],[Total Industry Funding (IPK)]] / Tabelle4[[#This Row],[Total Project Volume (IPK)]]</f>
        <v>#DIV/0!</v>
      </c>
      <c r="CF135" s="33" t="str">
        <f>Tabelle4[[#This Row],[Project Funding Classification]]</f>
        <v>Industry</v>
      </c>
      <c r="CG135" s="44">
        <f>Tabelle4[[#This Row],[Industry Funding from DE (IPK)]]+Tabelle4[[#This Row],[Public Funding from DE (IPK)]]</f>
        <v>0</v>
      </c>
      <c r="CH135" s="46">
        <f>Tabelle4[[#This Row],[Industry Funding from BR (IPK)]]+Tabelle4[[#This Row],[Public Funding from BR (IPK)]]</f>
        <v>0</v>
      </c>
      <c r="CI135" s="44">
        <f>Tabelle4[[#This Row],[Industry Funding from DE (ITA)]]+Tabelle4[[#This Row],[Industry Funding from BR (ITA)]]+Tabelle4[[#This Row],[Public Funding from DE (ITA)]]+Tabelle4[[#This Row],[Public Funding from BR (ITA)]]</f>
        <v>0</v>
      </c>
      <c r="CJ135" s="44">
        <f>Tabelle4[[#This Row],[Industry Funding from DE (ITA)]]+Tabelle4[[#This Row],[Industry Funding from BR (ITA)]]</f>
        <v>0</v>
      </c>
      <c r="CK135" s="44">
        <f>Tabelle4[[#This Row],[Public Funding from DE (ITA)]]+Tabelle4[[#This Row],[Public Funding from BR (ITA)]]</f>
        <v>0</v>
      </c>
      <c r="CL135" s="47" t="e">
        <f>Tabelle4[[#This Row],[Total Industry Funding (ITA)]]/Tabelle4[[#This Row],[Total Project Volume (ITA)]]</f>
        <v>#DIV/0!</v>
      </c>
      <c r="CM135" s="33" t="e">
        <f>IF(Tabelle4[[#This Row],[Funding Ratio (ITA)]]&lt;0.5,"Public Funding","Industry")</f>
        <v>#DIV/0!</v>
      </c>
      <c r="CN135" s="44">
        <f>Tabelle4[[#This Row],[Industry Funding from DE (ITA)]]+Tabelle4[[#This Row],[Public Funding from DE (ITA)]]</f>
        <v>0</v>
      </c>
      <c r="CO135" s="46">
        <f>Tabelle4[[#This Row],[Industry Funding from BR (ITA)]]+Tabelle4[[#This Row],[Public Funding from BR (ITA)]]</f>
        <v>0</v>
      </c>
      <c r="CP135" s="44">
        <f>Tabelle4[[#This Row],[Total Project Volume (IPK)]]+Tabelle4[[#This Row],[Total Project Volume (ITA)]]</f>
        <v>0</v>
      </c>
      <c r="CQ135" s="44">
        <f>Tabelle4[[#This Row],[Total Industry Funding (IPK)]]+Tabelle4[[#This Row],[Total Industry Funding (ITA)]]</f>
        <v>0</v>
      </c>
      <c r="CR135" s="44">
        <f>Tabelle4[[#This Row],[Industry Funding from DE (IPK)]]+Tabelle4[[#This Row],[Industry Funding from DE (ITA)]]</f>
        <v>0</v>
      </c>
      <c r="CS135" s="44">
        <f>Tabelle4[[#This Row],[Industry Funding from BR (IPK)]]+Tabelle4[[#This Row],[Industry Funding from BR (ITA)]]</f>
        <v>0</v>
      </c>
      <c r="CT135" s="44">
        <f>Tabelle4[[#This Row],[Total Public Funding (IPK)]]+Tabelle4[[#This Row],[Total Public Funding (ITA)]]</f>
        <v>0</v>
      </c>
      <c r="CU135" s="44">
        <f>Tabelle4[[#This Row],[Public Funding from DE (IPK)]]+Tabelle4[[#This Row],[Public Funding from DE (ITA)]]</f>
        <v>0</v>
      </c>
      <c r="CV135" s="44">
        <f>Tabelle4[[#This Row],[Public Funding from BR (IPK)]]+Tabelle4[[#This Row],[Public Funding from BR (ITA)]]</f>
        <v>0</v>
      </c>
      <c r="CW135" s="44">
        <f>Tabelle4[[#This Row],[Industry Funding from DE (FPC)]]+Tabelle4[[#This Row],[Public Funding from DE (FPC)]]</f>
        <v>0</v>
      </c>
      <c r="CX135" s="46">
        <f>Tabelle4[[#This Row],[Industry Funding from BR (FPC)]]+Tabelle4[[#This Row],[Public Funding from BR (FPC)]]</f>
        <v>0</v>
      </c>
      <c r="CY135" s="44">
        <f>Tabelle4[[#This Row],[Total Financial Budget (Other)]]+Tabelle4[[#This Row],[Total In-kind Contribution (Other)]]</f>
        <v>0</v>
      </c>
      <c r="CZ13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35" s="44">
        <f>Tabelle4[[#This Row],[In-kind Contribution (R&amp;D III)]]+Tabelle4[[#This Row],[In-kind Contribution (R&amp;D IV)]]</f>
        <v>0</v>
      </c>
      <c r="DB135" s="158">
        <f>Tabelle4[[#This Row],[Total Budget (FPC)]]+Tabelle4[[#This Row],[Total Volume (Other)]]</f>
        <v>0</v>
      </c>
      <c r="DC135" s="104">
        <f>Tabelle4[[#This Row],[Total Revenues (IPK)]]</f>
        <v>0</v>
      </c>
      <c r="DE135" s="44">
        <f>Tabelle4[[#This Row],[Total Revenues IPK]]*Tabelle4[[#This Row],[Probability of Success]]</f>
        <v>0</v>
      </c>
      <c r="DL135" s="44">
        <f>Tabelle4[[#This Row],[Real Budget IPK]]*Tabelle4[[#This Row],[Acquisition Factor OE810]]</f>
        <v>0</v>
      </c>
      <c r="DN135" s="46">
        <f>Tabelle4[[#This Row],[Acquisition Bonus OE810]]+Tabelle4[[#This Row],[Project Execution OE810]]</f>
        <v>0</v>
      </c>
    </row>
    <row r="136" spans="1:118" ht="40.5" customHeight="1" x14ac:dyDescent="0.45">
      <c r="A136" s="70" t="s">
        <v>419</v>
      </c>
      <c r="B136" s="49" t="s">
        <v>207</v>
      </c>
      <c r="C136" s="49" t="s">
        <v>208</v>
      </c>
      <c r="D136" s="49" t="s">
        <v>709</v>
      </c>
      <c r="E136" s="49"/>
      <c r="F136" s="49"/>
      <c r="G136" s="49" t="s">
        <v>2</v>
      </c>
      <c r="H136" s="49" t="s">
        <v>0</v>
      </c>
      <c r="I136" s="49"/>
      <c r="J136" s="50"/>
      <c r="K136" s="49" t="s">
        <v>246</v>
      </c>
      <c r="L136" s="49" t="s">
        <v>309</v>
      </c>
      <c r="M136" s="146"/>
      <c r="N136" s="49"/>
      <c r="O136" s="50"/>
      <c r="P136" s="50"/>
      <c r="Q136" s="49">
        <v>4</v>
      </c>
      <c r="R136" s="50"/>
      <c r="S136" s="50"/>
      <c r="T136" s="50"/>
      <c r="U136" s="50"/>
      <c r="V136" s="50"/>
      <c r="W136" s="50"/>
      <c r="X136" s="50"/>
      <c r="Y136" s="50">
        <v>43745</v>
      </c>
      <c r="Z136" s="48" t="str">
        <f t="shared" ref="Z136:Z157" si="23">"IPK"</f>
        <v>IPK</v>
      </c>
      <c r="AA136" s="49"/>
      <c r="AB136" s="62"/>
      <c r="AC136" s="62"/>
      <c r="AD136" s="62"/>
      <c r="AE136" s="62"/>
      <c r="AF136" s="62"/>
      <c r="AG136" s="48" t="str">
        <f t="shared" ref="AG136:AG153" si="24">"ITA"</f>
        <v>ITA</v>
      </c>
      <c r="AH136" s="33" t="s">
        <v>361</v>
      </c>
      <c r="AI136" s="33" t="s">
        <v>320</v>
      </c>
      <c r="AK136" s="104">
        <v>33810</v>
      </c>
      <c r="AN136" s="101"/>
      <c r="AO136" s="49"/>
      <c r="AP136" s="49"/>
      <c r="AQ136" s="62"/>
      <c r="AR136" s="62"/>
      <c r="AS136" s="62"/>
      <c r="AT136" s="62"/>
      <c r="AU136" s="66"/>
      <c r="AV136" s="49"/>
      <c r="AW136" s="49"/>
      <c r="AX136" s="62"/>
      <c r="AY136" s="62"/>
      <c r="AZ136" s="62"/>
      <c r="BA136" s="62"/>
      <c r="BB136" s="62"/>
      <c r="BC136" s="48" t="s">
        <v>208</v>
      </c>
      <c r="BD136" s="49"/>
      <c r="BE136" s="62">
        <v>33810</v>
      </c>
      <c r="BF136" s="66"/>
      <c r="BG136" s="49"/>
      <c r="BH136" s="49"/>
      <c r="BI136" s="62"/>
      <c r="BJ136" s="66"/>
      <c r="BK136" s="49"/>
      <c r="BL136" s="49"/>
      <c r="BM136" s="62"/>
      <c r="BN136" s="66"/>
      <c r="BO136" s="49"/>
      <c r="BP136" s="49"/>
      <c r="BQ136" s="62"/>
      <c r="BR136" s="66"/>
      <c r="BS136" s="49"/>
      <c r="BT136" s="49"/>
      <c r="BU136" s="66"/>
      <c r="BV136" s="49"/>
      <c r="BW136" s="49"/>
      <c r="BX136" s="66"/>
      <c r="BY136" s="51">
        <f>Tabelle4[[#This Row],[Industry Funding from DE (IPK)]]+Tabelle4[[#This Row],[Industry Funding from BR (IPK)]]+Tabelle4[[#This Row],[Public Funding from DE (IPK)]]+Tabelle4[[#This Row],[Public Funding from BR (IPK)]]+Tabelle4[[#This Row],[In-kind Contribution (IPK)]]</f>
        <v>0</v>
      </c>
      <c r="BZ136" s="51">
        <f>Tabelle4[[#This Row],[Industry Funding from DE (IPK)]]+Tabelle4[[#This Row],[Industry Funding from BR (IPK)]]+Tabelle4[[#This Row],[Public Funding from DE (IPK)]]+Tabelle4[[#This Row],[Public Funding from BR (IPK)]]</f>
        <v>0</v>
      </c>
      <c r="CA136" s="51">
        <f>Tabelle4[[#This Row],[Industry Funding from DE (IPK)]]+Tabelle4[[#This Row],[Industry Funding from BR (IPK)]]</f>
        <v>0</v>
      </c>
      <c r="CB136" s="51">
        <f>Tabelle4[[#This Row],[Public Funding from DE (IPK)]]+Tabelle4[[#This Row],[Public Funding from BR (IPK)]]</f>
        <v>0</v>
      </c>
      <c r="CC136" s="51">
        <f>Tabelle4[[#This Row],[In-kind Contribution (IPK)]]</f>
        <v>0</v>
      </c>
      <c r="CD136" s="53" t="e">
        <f>(Tabelle4[[#This Row],[Total Industry Funding (IPK)]] + Tabelle4[[#This Row],[Total Public Funding (IPK)]])/Tabelle4[[#This Row],[Total Project Volume (IPK)]]</f>
        <v>#DIV/0!</v>
      </c>
      <c r="CE136" s="53" t="e">
        <f>Tabelle4[[#This Row],[Total Industry Funding (IPK)]] / Tabelle4[[#This Row],[Total Project Volume (IPK)]]</f>
        <v>#DIV/0!</v>
      </c>
      <c r="CF136" s="49" t="str">
        <f>Tabelle4[[#This Row],[Project Funding Classification]]</f>
        <v>Industry</v>
      </c>
      <c r="CG136" s="51">
        <f>Tabelle4[[#This Row],[Industry Funding from DE (IPK)]]+Tabelle4[[#This Row],[Public Funding from DE (IPK)]]</f>
        <v>0</v>
      </c>
      <c r="CH136" s="52">
        <f>Tabelle4[[#This Row],[Industry Funding from BR (IPK)]]+Tabelle4[[#This Row],[Public Funding from BR (IPK)]]</f>
        <v>0</v>
      </c>
      <c r="CI136" s="51">
        <f>Tabelle4[[#This Row],[Industry Funding from DE (ITA)]]+Tabelle4[[#This Row],[Industry Funding from BR (ITA)]]+Tabelle4[[#This Row],[Public Funding from DE (ITA)]]+Tabelle4[[#This Row],[Public Funding from BR (ITA)]]</f>
        <v>33810</v>
      </c>
      <c r="CJ136" s="51">
        <f>Tabelle4[[#This Row],[Industry Funding from DE (ITA)]]+Tabelle4[[#This Row],[Industry Funding from BR (ITA)]]</f>
        <v>33810</v>
      </c>
      <c r="CK136" s="51">
        <f>Tabelle4[[#This Row],[Public Funding from DE (ITA)]]+Tabelle4[[#This Row],[Public Funding from BR (ITA)]]</f>
        <v>0</v>
      </c>
      <c r="CL136" s="53">
        <f>Tabelle4[[#This Row],[Total Industry Funding (ITA)]]/Tabelle4[[#This Row],[Total Project Volume (ITA)]]</f>
        <v>1</v>
      </c>
      <c r="CM136" s="49" t="str">
        <f>IF(Tabelle4[[#This Row],[Funding Ratio (ITA)]]&lt;0.5,"Public Funding","Industry")</f>
        <v>Industry</v>
      </c>
      <c r="CN136" s="51">
        <f>Tabelle4[[#This Row],[Industry Funding from DE (ITA)]]+Tabelle4[[#This Row],[Public Funding from DE (ITA)]]</f>
        <v>0</v>
      </c>
      <c r="CO136" s="52">
        <f>Tabelle4[[#This Row],[Industry Funding from BR (ITA)]]+Tabelle4[[#This Row],[Public Funding from BR (ITA)]]</f>
        <v>33810</v>
      </c>
      <c r="CP136" s="51">
        <f>Tabelle4[[#This Row],[Total Project Volume (IPK)]]+Tabelle4[[#This Row],[Total Project Volume (ITA)]]</f>
        <v>33810</v>
      </c>
      <c r="CQ136" s="51">
        <f>Tabelle4[[#This Row],[Total Industry Funding (IPK)]]+Tabelle4[[#This Row],[Total Industry Funding (ITA)]]</f>
        <v>33810</v>
      </c>
      <c r="CR136" s="51">
        <f>Tabelle4[[#This Row],[Industry Funding from DE (IPK)]]+Tabelle4[[#This Row],[Industry Funding from DE (ITA)]]</f>
        <v>0</v>
      </c>
      <c r="CS136" s="51">
        <f>Tabelle4[[#This Row],[Industry Funding from BR (IPK)]]+Tabelle4[[#This Row],[Industry Funding from BR (ITA)]]</f>
        <v>33810</v>
      </c>
      <c r="CT136" s="51">
        <f>Tabelle4[[#This Row],[Total Public Funding (IPK)]]+Tabelle4[[#This Row],[Total Public Funding (ITA)]]</f>
        <v>0</v>
      </c>
      <c r="CU136" s="51">
        <f>Tabelle4[[#This Row],[Public Funding from DE (IPK)]]+Tabelle4[[#This Row],[Public Funding from DE (ITA)]]</f>
        <v>0</v>
      </c>
      <c r="CV136" s="51">
        <f>Tabelle4[[#This Row],[Public Funding from BR (IPK)]]+Tabelle4[[#This Row],[Public Funding from BR (ITA)]]</f>
        <v>0</v>
      </c>
      <c r="CW136" s="51">
        <f>Tabelle4[[#This Row],[Industry Funding from DE (FPC)]]+Tabelle4[[#This Row],[Public Funding from DE (FPC)]]</f>
        <v>0</v>
      </c>
      <c r="CX136" s="52">
        <f>Tabelle4[[#This Row],[Industry Funding from BR (FPC)]]+Tabelle4[[#This Row],[Public Funding from BR (FPC)]]</f>
        <v>33810</v>
      </c>
      <c r="CY136" s="44">
        <f>Tabelle4[[#This Row],[Total Financial Budget (Other)]]+Tabelle4[[#This Row],[Total In-kind Contribution (Other)]]</f>
        <v>0</v>
      </c>
      <c r="CZ136"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36" s="44">
        <f>Tabelle4[[#This Row],[In-kind Contribution (R&amp;D III)]]+Tabelle4[[#This Row],[In-kind Contribution (R&amp;D IV)]]</f>
        <v>0</v>
      </c>
      <c r="DB136" s="158">
        <f>Tabelle4[[#This Row],[Total Budget (FPC)]]+Tabelle4[[#This Row],[Total Volume (Other)]]</f>
        <v>33810</v>
      </c>
      <c r="DC136" s="105">
        <f>Tabelle4[[#This Row],[Total Revenues (IPK)]]</f>
        <v>0</v>
      </c>
      <c r="DD136" s="53"/>
      <c r="DE136" s="51">
        <f>Tabelle4[[#This Row],[Total Revenues IPK]]*Tabelle4[[#This Row],[Probability of Success]]</f>
        <v>0</v>
      </c>
      <c r="DF136" s="51"/>
      <c r="DG136" s="51"/>
      <c r="DH136" s="51"/>
      <c r="DI136" s="51"/>
      <c r="DJ136" s="51"/>
      <c r="DK136" s="53"/>
      <c r="DL136" s="51">
        <f>Tabelle4[[#This Row],[Real Budget IPK]]*Tabelle4[[#This Row],[Acquisition Factor OE810]]</f>
        <v>0</v>
      </c>
      <c r="DM136" s="51">
        <v>0</v>
      </c>
      <c r="DN136" s="52">
        <f>Tabelle4[[#This Row],[Acquisition Bonus OE810]]+Tabelle4[[#This Row],[Project Execution OE810]]</f>
        <v>0</v>
      </c>
    </row>
    <row r="137" spans="1:118" ht="40.5" customHeight="1" x14ac:dyDescent="0.45">
      <c r="A137" s="70" t="s">
        <v>634</v>
      </c>
      <c r="B137" s="33" t="s">
        <v>635</v>
      </c>
      <c r="C137" s="33" t="s">
        <v>545</v>
      </c>
      <c r="D137" s="33" t="s">
        <v>706</v>
      </c>
      <c r="E137" s="33">
        <v>15</v>
      </c>
      <c r="G137" s="33" t="s">
        <v>2</v>
      </c>
      <c r="H137" s="33" t="s">
        <v>96</v>
      </c>
      <c r="I137" s="33" t="s">
        <v>665</v>
      </c>
      <c r="J137" s="59">
        <v>43972</v>
      </c>
      <c r="K137" s="33" t="s">
        <v>244</v>
      </c>
      <c r="L137" s="59" t="s">
        <v>651</v>
      </c>
      <c r="M137" s="144">
        <v>6.38</v>
      </c>
      <c r="N137" s="33" t="s">
        <v>667</v>
      </c>
      <c r="Q137" s="58">
        <v>36</v>
      </c>
      <c r="U137" s="59">
        <v>44020</v>
      </c>
      <c r="V137" s="59">
        <v>44060</v>
      </c>
      <c r="W137" s="59">
        <v>44177</v>
      </c>
      <c r="Z137" s="42" t="str">
        <f t="shared" si="23"/>
        <v>IPK</v>
      </c>
      <c r="AB137" s="104"/>
      <c r="AC137" s="104"/>
      <c r="AD137" s="104"/>
      <c r="AE137" s="104"/>
      <c r="AF137" s="104"/>
      <c r="AG137" s="42" t="str">
        <f t="shared" si="24"/>
        <v>ITA</v>
      </c>
      <c r="AH137" s="33" t="s">
        <v>546</v>
      </c>
      <c r="AI137" s="33" t="s">
        <v>316</v>
      </c>
      <c r="AK137" s="64"/>
      <c r="AL137" s="64"/>
      <c r="AM137" s="64">
        <f>(4143036)/M137</f>
        <v>649378.68338557996</v>
      </c>
      <c r="AN137" s="101"/>
      <c r="AQ137" s="104"/>
      <c r="AR137" s="104"/>
      <c r="AS137" s="104"/>
      <c r="AT137" s="104"/>
      <c r="AU137" s="101"/>
      <c r="AX137" s="104"/>
      <c r="AY137" s="104"/>
      <c r="AZ137" s="104"/>
      <c r="BA137" s="104"/>
      <c r="BB137" s="104"/>
      <c r="BC137" s="42"/>
      <c r="BE137" s="64"/>
      <c r="BF137" s="101"/>
      <c r="BI137" s="64"/>
      <c r="BJ137" s="101"/>
      <c r="BM137" s="104"/>
      <c r="BN137" s="101"/>
      <c r="BO137" s="114"/>
      <c r="BP137" s="114"/>
      <c r="BQ137" s="104"/>
      <c r="BR137" s="101"/>
      <c r="BU137" s="101"/>
      <c r="BW137" s="114"/>
      <c r="BX137" s="101"/>
      <c r="BY137" s="44">
        <f>Tabelle4[[#This Row],[Industry Funding from DE (IPK)]]+Tabelle4[[#This Row],[Industry Funding from BR (IPK)]]+Tabelle4[[#This Row],[Public Funding from DE (IPK)]]+Tabelle4[[#This Row],[Public Funding from BR (IPK)]]+Tabelle4[[#This Row],[In-kind Contribution (IPK)]]</f>
        <v>0</v>
      </c>
      <c r="BZ137" s="44">
        <f>Tabelle4[[#This Row],[Industry Funding from DE (IPK)]]+Tabelle4[[#This Row],[Industry Funding from BR (IPK)]]+Tabelle4[[#This Row],[Public Funding from DE (IPK)]]+Tabelle4[[#This Row],[Public Funding from BR (IPK)]]</f>
        <v>0</v>
      </c>
      <c r="CA137" s="44">
        <f>Tabelle4[[#This Row],[Industry Funding from DE (IPK)]]+Tabelle4[[#This Row],[Industry Funding from BR (IPK)]]</f>
        <v>0</v>
      </c>
      <c r="CB137" s="44">
        <f>Tabelle4[[#This Row],[Public Funding from DE (IPK)]]+Tabelle4[[#This Row],[Public Funding from BR (IPK)]]</f>
        <v>0</v>
      </c>
      <c r="CC137" s="44">
        <f>Tabelle4[[#This Row],[In-kind Contribution (IPK)]]</f>
        <v>0</v>
      </c>
      <c r="CD137" s="47" t="e">
        <f>(Tabelle4[[#This Row],[Total Industry Funding (IPK)]] + Tabelle4[[#This Row],[Total Public Funding (IPK)]])/Tabelle4[[#This Row],[Total Project Volume (IPK)]]</f>
        <v>#DIV/0!</v>
      </c>
      <c r="CE137" s="47" t="e">
        <f>Tabelle4[[#This Row],[Total Industry Funding (IPK)]] / Tabelle4[[#This Row],[Total Project Volume (IPK)]]</f>
        <v>#DIV/0!</v>
      </c>
      <c r="CF137" s="33" t="str">
        <f>Tabelle4[[#This Row],[Project Funding Classification]]</f>
        <v>Public Funding</v>
      </c>
      <c r="CG137" s="44">
        <f>Tabelle4[[#This Row],[Industry Funding from DE (IPK)]]+Tabelle4[[#This Row],[Public Funding from DE (IPK)]]</f>
        <v>0</v>
      </c>
      <c r="CH137" s="46">
        <f>Tabelle4[[#This Row],[Industry Funding from BR (IPK)]]+Tabelle4[[#This Row],[Public Funding from BR (IPK)]]</f>
        <v>0</v>
      </c>
      <c r="CI137" s="44">
        <f>Tabelle4[[#This Row],[Industry Funding from DE (ITA)]]+Tabelle4[[#This Row],[Industry Funding from BR (ITA)]]+Tabelle4[[#This Row],[Public Funding from DE (ITA)]]+Tabelle4[[#This Row],[Public Funding from BR (ITA)]]</f>
        <v>649378.68338557996</v>
      </c>
      <c r="CJ137" s="44">
        <f>Tabelle4[[#This Row],[Industry Funding from DE (ITA)]]+Tabelle4[[#This Row],[Industry Funding from BR (ITA)]]</f>
        <v>0</v>
      </c>
      <c r="CK137" s="44">
        <f>Tabelle4[[#This Row],[Public Funding from DE (ITA)]]+Tabelle4[[#This Row],[Public Funding from BR (ITA)]]</f>
        <v>649378.68338557996</v>
      </c>
      <c r="CL137" s="47">
        <f>Tabelle4[[#This Row],[Total Industry Funding (ITA)]]/Tabelle4[[#This Row],[Total Project Volume (ITA)]]</f>
        <v>0</v>
      </c>
      <c r="CM137" s="33" t="str">
        <f>IF(Tabelle4[[#This Row],[Funding Ratio (ITA)]]&lt;0.5,"Public Funding","Industry")</f>
        <v>Public Funding</v>
      </c>
      <c r="CN137" s="44">
        <f>Tabelle4[[#This Row],[Industry Funding from DE (ITA)]]+Tabelle4[[#This Row],[Public Funding from DE (ITA)]]</f>
        <v>0</v>
      </c>
      <c r="CO137" s="111">
        <f>Tabelle4[[#This Row],[Industry Funding from BR (ITA)]]+Tabelle4[[#This Row],[Public Funding from BR (ITA)]]</f>
        <v>649378.68338557996</v>
      </c>
      <c r="CP137" s="44">
        <f>Tabelle4[[#This Row],[Total Project Volume (IPK)]]+Tabelle4[[#This Row],[Total Project Volume (ITA)]]</f>
        <v>649378.68338557996</v>
      </c>
      <c r="CQ137" s="44">
        <f>Tabelle4[[#This Row],[Total Industry Funding (IPK)]]+Tabelle4[[#This Row],[Total Industry Funding (ITA)]]</f>
        <v>0</v>
      </c>
      <c r="CR137" s="44">
        <f>Tabelle4[[#This Row],[Industry Funding from DE (IPK)]]+Tabelle4[[#This Row],[Industry Funding from DE (ITA)]]</f>
        <v>0</v>
      </c>
      <c r="CS137" s="44">
        <f>Tabelle4[[#This Row],[Industry Funding from BR (IPK)]]+Tabelle4[[#This Row],[Industry Funding from BR (ITA)]]</f>
        <v>0</v>
      </c>
      <c r="CT137" s="44">
        <f>Tabelle4[[#This Row],[Total Public Funding (IPK)]]+Tabelle4[[#This Row],[Total Public Funding (ITA)]]</f>
        <v>649378.68338557996</v>
      </c>
      <c r="CU137" s="44">
        <f>Tabelle4[[#This Row],[Public Funding from DE (IPK)]]+Tabelle4[[#This Row],[Public Funding from DE (ITA)]]</f>
        <v>0</v>
      </c>
      <c r="CV137" s="44">
        <f>Tabelle4[[#This Row],[Public Funding from BR (IPK)]]+Tabelle4[[#This Row],[Public Funding from BR (ITA)]]</f>
        <v>649378.68338557996</v>
      </c>
      <c r="CW137" s="44">
        <f>Tabelle4[[#This Row],[Industry Funding from DE (FPC)]]+Tabelle4[[#This Row],[Public Funding from DE (FPC)]]</f>
        <v>0</v>
      </c>
      <c r="CX137" s="46">
        <f>Tabelle4[[#This Row],[Industry Funding from BR (FPC)]]+Tabelle4[[#This Row],[Public Funding from BR (FPC)]]</f>
        <v>649378.68338557996</v>
      </c>
      <c r="CY137" s="44">
        <f>Tabelle4[[#This Row],[Total Financial Budget (Other)]]+Tabelle4[[#This Row],[Total In-kind Contribution (Other)]]</f>
        <v>0</v>
      </c>
      <c r="CZ13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37" s="44">
        <f>Tabelle4[[#This Row],[In-kind Contribution (R&amp;D III)]]+Tabelle4[[#This Row],[In-kind Contribution (R&amp;D IV)]]</f>
        <v>0</v>
      </c>
      <c r="DB137" s="158">
        <f>Tabelle4[[#This Row],[Total Budget (FPC)]]+Tabelle4[[#This Row],[Total Volume (Other)]]</f>
        <v>649378.68338557996</v>
      </c>
      <c r="DC137" s="104">
        <f>Tabelle4[[#This Row],[Total Revenues (IPK)]]</f>
        <v>0</v>
      </c>
      <c r="DE137" s="44">
        <f>Tabelle4[[#This Row],[Total Revenues IPK]]*Tabelle4[[#This Row],[Probability of Success]]</f>
        <v>0</v>
      </c>
      <c r="DL137" s="44">
        <f>Tabelle4[[#This Row],[Real Budget IPK]]*Tabelle4[[#This Row],[Acquisition Factor OE810]]</f>
        <v>0</v>
      </c>
      <c r="DN137" s="46">
        <f>Tabelle4[[#This Row],[Acquisition Bonus OE810]]+Tabelle4[[#This Row],[Project Execution OE810]]</f>
        <v>0</v>
      </c>
    </row>
    <row r="138" spans="1:118" ht="40.5" customHeight="1" x14ac:dyDescent="0.45">
      <c r="A138" s="42" t="s">
        <v>415</v>
      </c>
      <c r="B138" s="49" t="s">
        <v>199</v>
      </c>
      <c r="C138" s="49" t="s">
        <v>200</v>
      </c>
      <c r="D138" s="49" t="s">
        <v>706</v>
      </c>
      <c r="E138" s="49"/>
      <c r="F138" s="49"/>
      <c r="G138" s="49" t="s">
        <v>97</v>
      </c>
      <c r="H138" s="49" t="s">
        <v>0</v>
      </c>
      <c r="I138" s="49"/>
      <c r="J138" s="50"/>
      <c r="K138" s="49" t="s">
        <v>246</v>
      </c>
      <c r="L138" s="49" t="s">
        <v>309</v>
      </c>
      <c r="M138" s="146"/>
      <c r="N138" s="49"/>
      <c r="O138" s="50"/>
      <c r="P138" s="50"/>
      <c r="Q138" s="49">
        <v>18</v>
      </c>
      <c r="R138" s="50"/>
      <c r="S138" s="50"/>
      <c r="T138" s="50"/>
      <c r="U138" s="50"/>
      <c r="V138" s="50"/>
      <c r="W138" s="50"/>
      <c r="X138" s="50"/>
      <c r="Y138" s="59">
        <v>43745</v>
      </c>
      <c r="Z138" s="48" t="str">
        <f t="shared" si="23"/>
        <v>IPK</v>
      </c>
      <c r="AA138" s="49"/>
      <c r="AB138" s="105"/>
      <c r="AC138" s="105">
        <v>100000</v>
      </c>
      <c r="AD138" s="105"/>
      <c r="AE138" s="105"/>
      <c r="AF138" s="105"/>
      <c r="AG138" s="48" t="str">
        <f t="shared" si="24"/>
        <v>ITA</v>
      </c>
      <c r="AH138" s="33" t="s">
        <v>451</v>
      </c>
      <c r="AI138" s="33" t="s">
        <v>130</v>
      </c>
      <c r="AK138" s="104">
        <v>90000</v>
      </c>
      <c r="AN138" s="101"/>
      <c r="AO138" s="49"/>
      <c r="AP138" s="49"/>
      <c r="AQ138" s="105"/>
      <c r="AR138" s="105"/>
      <c r="AS138" s="105"/>
      <c r="AT138" s="105"/>
      <c r="AU138" s="102"/>
      <c r="AV138" s="49"/>
      <c r="AW138" s="49"/>
      <c r="AX138" s="105"/>
      <c r="AY138" s="105"/>
      <c r="AZ138" s="105"/>
      <c r="BA138" s="105"/>
      <c r="BB138" s="105"/>
      <c r="BC138" s="48" t="s">
        <v>200</v>
      </c>
      <c r="BD138" s="49"/>
      <c r="BE138" s="105">
        <v>190000</v>
      </c>
      <c r="BF138" s="102"/>
      <c r="BG138" s="49"/>
      <c r="BH138" s="49"/>
      <c r="BI138" s="105"/>
      <c r="BJ138" s="102"/>
      <c r="BK138" s="49"/>
      <c r="BL138" s="49"/>
      <c r="BM138" s="105"/>
      <c r="BN138" s="102"/>
      <c r="BO138" s="49"/>
      <c r="BP138" s="49"/>
      <c r="BQ138" s="105"/>
      <c r="BR138" s="102"/>
      <c r="BS138" s="49"/>
      <c r="BT138" s="49"/>
      <c r="BU138" s="102"/>
      <c r="BV138" s="49"/>
      <c r="BW138" s="49"/>
      <c r="BX138" s="102"/>
      <c r="BY138" s="51">
        <f>Tabelle4[[#This Row],[Industry Funding from DE (IPK)]]+Tabelle4[[#This Row],[Industry Funding from BR (IPK)]]+Tabelle4[[#This Row],[Public Funding from DE (IPK)]]+Tabelle4[[#This Row],[Public Funding from BR (IPK)]]+Tabelle4[[#This Row],[In-kind Contribution (IPK)]]</f>
        <v>100000</v>
      </c>
      <c r="BZ138" s="51">
        <f>Tabelle4[[#This Row],[Industry Funding from DE (IPK)]]+Tabelle4[[#This Row],[Industry Funding from BR (IPK)]]+Tabelle4[[#This Row],[Public Funding from DE (IPK)]]+Tabelle4[[#This Row],[Public Funding from BR (IPK)]]</f>
        <v>100000</v>
      </c>
      <c r="CA138" s="51">
        <f>Tabelle4[[#This Row],[Industry Funding from DE (IPK)]]+Tabelle4[[#This Row],[Industry Funding from BR (IPK)]]</f>
        <v>100000</v>
      </c>
      <c r="CB138" s="51">
        <f>Tabelle4[[#This Row],[Public Funding from DE (IPK)]]+Tabelle4[[#This Row],[Public Funding from BR (IPK)]]</f>
        <v>0</v>
      </c>
      <c r="CC138" s="51">
        <f>Tabelle4[[#This Row],[In-kind Contribution (IPK)]]</f>
        <v>0</v>
      </c>
      <c r="CD138" s="53">
        <f>(Tabelle4[[#This Row],[Total Industry Funding (IPK)]] + Tabelle4[[#This Row],[Total Public Funding (IPK)]])/Tabelle4[[#This Row],[Total Project Volume (IPK)]]</f>
        <v>1</v>
      </c>
      <c r="CE138" s="53">
        <f>Tabelle4[[#This Row],[Total Industry Funding (IPK)]] / Tabelle4[[#This Row],[Total Project Volume (IPK)]]</f>
        <v>1</v>
      </c>
      <c r="CF138" s="49" t="str">
        <f>Tabelle4[[#This Row],[Project Funding Classification]]</f>
        <v>Industry</v>
      </c>
      <c r="CG138" s="51">
        <f>Tabelle4[[#This Row],[Industry Funding from DE (IPK)]]+Tabelle4[[#This Row],[Public Funding from DE (IPK)]]</f>
        <v>0</v>
      </c>
      <c r="CH138" s="52">
        <f>Tabelle4[[#This Row],[Industry Funding from BR (IPK)]]+Tabelle4[[#This Row],[Public Funding from BR (IPK)]]</f>
        <v>100000</v>
      </c>
      <c r="CI138" s="51">
        <f>Tabelle4[[#This Row],[Industry Funding from DE (ITA)]]+Tabelle4[[#This Row],[Industry Funding from BR (ITA)]]+Tabelle4[[#This Row],[Public Funding from DE (ITA)]]+Tabelle4[[#This Row],[Public Funding from BR (ITA)]]</f>
        <v>90000</v>
      </c>
      <c r="CJ138" s="51">
        <f>Tabelle4[[#This Row],[Industry Funding from DE (ITA)]]+Tabelle4[[#This Row],[Industry Funding from BR (ITA)]]</f>
        <v>90000</v>
      </c>
      <c r="CK138" s="51">
        <f>Tabelle4[[#This Row],[Public Funding from DE (ITA)]]+Tabelle4[[#This Row],[Public Funding from BR (ITA)]]</f>
        <v>0</v>
      </c>
      <c r="CL138" s="53">
        <f>Tabelle4[[#This Row],[Total Industry Funding (ITA)]]/Tabelle4[[#This Row],[Total Project Volume (ITA)]]</f>
        <v>1</v>
      </c>
      <c r="CM138" s="49" t="str">
        <f>IF(Tabelle4[[#This Row],[Funding Ratio (ITA)]]&lt;0.5,"Public Funding","Industry")</f>
        <v>Industry</v>
      </c>
      <c r="CN138" s="51">
        <f>Tabelle4[[#This Row],[Industry Funding from DE (ITA)]]+Tabelle4[[#This Row],[Public Funding from DE (ITA)]]</f>
        <v>0</v>
      </c>
      <c r="CO138" s="52">
        <f>Tabelle4[[#This Row],[Industry Funding from BR (ITA)]]+Tabelle4[[#This Row],[Public Funding from BR (ITA)]]</f>
        <v>90000</v>
      </c>
      <c r="CP138" s="51">
        <f>Tabelle4[[#This Row],[Total Project Volume (IPK)]]+Tabelle4[[#This Row],[Total Project Volume (ITA)]]</f>
        <v>190000</v>
      </c>
      <c r="CQ138" s="51">
        <f>Tabelle4[[#This Row],[Total Industry Funding (IPK)]]+Tabelle4[[#This Row],[Total Industry Funding (ITA)]]</f>
        <v>190000</v>
      </c>
      <c r="CR138" s="51">
        <f>Tabelle4[[#This Row],[Industry Funding from DE (IPK)]]+Tabelle4[[#This Row],[Industry Funding from DE (ITA)]]</f>
        <v>0</v>
      </c>
      <c r="CS138" s="51">
        <f>Tabelle4[[#This Row],[Industry Funding from BR (IPK)]]+Tabelle4[[#This Row],[Industry Funding from BR (ITA)]]</f>
        <v>190000</v>
      </c>
      <c r="CT138" s="51">
        <f>Tabelle4[[#This Row],[Total Public Funding (IPK)]]+Tabelle4[[#This Row],[Total Public Funding (ITA)]]</f>
        <v>0</v>
      </c>
      <c r="CU138" s="51">
        <f>Tabelle4[[#This Row],[Public Funding from DE (IPK)]]+Tabelle4[[#This Row],[Public Funding from DE (ITA)]]</f>
        <v>0</v>
      </c>
      <c r="CV138" s="51">
        <f>Tabelle4[[#This Row],[Public Funding from BR (IPK)]]+Tabelle4[[#This Row],[Public Funding from BR (ITA)]]</f>
        <v>0</v>
      </c>
      <c r="CW138" s="51">
        <f>Tabelle4[[#This Row],[Industry Funding from DE (FPC)]]+Tabelle4[[#This Row],[Public Funding from DE (FPC)]]</f>
        <v>0</v>
      </c>
      <c r="CX138" s="52">
        <f>Tabelle4[[#This Row],[Industry Funding from BR (FPC)]]+Tabelle4[[#This Row],[Public Funding from BR (FPC)]]</f>
        <v>190000</v>
      </c>
      <c r="CY138" s="44">
        <f>Tabelle4[[#This Row],[Total Financial Budget (Other)]]+Tabelle4[[#This Row],[Total In-kind Contribution (Other)]]</f>
        <v>0</v>
      </c>
      <c r="CZ138"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38" s="44">
        <f>Tabelle4[[#This Row],[In-kind Contribution (R&amp;D III)]]+Tabelle4[[#This Row],[In-kind Contribution (R&amp;D IV)]]</f>
        <v>0</v>
      </c>
      <c r="DB138" s="158">
        <f>Tabelle4[[#This Row],[Total Budget (FPC)]]+Tabelle4[[#This Row],[Total Volume (Other)]]</f>
        <v>190000</v>
      </c>
      <c r="DC138" s="105">
        <f>Tabelle4[[#This Row],[Total Revenues (IPK)]]</f>
        <v>100000</v>
      </c>
      <c r="DD138" s="53">
        <v>0</v>
      </c>
      <c r="DE138" s="51">
        <f>Tabelle4[[#This Row],[Total Revenues IPK]]*Tabelle4[[#This Row],[Probability of Success]]</f>
        <v>0</v>
      </c>
      <c r="DF138" s="51"/>
      <c r="DG138" s="51"/>
      <c r="DH138" s="51"/>
      <c r="DI138" s="51"/>
      <c r="DJ138" s="51"/>
      <c r="DK138" s="53"/>
      <c r="DL138" s="51">
        <f>Tabelle4[[#This Row],[Real Budget IPK]]*Tabelle4[[#This Row],[Acquisition Factor OE810]]</f>
        <v>0</v>
      </c>
      <c r="DM138" s="51">
        <v>0</v>
      </c>
      <c r="DN138" s="52">
        <f>Tabelle4[[#This Row],[Acquisition Bonus OE810]]+Tabelle4[[#This Row],[Project Execution OE810]]</f>
        <v>0</v>
      </c>
    </row>
    <row r="139" spans="1:118" ht="40.5" customHeight="1" x14ac:dyDescent="0.45">
      <c r="A139" s="48" t="s">
        <v>212</v>
      </c>
      <c r="B139" s="49"/>
      <c r="C139" s="49" t="s">
        <v>128</v>
      </c>
      <c r="D139" s="49" t="s">
        <v>709</v>
      </c>
      <c r="E139" s="49"/>
      <c r="F139" s="49"/>
      <c r="G139" s="49" t="s">
        <v>97</v>
      </c>
      <c r="H139" s="49" t="s">
        <v>96</v>
      </c>
      <c r="I139" s="49"/>
      <c r="J139" s="50"/>
      <c r="K139" s="49" t="s">
        <v>246</v>
      </c>
      <c r="L139" s="49" t="s">
        <v>309</v>
      </c>
      <c r="M139" s="146"/>
      <c r="N139" s="49"/>
      <c r="O139" s="50"/>
      <c r="P139" s="50"/>
      <c r="Q139" s="49"/>
      <c r="R139" s="50"/>
      <c r="S139" s="50"/>
      <c r="T139" s="50"/>
      <c r="U139" s="50"/>
      <c r="V139" s="50"/>
      <c r="W139" s="50"/>
      <c r="X139" s="50"/>
      <c r="Y139" s="50">
        <v>43745</v>
      </c>
      <c r="Z139" s="48" t="str">
        <f t="shared" si="23"/>
        <v>IPK</v>
      </c>
      <c r="AA139" s="49"/>
      <c r="AB139" s="105">
        <v>60000</v>
      </c>
      <c r="AC139" s="105"/>
      <c r="AD139" s="105"/>
      <c r="AE139" s="105"/>
      <c r="AF139" s="105"/>
      <c r="AG139" s="48" t="str">
        <f t="shared" si="24"/>
        <v>ITA</v>
      </c>
      <c r="AH139" s="33" t="s">
        <v>266</v>
      </c>
      <c r="AI139" s="33" t="s">
        <v>130</v>
      </c>
      <c r="AN139" s="101"/>
      <c r="AO139" s="49"/>
      <c r="AP139" s="49"/>
      <c r="AQ139" s="105"/>
      <c r="AR139" s="105"/>
      <c r="AS139" s="105"/>
      <c r="AT139" s="105"/>
      <c r="AU139" s="102"/>
      <c r="AV139" s="49"/>
      <c r="AW139" s="49"/>
      <c r="AX139" s="105"/>
      <c r="AY139" s="105"/>
      <c r="AZ139" s="105"/>
      <c r="BA139" s="105"/>
      <c r="BB139" s="105"/>
      <c r="BC139" s="48"/>
      <c r="BD139" s="49"/>
      <c r="BE139" s="105"/>
      <c r="BF139" s="102"/>
      <c r="BG139" s="49"/>
      <c r="BH139" s="49"/>
      <c r="BI139" s="105"/>
      <c r="BJ139" s="102"/>
      <c r="BK139" s="49"/>
      <c r="BL139" s="49"/>
      <c r="BM139" s="105"/>
      <c r="BN139" s="102"/>
      <c r="BO139" s="49"/>
      <c r="BP139" s="49"/>
      <c r="BQ139" s="105"/>
      <c r="BR139" s="102"/>
      <c r="BS139" s="49" t="s">
        <v>128</v>
      </c>
      <c r="BT139" s="49"/>
      <c r="BU139" s="102">
        <v>60000</v>
      </c>
      <c r="BV139" s="49"/>
      <c r="BW139" s="49"/>
      <c r="BX139" s="102"/>
      <c r="BY139" s="51">
        <f>Tabelle4[[#This Row],[Industry Funding from DE (IPK)]]+Tabelle4[[#This Row],[Industry Funding from BR (IPK)]]+Tabelle4[[#This Row],[Public Funding from DE (IPK)]]+Tabelle4[[#This Row],[Public Funding from BR (IPK)]]+Tabelle4[[#This Row],[In-kind Contribution (IPK)]]</f>
        <v>60000</v>
      </c>
      <c r="BZ139" s="51">
        <f>Tabelle4[[#This Row],[Industry Funding from DE (IPK)]]+Tabelle4[[#This Row],[Industry Funding from BR (IPK)]]+Tabelle4[[#This Row],[Public Funding from DE (IPK)]]+Tabelle4[[#This Row],[Public Funding from BR (IPK)]]</f>
        <v>60000</v>
      </c>
      <c r="CA139" s="51">
        <f>Tabelle4[[#This Row],[Industry Funding from DE (IPK)]]+Tabelle4[[#This Row],[Industry Funding from BR (IPK)]]</f>
        <v>60000</v>
      </c>
      <c r="CB139" s="51">
        <f>Tabelle4[[#This Row],[Public Funding from DE (IPK)]]+Tabelle4[[#This Row],[Public Funding from BR (IPK)]]</f>
        <v>0</v>
      </c>
      <c r="CC139" s="51">
        <f>Tabelle4[[#This Row],[In-kind Contribution (IPK)]]</f>
        <v>0</v>
      </c>
      <c r="CD139" s="53">
        <f>(Tabelle4[[#This Row],[Total Industry Funding (IPK)]] + Tabelle4[[#This Row],[Total Public Funding (IPK)]])/Tabelle4[[#This Row],[Total Project Volume (IPK)]]</f>
        <v>1</v>
      </c>
      <c r="CE139" s="53">
        <f>Tabelle4[[#This Row],[Total Industry Funding (IPK)]] / Tabelle4[[#This Row],[Total Project Volume (IPK)]]</f>
        <v>1</v>
      </c>
      <c r="CF139" s="49" t="str">
        <f>Tabelle4[[#This Row],[Project Funding Classification]]</f>
        <v>Public Funding</v>
      </c>
      <c r="CG139" s="51">
        <f>Tabelle4[[#This Row],[Industry Funding from DE (IPK)]]+Tabelle4[[#This Row],[Public Funding from DE (IPK)]]</f>
        <v>60000</v>
      </c>
      <c r="CH139" s="52">
        <f>Tabelle4[[#This Row],[Industry Funding from BR (IPK)]]+Tabelle4[[#This Row],[Public Funding from BR (IPK)]]</f>
        <v>0</v>
      </c>
      <c r="CI139" s="51">
        <f>Tabelle4[[#This Row],[Industry Funding from DE (ITA)]]+Tabelle4[[#This Row],[Industry Funding from BR (ITA)]]+Tabelle4[[#This Row],[Public Funding from DE (ITA)]]+Tabelle4[[#This Row],[Public Funding from BR (ITA)]]</f>
        <v>0</v>
      </c>
      <c r="CJ139" s="51">
        <f>Tabelle4[[#This Row],[Industry Funding from DE (ITA)]]+Tabelle4[[#This Row],[Industry Funding from BR (ITA)]]</f>
        <v>0</v>
      </c>
      <c r="CK139" s="51">
        <f>Tabelle4[[#This Row],[Public Funding from DE (ITA)]]+Tabelle4[[#This Row],[Public Funding from BR (ITA)]]</f>
        <v>0</v>
      </c>
      <c r="CL139" s="53" t="e">
        <f>Tabelle4[[#This Row],[Total Industry Funding (ITA)]]/Tabelle4[[#This Row],[Total Project Volume (ITA)]]</f>
        <v>#DIV/0!</v>
      </c>
      <c r="CM139" s="49" t="e">
        <f>IF(Tabelle4[[#This Row],[Funding Ratio (ITA)]]&lt;0.5,"Public Funding","Industry")</f>
        <v>#DIV/0!</v>
      </c>
      <c r="CN139" s="51">
        <f>Tabelle4[[#This Row],[Industry Funding from DE (ITA)]]+Tabelle4[[#This Row],[Public Funding from DE (ITA)]]</f>
        <v>0</v>
      </c>
      <c r="CO139" s="52">
        <f>Tabelle4[[#This Row],[Industry Funding from BR (ITA)]]+Tabelle4[[#This Row],[Public Funding from BR (ITA)]]</f>
        <v>0</v>
      </c>
      <c r="CP139" s="51">
        <f>Tabelle4[[#This Row],[Total Project Volume (IPK)]]+Tabelle4[[#This Row],[Total Project Volume (ITA)]]</f>
        <v>60000</v>
      </c>
      <c r="CQ139" s="51">
        <f>Tabelle4[[#This Row],[Total Industry Funding (IPK)]]+Tabelle4[[#This Row],[Total Industry Funding (ITA)]]</f>
        <v>60000</v>
      </c>
      <c r="CR139" s="51">
        <f>Tabelle4[[#This Row],[Industry Funding from DE (IPK)]]+Tabelle4[[#This Row],[Industry Funding from DE (ITA)]]</f>
        <v>60000</v>
      </c>
      <c r="CS139" s="51">
        <f>Tabelle4[[#This Row],[Industry Funding from BR (IPK)]]+Tabelle4[[#This Row],[Industry Funding from BR (ITA)]]</f>
        <v>0</v>
      </c>
      <c r="CT139" s="51">
        <f>Tabelle4[[#This Row],[Total Public Funding (IPK)]]+Tabelle4[[#This Row],[Total Public Funding (ITA)]]</f>
        <v>0</v>
      </c>
      <c r="CU139" s="51">
        <f>Tabelle4[[#This Row],[Public Funding from DE (IPK)]]+Tabelle4[[#This Row],[Public Funding from DE (ITA)]]</f>
        <v>0</v>
      </c>
      <c r="CV139" s="51">
        <f>Tabelle4[[#This Row],[Public Funding from BR (IPK)]]+Tabelle4[[#This Row],[Public Funding from BR (ITA)]]</f>
        <v>0</v>
      </c>
      <c r="CW139" s="51">
        <f>Tabelle4[[#This Row],[Industry Funding from DE (FPC)]]+Tabelle4[[#This Row],[Public Funding from DE (FPC)]]</f>
        <v>60000</v>
      </c>
      <c r="CX139" s="52">
        <f>Tabelle4[[#This Row],[Industry Funding from BR (FPC)]]+Tabelle4[[#This Row],[Public Funding from BR (FPC)]]</f>
        <v>0</v>
      </c>
      <c r="CY139" s="44">
        <f>Tabelle4[[#This Row],[Total Financial Budget (Other)]]+Tabelle4[[#This Row],[Total In-kind Contribution (Other)]]</f>
        <v>0</v>
      </c>
      <c r="CZ139"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39" s="44">
        <f>Tabelle4[[#This Row],[In-kind Contribution (R&amp;D III)]]+Tabelle4[[#This Row],[In-kind Contribution (R&amp;D IV)]]</f>
        <v>0</v>
      </c>
      <c r="DB139" s="158">
        <f>Tabelle4[[#This Row],[Total Budget (FPC)]]+Tabelle4[[#This Row],[Total Volume (Other)]]</f>
        <v>60000</v>
      </c>
      <c r="DC139" s="105">
        <f>Tabelle4[[#This Row],[Total Revenues (IPK)]]</f>
        <v>60000</v>
      </c>
      <c r="DD139" s="53">
        <v>0</v>
      </c>
      <c r="DE139" s="51">
        <f>Tabelle4[[#This Row],[Total Revenues IPK]]*Tabelle4[[#This Row],[Probability of Success]]</f>
        <v>0</v>
      </c>
      <c r="DF139" s="51"/>
      <c r="DG139" s="51"/>
      <c r="DH139" s="51"/>
      <c r="DI139" s="51"/>
      <c r="DJ139" s="51"/>
      <c r="DK139" s="53"/>
      <c r="DL139" s="51">
        <f>Tabelle4[[#This Row],[Real Budget IPK]]*Tabelle4[[#This Row],[Acquisition Factor OE810]]</f>
        <v>0</v>
      </c>
      <c r="DM139" s="51">
        <v>0</v>
      </c>
      <c r="DN139" s="52">
        <f>Tabelle4[[#This Row],[Acquisition Bonus OE810]]+Tabelle4[[#This Row],[Project Execution OE810]]</f>
        <v>0</v>
      </c>
    </row>
    <row r="140" spans="1:118" ht="40.5" customHeight="1" x14ac:dyDescent="0.45">
      <c r="A140" s="42" t="s">
        <v>127</v>
      </c>
      <c r="C140" s="33" t="s">
        <v>128</v>
      </c>
      <c r="D140" s="33" t="s">
        <v>711</v>
      </c>
      <c r="G140" s="33" t="s">
        <v>97</v>
      </c>
      <c r="H140" s="33" t="s">
        <v>96</v>
      </c>
      <c r="K140" s="33" t="s">
        <v>245</v>
      </c>
      <c r="L140" s="33" t="s">
        <v>651</v>
      </c>
      <c r="P140" s="59">
        <v>43586</v>
      </c>
      <c r="R140" s="59">
        <v>43769</v>
      </c>
      <c r="W140" s="59">
        <v>43586</v>
      </c>
      <c r="X140" s="59">
        <v>44007</v>
      </c>
      <c r="Z140" s="42" t="str">
        <f t="shared" si="23"/>
        <v>IPK</v>
      </c>
      <c r="AA140" s="33" t="s">
        <v>129</v>
      </c>
      <c r="AB140" s="61">
        <v>0</v>
      </c>
      <c r="AC140" s="61">
        <v>0</v>
      </c>
      <c r="AD140" s="61">
        <v>42562</v>
      </c>
      <c r="AE140" s="61">
        <v>0</v>
      </c>
      <c r="AF140" s="61">
        <v>0</v>
      </c>
      <c r="AG140" s="42" t="str">
        <f t="shared" si="24"/>
        <v>ITA</v>
      </c>
      <c r="AH140" s="33" t="s">
        <v>130</v>
      </c>
      <c r="AI140" s="33" t="s">
        <v>130</v>
      </c>
      <c r="AJ140" s="104">
        <v>0</v>
      </c>
      <c r="AL140" s="104">
        <v>0</v>
      </c>
      <c r="AM140" s="104">
        <v>0</v>
      </c>
      <c r="AN140" s="101">
        <v>0</v>
      </c>
      <c r="AO140" s="33" t="s">
        <v>116</v>
      </c>
      <c r="AP140" s="33" t="s">
        <v>116</v>
      </c>
      <c r="AQ140" s="61">
        <v>0</v>
      </c>
      <c r="AR140" s="61">
        <v>0</v>
      </c>
      <c r="AS140" s="61">
        <v>0</v>
      </c>
      <c r="AT140" s="61">
        <v>0</v>
      </c>
      <c r="AU140" s="65">
        <v>0</v>
      </c>
      <c r="AV140" s="33" t="s">
        <v>116</v>
      </c>
      <c r="AW140" s="33" t="s">
        <v>116</v>
      </c>
      <c r="AX140" s="61">
        <v>0</v>
      </c>
      <c r="AY140" s="61">
        <v>0</v>
      </c>
      <c r="AZ140" s="61">
        <v>0</v>
      </c>
      <c r="BA140" s="61">
        <v>0</v>
      </c>
      <c r="BB140" s="61">
        <v>0</v>
      </c>
      <c r="BC140" s="42" t="s">
        <v>116</v>
      </c>
      <c r="BD140" s="33" t="s">
        <v>116</v>
      </c>
      <c r="BE140" s="61">
        <v>0</v>
      </c>
      <c r="BF140" s="65">
        <v>0</v>
      </c>
      <c r="BG140" s="33" t="s">
        <v>116</v>
      </c>
      <c r="BH140" s="33" t="s">
        <v>116</v>
      </c>
      <c r="BI140" s="61">
        <v>0</v>
      </c>
      <c r="BJ140" s="65">
        <v>0</v>
      </c>
      <c r="BK140" s="33" t="s">
        <v>116</v>
      </c>
      <c r="BL140" s="33" t="s">
        <v>116</v>
      </c>
      <c r="BM140" s="61">
        <v>0</v>
      </c>
      <c r="BN140" s="65">
        <v>0</v>
      </c>
      <c r="BO140" s="33" t="s">
        <v>116</v>
      </c>
      <c r="BP140" s="33" t="s">
        <v>116</v>
      </c>
      <c r="BQ140" s="61">
        <v>0</v>
      </c>
      <c r="BR140" s="65">
        <v>0</v>
      </c>
      <c r="BS140" s="33" t="s">
        <v>128</v>
      </c>
      <c r="BT140" s="33" t="s">
        <v>131</v>
      </c>
      <c r="BU140" s="65">
        <v>42562</v>
      </c>
      <c r="BV140" s="33" t="s">
        <v>116</v>
      </c>
      <c r="BW140" s="33" t="s">
        <v>116</v>
      </c>
      <c r="BX140" s="65">
        <v>0</v>
      </c>
      <c r="BY140" s="44">
        <f>Tabelle4[[#This Row],[Industry Funding from DE (IPK)]]+Tabelle4[[#This Row],[Industry Funding from BR (IPK)]]+Tabelle4[[#This Row],[Public Funding from DE (IPK)]]+Tabelle4[[#This Row],[Public Funding from BR (IPK)]]+Tabelle4[[#This Row],[In-kind Contribution (IPK)]]</f>
        <v>42562</v>
      </c>
      <c r="BZ140" s="44">
        <f>Tabelle4[[#This Row],[Industry Funding from DE (IPK)]]+Tabelle4[[#This Row],[Industry Funding from BR (IPK)]]+Tabelle4[[#This Row],[Public Funding from DE (IPK)]]+Tabelle4[[#This Row],[Public Funding from BR (IPK)]]</f>
        <v>42562</v>
      </c>
      <c r="CA140" s="44">
        <f>Tabelle4[[#This Row],[Industry Funding from DE (IPK)]]+Tabelle4[[#This Row],[Industry Funding from BR (IPK)]]</f>
        <v>0</v>
      </c>
      <c r="CB140" s="44">
        <f>Tabelle4[[#This Row],[Public Funding from DE (IPK)]]+Tabelle4[[#This Row],[Public Funding from BR (IPK)]]</f>
        <v>42562</v>
      </c>
      <c r="CC140" s="44">
        <f>Tabelle4[[#This Row],[In-kind Contribution (IPK)]]</f>
        <v>0</v>
      </c>
      <c r="CD140" s="47">
        <f>(Tabelle4[[#This Row],[Total Industry Funding (IPK)]] + Tabelle4[[#This Row],[Total Public Funding (IPK)]])/Tabelle4[[#This Row],[Total Project Volume (IPK)]]</f>
        <v>1</v>
      </c>
      <c r="CE140" s="47">
        <f>Tabelle4[[#This Row],[Total Industry Funding (IPK)]] / Tabelle4[[#This Row],[Total Project Volume (IPK)]]</f>
        <v>0</v>
      </c>
      <c r="CF140" s="33" t="str">
        <f>Tabelle4[[#This Row],[Project Funding Classification]]</f>
        <v>Public Funding</v>
      </c>
      <c r="CG140" s="44">
        <f>Tabelle4[[#This Row],[Industry Funding from DE (IPK)]]+Tabelle4[[#This Row],[Public Funding from DE (IPK)]]</f>
        <v>42562</v>
      </c>
      <c r="CH140" s="46">
        <f>Tabelle4[[#This Row],[Industry Funding from BR (IPK)]]+Tabelle4[[#This Row],[Public Funding from BR (IPK)]]</f>
        <v>0</v>
      </c>
      <c r="CI140" s="44">
        <f>Tabelle4[[#This Row],[Industry Funding from DE (ITA)]]+Tabelle4[[#This Row],[Industry Funding from BR (ITA)]]+Tabelle4[[#This Row],[Public Funding from DE (ITA)]]+Tabelle4[[#This Row],[Public Funding from BR (ITA)]]</f>
        <v>0</v>
      </c>
      <c r="CJ140" s="44">
        <f>Tabelle4[[#This Row],[Industry Funding from DE (ITA)]]+Tabelle4[[#This Row],[Industry Funding from BR (ITA)]]</f>
        <v>0</v>
      </c>
      <c r="CK140" s="44">
        <f>Tabelle4[[#This Row],[Public Funding from DE (ITA)]]+Tabelle4[[#This Row],[Public Funding from BR (ITA)]]</f>
        <v>0</v>
      </c>
      <c r="CL140" s="47" t="e">
        <f>Tabelle4[[#This Row],[Total Industry Funding (ITA)]]/Tabelle4[[#This Row],[Total Project Volume (ITA)]]</f>
        <v>#DIV/0!</v>
      </c>
      <c r="CM140" s="33" t="e">
        <f>IF(Tabelle4[[#This Row],[Funding Ratio (ITA)]]&lt;0.5,"Public Funding","Industry")</f>
        <v>#DIV/0!</v>
      </c>
      <c r="CN140" s="44">
        <f>Tabelle4[[#This Row],[Industry Funding from DE (ITA)]]+Tabelle4[[#This Row],[Public Funding from DE (ITA)]]</f>
        <v>0</v>
      </c>
      <c r="CO140" s="46">
        <f>Tabelle4[[#This Row],[Industry Funding from BR (ITA)]]+Tabelle4[[#This Row],[Public Funding from BR (ITA)]]</f>
        <v>0</v>
      </c>
      <c r="CP140" s="44">
        <f>Tabelle4[[#This Row],[Total Project Volume (IPK)]]+Tabelle4[[#This Row],[Total Project Volume (ITA)]]</f>
        <v>42562</v>
      </c>
      <c r="CQ140" s="44">
        <f>Tabelle4[[#This Row],[Total Industry Funding (IPK)]]+Tabelle4[[#This Row],[Total Industry Funding (ITA)]]</f>
        <v>0</v>
      </c>
      <c r="CR140" s="44">
        <f>Tabelle4[[#This Row],[Industry Funding from DE (IPK)]]+Tabelle4[[#This Row],[Industry Funding from DE (ITA)]]</f>
        <v>0</v>
      </c>
      <c r="CS140" s="44">
        <f>Tabelle4[[#This Row],[Industry Funding from BR (IPK)]]+Tabelle4[[#This Row],[Industry Funding from BR (ITA)]]</f>
        <v>0</v>
      </c>
      <c r="CT140" s="44">
        <f>Tabelle4[[#This Row],[Total Public Funding (IPK)]]+Tabelle4[[#This Row],[Total Public Funding (ITA)]]</f>
        <v>42562</v>
      </c>
      <c r="CU140" s="44">
        <f>Tabelle4[[#This Row],[Public Funding from DE (IPK)]]+Tabelle4[[#This Row],[Public Funding from DE (ITA)]]</f>
        <v>42562</v>
      </c>
      <c r="CV140" s="44">
        <f>Tabelle4[[#This Row],[Public Funding from BR (IPK)]]+Tabelle4[[#This Row],[Public Funding from BR (ITA)]]</f>
        <v>0</v>
      </c>
      <c r="CW140" s="44">
        <f>Tabelle4[[#This Row],[Industry Funding from DE (FPC)]]+Tabelle4[[#This Row],[Public Funding from DE (FPC)]]</f>
        <v>42562</v>
      </c>
      <c r="CX140" s="46">
        <f>Tabelle4[[#This Row],[Industry Funding from BR (FPC)]]+Tabelle4[[#This Row],[Public Funding from BR (FPC)]]</f>
        <v>0</v>
      </c>
      <c r="CY140" s="44">
        <f>Tabelle4[[#This Row],[Total Financial Budget (Other)]]+Tabelle4[[#This Row],[Total In-kind Contribution (Other)]]</f>
        <v>0</v>
      </c>
      <c r="CZ14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40" s="44">
        <f>Tabelle4[[#This Row],[In-kind Contribution (R&amp;D III)]]+Tabelle4[[#This Row],[In-kind Contribution (R&amp;D IV)]]</f>
        <v>0</v>
      </c>
      <c r="DB140" s="158">
        <f>Tabelle4[[#This Row],[Total Budget (FPC)]]+Tabelle4[[#This Row],[Total Volume (Other)]]</f>
        <v>42562</v>
      </c>
      <c r="DC140" s="104">
        <f>Tabelle4[[#This Row],[Total Revenues (IPK)]]</f>
        <v>42562</v>
      </c>
      <c r="DD140" s="47">
        <v>1</v>
      </c>
      <c r="DE140" s="44">
        <f>Tabelle4[[#This Row],[Total Revenues IPK]]*Tabelle4[[#This Row],[Probability of Success]]</f>
        <v>42562</v>
      </c>
      <c r="DH140" s="44">
        <v>24321</v>
      </c>
      <c r="DK140" s="47">
        <v>0.15</v>
      </c>
      <c r="DL140" s="44">
        <f>Tabelle4[[#This Row],[Real Budget IPK]]*Tabelle4[[#This Row],[Acquisition Factor OE810]]</f>
        <v>6384.3</v>
      </c>
      <c r="DM140" s="44">
        <v>11856.7</v>
      </c>
      <c r="DN140" s="46">
        <f>Tabelle4[[#This Row],[Acquisition Bonus OE810]]+Tabelle4[[#This Row],[Project Execution OE810]]</f>
        <v>18241</v>
      </c>
    </row>
    <row r="141" spans="1:118" ht="51" customHeight="1" x14ac:dyDescent="0.45">
      <c r="A141" s="70" t="s">
        <v>126</v>
      </c>
      <c r="C141" s="33" t="s">
        <v>123</v>
      </c>
      <c r="D141" s="33" t="s">
        <v>706</v>
      </c>
      <c r="G141" s="33" t="s">
        <v>2</v>
      </c>
      <c r="H141" s="33" t="s">
        <v>0</v>
      </c>
      <c r="K141" s="33" t="s">
        <v>245</v>
      </c>
      <c r="L141" s="33" t="s">
        <v>651</v>
      </c>
      <c r="Z141" s="42" t="str">
        <f t="shared" si="23"/>
        <v>IPK</v>
      </c>
      <c r="AA141" s="33" t="s">
        <v>116</v>
      </c>
      <c r="AB141" s="104">
        <v>0</v>
      </c>
      <c r="AC141" s="104">
        <v>0</v>
      </c>
      <c r="AD141" s="104">
        <v>0</v>
      </c>
      <c r="AE141" s="104">
        <v>0</v>
      </c>
      <c r="AF141" s="104">
        <v>0</v>
      </c>
      <c r="AG141" s="42" t="str">
        <f t="shared" si="24"/>
        <v>ITA</v>
      </c>
      <c r="AH141" s="33" t="s">
        <v>442</v>
      </c>
      <c r="AI141" s="33" t="s">
        <v>346</v>
      </c>
      <c r="AJ141" s="104">
        <v>0</v>
      </c>
      <c r="AL141" s="104">
        <v>0</v>
      </c>
      <c r="AM141" s="104">
        <v>70238</v>
      </c>
      <c r="AN141" s="104">
        <v>0</v>
      </c>
      <c r="AO141" s="42" t="s">
        <v>116</v>
      </c>
      <c r="AP141" s="33" t="s">
        <v>116</v>
      </c>
      <c r="AQ141" s="104">
        <v>0</v>
      </c>
      <c r="AR141" s="104">
        <v>0</v>
      </c>
      <c r="AS141" s="104">
        <v>0</v>
      </c>
      <c r="AT141" s="104">
        <v>0</v>
      </c>
      <c r="AU141" s="101">
        <v>0</v>
      </c>
      <c r="AV141" s="33" t="s">
        <v>116</v>
      </c>
      <c r="AW141" s="33" t="s">
        <v>116</v>
      </c>
      <c r="AX141" s="104">
        <v>0</v>
      </c>
      <c r="AY141" s="104">
        <v>0</v>
      </c>
      <c r="AZ141" s="104">
        <v>0</v>
      </c>
      <c r="BA141" s="104">
        <v>0</v>
      </c>
      <c r="BB141" s="104">
        <v>0</v>
      </c>
      <c r="BC141" s="42" t="s">
        <v>123</v>
      </c>
      <c r="BD141" s="33" t="s">
        <v>124</v>
      </c>
      <c r="BE141" s="104">
        <v>70238</v>
      </c>
      <c r="BF141" s="101">
        <v>0</v>
      </c>
      <c r="BG141" s="33" t="s">
        <v>116</v>
      </c>
      <c r="BH141" s="33" t="s">
        <v>116</v>
      </c>
      <c r="BI141" s="104">
        <v>0</v>
      </c>
      <c r="BJ141" s="101">
        <v>0</v>
      </c>
      <c r="BK141" s="33" t="s">
        <v>116</v>
      </c>
      <c r="BL141" s="33" t="s">
        <v>116</v>
      </c>
      <c r="BM141" s="104">
        <v>0</v>
      </c>
      <c r="BN141" s="101">
        <v>0</v>
      </c>
      <c r="BO141" s="33" t="s">
        <v>116</v>
      </c>
      <c r="BP141" s="33" t="s">
        <v>116</v>
      </c>
      <c r="BQ141" s="104">
        <v>0</v>
      </c>
      <c r="BR141" s="101">
        <v>0</v>
      </c>
      <c r="BS141" s="33" t="s">
        <v>116</v>
      </c>
      <c r="BT141" s="33" t="s">
        <v>116</v>
      </c>
      <c r="BU141" s="101">
        <v>0</v>
      </c>
      <c r="BV141" s="33" t="s">
        <v>116</v>
      </c>
      <c r="BW141" s="33" t="s">
        <v>116</v>
      </c>
      <c r="BX141" s="101">
        <v>0</v>
      </c>
      <c r="BY141" s="44">
        <f>Tabelle4[[#This Row],[Industry Funding from DE (IPK)]]+Tabelle4[[#This Row],[Industry Funding from BR (IPK)]]+Tabelle4[[#This Row],[Public Funding from DE (IPK)]]+Tabelle4[[#This Row],[Public Funding from BR (IPK)]]+Tabelle4[[#This Row],[In-kind Contribution (IPK)]]</f>
        <v>0</v>
      </c>
      <c r="BZ141" s="44">
        <f>Tabelle4[[#This Row],[Industry Funding from DE (IPK)]]+Tabelle4[[#This Row],[Industry Funding from BR (IPK)]]+Tabelle4[[#This Row],[Public Funding from DE (IPK)]]+Tabelle4[[#This Row],[Public Funding from BR (IPK)]]</f>
        <v>0</v>
      </c>
      <c r="CA141" s="44">
        <f>Tabelle4[[#This Row],[Industry Funding from DE (IPK)]]+Tabelle4[[#This Row],[Industry Funding from BR (IPK)]]</f>
        <v>0</v>
      </c>
      <c r="CB141" s="44">
        <f>Tabelle4[[#This Row],[Public Funding from DE (IPK)]]+Tabelle4[[#This Row],[Public Funding from BR (IPK)]]</f>
        <v>0</v>
      </c>
      <c r="CC141" s="44">
        <f>Tabelle4[[#This Row],[In-kind Contribution (IPK)]]</f>
        <v>0</v>
      </c>
      <c r="CD141" s="47" t="e">
        <f>(Tabelle4[[#This Row],[Total Industry Funding (IPK)]] + Tabelle4[[#This Row],[Total Public Funding (IPK)]])/Tabelle4[[#This Row],[Total Project Volume (IPK)]]</f>
        <v>#DIV/0!</v>
      </c>
      <c r="CE141" s="47" t="e">
        <f>Tabelle4[[#This Row],[Total Industry Funding (IPK)]] / Tabelle4[[#This Row],[Total Project Volume (IPK)]]</f>
        <v>#DIV/0!</v>
      </c>
      <c r="CF141" s="33" t="str">
        <f>Tabelle4[[#This Row],[Project Funding Classification]]</f>
        <v>Industry</v>
      </c>
      <c r="CG141" s="44">
        <f>Tabelle4[[#This Row],[Industry Funding from DE (IPK)]]+Tabelle4[[#This Row],[Public Funding from DE (IPK)]]</f>
        <v>0</v>
      </c>
      <c r="CH141" s="46">
        <f>Tabelle4[[#This Row],[Industry Funding from BR (IPK)]]+Tabelle4[[#This Row],[Public Funding from BR (IPK)]]</f>
        <v>0</v>
      </c>
      <c r="CI141" s="44">
        <f>Tabelle4[[#This Row],[Industry Funding from DE (ITA)]]+Tabelle4[[#This Row],[Industry Funding from BR (ITA)]]+Tabelle4[[#This Row],[Public Funding from DE (ITA)]]+Tabelle4[[#This Row],[Public Funding from BR (ITA)]]</f>
        <v>70238</v>
      </c>
      <c r="CJ141" s="44">
        <f>Tabelle4[[#This Row],[Industry Funding from DE (ITA)]]+Tabelle4[[#This Row],[Industry Funding from BR (ITA)]]</f>
        <v>0</v>
      </c>
      <c r="CK141" s="44">
        <f>Tabelle4[[#This Row],[Public Funding from DE (ITA)]]+Tabelle4[[#This Row],[Public Funding from BR (ITA)]]</f>
        <v>70238</v>
      </c>
      <c r="CL141" s="47">
        <f>Tabelle4[[#This Row],[Total Industry Funding (ITA)]]/Tabelle4[[#This Row],[Total Project Volume (ITA)]]</f>
        <v>0</v>
      </c>
      <c r="CM141" s="33" t="str">
        <f>IF(Tabelle4[[#This Row],[Funding Ratio (ITA)]]&lt;0.5,"Public Funding","Industry")</f>
        <v>Public Funding</v>
      </c>
      <c r="CN141" s="44">
        <f>Tabelle4[[#This Row],[Industry Funding from DE (ITA)]]+Tabelle4[[#This Row],[Public Funding from DE (ITA)]]</f>
        <v>0</v>
      </c>
      <c r="CO141" s="46">
        <f>Tabelle4[[#This Row],[Industry Funding from BR (ITA)]]+Tabelle4[[#This Row],[Public Funding from BR (ITA)]]</f>
        <v>70238</v>
      </c>
      <c r="CP141" s="44">
        <f>Tabelle4[[#This Row],[Total Project Volume (IPK)]]+Tabelle4[[#This Row],[Total Project Volume (ITA)]]</f>
        <v>70238</v>
      </c>
      <c r="CQ141" s="44">
        <f>Tabelle4[[#This Row],[Total Industry Funding (IPK)]]+Tabelle4[[#This Row],[Total Industry Funding (ITA)]]</f>
        <v>0</v>
      </c>
      <c r="CR141" s="44">
        <f>Tabelle4[[#This Row],[Industry Funding from DE (IPK)]]+Tabelle4[[#This Row],[Industry Funding from DE (ITA)]]</f>
        <v>0</v>
      </c>
      <c r="CS141" s="44">
        <f>Tabelle4[[#This Row],[Industry Funding from BR (IPK)]]+Tabelle4[[#This Row],[Industry Funding from BR (ITA)]]</f>
        <v>0</v>
      </c>
      <c r="CT141" s="44">
        <f>Tabelle4[[#This Row],[Total Public Funding (IPK)]]+Tabelle4[[#This Row],[Total Public Funding (ITA)]]</f>
        <v>70238</v>
      </c>
      <c r="CU141" s="44">
        <f>Tabelle4[[#This Row],[Public Funding from DE (IPK)]]+Tabelle4[[#This Row],[Public Funding from DE (ITA)]]</f>
        <v>0</v>
      </c>
      <c r="CV141" s="44">
        <f>Tabelle4[[#This Row],[Public Funding from BR (IPK)]]+Tabelle4[[#This Row],[Public Funding from BR (ITA)]]</f>
        <v>70238</v>
      </c>
      <c r="CW141" s="44">
        <f>Tabelle4[[#This Row],[Industry Funding from DE (FPC)]]+Tabelle4[[#This Row],[Public Funding from DE (FPC)]]</f>
        <v>0</v>
      </c>
      <c r="CX141" s="46">
        <f>Tabelle4[[#This Row],[Industry Funding from BR (FPC)]]+Tabelle4[[#This Row],[Public Funding from BR (FPC)]]</f>
        <v>70238</v>
      </c>
      <c r="CY141" s="44">
        <f>Tabelle4[[#This Row],[Total Financial Budget (Other)]]+Tabelle4[[#This Row],[Total In-kind Contribution (Other)]]</f>
        <v>0</v>
      </c>
      <c r="CZ14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41" s="44">
        <f>Tabelle4[[#This Row],[In-kind Contribution (R&amp;D III)]]+Tabelle4[[#This Row],[In-kind Contribution (R&amp;D IV)]]</f>
        <v>0</v>
      </c>
      <c r="DB141" s="158">
        <f>Tabelle4[[#This Row],[Total Budget (FPC)]]+Tabelle4[[#This Row],[Total Volume (Other)]]</f>
        <v>70238</v>
      </c>
      <c r="DC141" s="104">
        <f>Tabelle4[[#This Row],[Total Revenues (IPK)]]</f>
        <v>0</v>
      </c>
      <c r="DD141" s="47">
        <v>0</v>
      </c>
      <c r="DE141" s="44">
        <f>Tabelle4[[#This Row],[Total Revenues IPK]]*Tabelle4[[#This Row],[Probability of Success]]</f>
        <v>0</v>
      </c>
      <c r="DK141" s="47">
        <v>0</v>
      </c>
      <c r="DL141" s="44">
        <f>Tabelle4[[#This Row],[Real Budget IPK]]*Tabelle4[[#This Row],[Acquisition Factor OE810]]</f>
        <v>0</v>
      </c>
      <c r="DM141" s="44">
        <v>0</v>
      </c>
      <c r="DN141" s="46">
        <f>Tabelle4[[#This Row],[Acquisition Bonus OE810]]+Tabelle4[[#This Row],[Project Execution OE810]]</f>
        <v>0</v>
      </c>
    </row>
    <row r="142" spans="1:118" ht="51" customHeight="1" x14ac:dyDescent="0.45">
      <c r="A142" s="48" t="s">
        <v>188</v>
      </c>
      <c r="B142" s="49"/>
      <c r="C142" s="49" t="s">
        <v>138</v>
      </c>
      <c r="D142" s="49" t="s">
        <v>705</v>
      </c>
      <c r="E142" s="49"/>
      <c r="F142" s="49"/>
      <c r="G142" s="49" t="s">
        <v>1</v>
      </c>
      <c r="H142" s="49" t="s">
        <v>0</v>
      </c>
      <c r="I142" s="49"/>
      <c r="J142" s="50"/>
      <c r="K142" s="49" t="s">
        <v>630</v>
      </c>
      <c r="L142" s="49"/>
      <c r="M142" s="146"/>
      <c r="N142" s="49"/>
      <c r="O142" s="50"/>
      <c r="P142" s="50"/>
      <c r="Q142" s="49"/>
      <c r="R142" s="50"/>
      <c r="S142" s="50"/>
      <c r="T142" s="50"/>
      <c r="U142" s="50"/>
      <c r="V142" s="50"/>
      <c r="W142" s="50"/>
      <c r="X142" s="50"/>
      <c r="Y142" s="50"/>
      <c r="Z142" s="48" t="str">
        <f t="shared" si="23"/>
        <v>IPK</v>
      </c>
      <c r="AA142" s="49"/>
      <c r="AB142" s="62"/>
      <c r="AC142" s="62"/>
      <c r="AD142" s="62"/>
      <c r="AE142" s="62"/>
      <c r="AF142" s="62"/>
      <c r="AG142" s="48" t="str">
        <f t="shared" si="24"/>
        <v>ITA</v>
      </c>
      <c r="AH142" s="49"/>
      <c r="AI142" s="49"/>
      <c r="AO142" s="48"/>
      <c r="AP142" s="49"/>
      <c r="AQ142" s="62"/>
      <c r="AR142" s="62"/>
      <c r="AS142" s="62"/>
      <c r="AT142" s="62"/>
      <c r="AU142" s="66"/>
      <c r="AV142" s="49"/>
      <c r="AW142" s="49"/>
      <c r="AX142" s="62"/>
      <c r="AY142" s="62"/>
      <c r="AZ142" s="62"/>
      <c r="BA142" s="62"/>
      <c r="BB142" s="62"/>
      <c r="BC142" s="48"/>
      <c r="BD142" s="49"/>
      <c r="BE142" s="62"/>
      <c r="BF142" s="66"/>
      <c r="BG142" s="49"/>
      <c r="BH142" s="49"/>
      <c r="BI142" s="62"/>
      <c r="BJ142" s="66"/>
      <c r="BK142" s="49"/>
      <c r="BL142" s="49"/>
      <c r="BM142" s="62"/>
      <c r="BN142" s="66"/>
      <c r="BO142" s="49"/>
      <c r="BP142" s="49"/>
      <c r="BQ142" s="62"/>
      <c r="BR142" s="66"/>
      <c r="BS142" s="49"/>
      <c r="BT142" s="49"/>
      <c r="BU142" s="66"/>
      <c r="BV142" s="49"/>
      <c r="BW142" s="49"/>
      <c r="BX142" s="66"/>
      <c r="BY142" s="51">
        <f>Tabelle4[[#This Row],[Industry Funding from DE (IPK)]]+Tabelle4[[#This Row],[Industry Funding from BR (IPK)]]+Tabelle4[[#This Row],[Public Funding from DE (IPK)]]+Tabelle4[[#This Row],[Public Funding from BR (IPK)]]+Tabelle4[[#This Row],[In-kind Contribution (IPK)]]</f>
        <v>0</v>
      </c>
      <c r="BZ142" s="51">
        <f>Tabelle4[[#This Row],[Industry Funding from DE (IPK)]]+Tabelle4[[#This Row],[Industry Funding from BR (IPK)]]+Tabelle4[[#This Row],[Public Funding from DE (IPK)]]+Tabelle4[[#This Row],[Public Funding from BR (IPK)]]</f>
        <v>0</v>
      </c>
      <c r="CA142" s="51">
        <f>Tabelle4[[#This Row],[Industry Funding from DE (IPK)]]+Tabelle4[[#This Row],[Industry Funding from BR (IPK)]]</f>
        <v>0</v>
      </c>
      <c r="CB142" s="51">
        <f>Tabelle4[[#This Row],[Public Funding from DE (IPK)]]+Tabelle4[[#This Row],[Public Funding from BR (IPK)]]</f>
        <v>0</v>
      </c>
      <c r="CC142" s="51">
        <f>Tabelle4[[#This Row],[In-kind Contribution (IPK)]]</f>
        <v>0</v>
      </c>
      <c r="CD142" s="53" t="e">
        <f>(Tabelle4[[#This Row],[Total Industry Funding (IPK)]] + Tabelle4[[#This Row],[Total Public Funding (IPK)]])/Tabelle4[[#This Row],[Total Project Volume (IPK)]]</f>
        <v>#DIV/0!</v>
      </c>
      <c r="CE142" s="53" t="e">
        <f>Tabelle4[[#This Row],[Total Industry Funding (IPK)]] / Tabelle4[[#This Row],[Total Project Volume (IPK)]]</f>
        <v>#DIV/0!</v>
      </c>
      <c r="CF142" s="49" t="str">
        <f>Tabelle4[[#This Row],[Project Funding Classification]]</f>
        <v>Industry</v>
      </c>
      <c r="CG142" s="51">
        <f>Tabelle4[[#This Row],[Industry Funding from DE (IPK)]]+Tabelle4[[#This Row],[Public Funding from DE (IPK)]]</f>
        <v>0</v>
      </c>
      <c r="CH142" s="52">
        <f>Tabelle4[[#This Row],[Industry Funding from BR (IPK)]]+Tabelle4[[#This Row],[Public Funding from BR (IPK)]]</f>
        <v>0</v>
      </c>
      <c r="CI142" s="51">
        <f>Tabelle4[[#This Row],[Industry Funding from DE (ITA)]]+Tabelle4[[#This Row],[Industry Funding from BR (ITA)]]+Tabelle4[[#This Row],[Public Funding from DE (ITA)]]+Tabelle4[[#This Row],[Public Funding from BR (ITA)]]</f>
        <v>0</v>
      </c>
      <c r="CJ142" s="51">
        <f>Tabelle4[[#This Row],[Industry Funding from DE (ITA)]]+Tabelle4[[#This Row],[Industry Funding from BR (ITA)]]</f>
        <v>0</v>
      </c>
      <c r="CK142" s="51">
        <f>Tabelle4[[#This Row],[Public Funding from DE (ITA)]]+Tabelle4[[#This Row],[Public Funding from BR (ITA)]]</f>
        <v>0</v>
      </c>
      <c r="CL142" s="53" t="e">
        <f>Tabelle4[[#This Row],[Total Industry Funding (ITA)]]/Tabelle4[[#This Row],[Total Project Volume (ITA)]]</f>
        <v>#DIV/0!</v>
      </c>
      <c r="CM142" s="49" t="e">
        <f>IF(Tabelle4[[#This Row],[Funding Ratio (ITA)]]&lt;0.5,"Public Funding","Industry")</f>
        <v>#DIV/0!</v>
      </c>
      <c r="CN142" s="51">
        <f>Tabelle4[[#This Row],[Industry Funding from DE (ITA)]]+Tabelle4[[#This Row],[Public Funding from DE (ITA)]]</f>
        <v>0</v>
      </c>
      <c r="CO142" s="52">
        <f>Tabelle4[[#This Row],[Industry Funding from BR (ITA)]]+Tabelle4[[#This Row],[Public Funding from BR (ITA)]]</f>
        <v>0</v>
      </c>
      <c r="CP142" s="51">
        <f>Tabelle4[[#This Row],[Total Project Volume (IPK)]]+Tabelle4[[#This Row],[Total Project Volume (ITA)]]</f>
        <v>0</v>
      </c>
      <c r="CQ142" s="51">
        <f>Tabelle4[[#This Row],[Total Industry Funding (IPK)]]+Tabelle4[[#This Row],[Total Industry Funding (ITA)]]</f>
        <v>0</v>
      </c>
      <c r="CR142" s="51">
        <f>Tabelle4[[#This Row],[Industry Funding from DE (IPK)]]+Tabelle4[[#This Row],[Industry Funding from DE (ITA)]]</f>
        <v>0</v>
      </c>
      <c r="CS142" s="51">
        <f>Tabelle4[[#This Row],[Industry Funding from BR (IPK)]]+Tabelle4[[#This Row],[Industry Funding from BR (ITA)]]</f>
        <v>0</v>
      </c>
      <c r="CT142" s="51">
        <f>Tabelle4[[#This Row],[Total Public Funding (IPK)]]+Tabelle4[[#This Row],[Total Public Funding (ITA)]]</f>
        <v>0</v>
      </c>
      <c r="CU142" s="51">
        <f>Tabelle4[[#This Row],[Public Funding from DE (IPK)]]+Tabelle4[[#This Row],[Public Funding from DE (ITA)]]</f>
        <v>0</v>
      </c>
      <c r="CV142" s="51">
        <f>Tabelle4[[#This Row],[Public Funding from BR (IPK)]]+Tabelle4[[#This Row],[Public Funding from BR (ITA)]]</f>
        <v>0</v>
      </c>
      <c r="CW142" s="51">
        <f>Tabelle4[[#This Row],[Industry Funding from DE (FPC)]]+Tabelle4[[#This Row],[Public Funding from DE (FPC)]]</f>
        <v>0</v>
      </c>
      <c r="CX142" s="52">
        <f>Tabelle4[[#This Row],[Industry Funding from BR (FPC)]]+Tabelle4[[#This Row],[Public Funding from BR (FPC)]]</f>
        <v>0</v>
      </c>
      <c r="CY142" s="44">
        <f>Tabelle4[[#This Row],[Total Financial Budget (Other)]]+Tabelle4[[#This Row],[Total In-kind Contribution (Other)]]</f>
        <v>0</v>
      </c>
      <c r="CZ142"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42" s="44">
        <f>Tabelle4[[#This Row],[In-kind Contribution (R&amp;D III)]]+Tabelle4[[#This Row],[In-kind Contribution (R&amp;D IV)]]</f>
        <v>0</v>
      </c>
      <c r="DB142" s="158">
        <f>Tabelle4[[#This Row],[Total Budget (FPC)]]+Tabelle4[[#This Row],[Total Volume (Other)]]</f>
        <v>0</v>
      </c>
      <c r="DC142" s="105">
        <f>Tabelle4[[#This Row],[Total Revenues (IPK)]]</f>
        <v>0</v>
      </c>
      <c r="DD142" s="53"/>
      <c r="DE142" s="51">
        <f>Tabelle4[[#This Row],[Total Revenues IPK]]*Tabelle4[[#This Row],[Probability of Success]]</f>
        <v>0</v>
      </c>
      <c r="DF142" s="51"/>
      <c r="DG142" s="51"/>
      <c r="DH142" s="51"/>
      <c r="DI142" s="51"/>
      <c r="DJ142" s="51"/>
      <c r="DK142" s="53"/>
      <c r="DL142" s="51">
        <f>Tabelle4[[#This Row],[Real Budget IPK]]*Tabelle4[[#This Row],[Acquisition Factor OE810]]</f>
        <v>0</v>
      </c>
      <c r="DM142" s="51">
        <v>0</v>
      </c>
      <c r="DN142" s="52">
        <f>Tabelle4[[#This Row],[Acquisition Bonus OE810]]+Tabelle4[[#This Row],[Project Execution OE810]]</f>
        <v>0</v>
      </c>
    </row>
    <row r="143" spans="1:118" ht="51" customHeight="1" x14ac:dyDescent="0.45">
      <c r="A143" s="42" t="s">
        <v>467</v>
      </c>
      <c r="B143" s="33" t="s">
        <v>468</v>
      </c>
      <c r="C143" s="33" t="s">
        <v>123</v>
      </c>
      <c r="D143" s="33" t="s">
        <v>706</v>
      </c>
      <c r="E143" s="33">
        <v>2</v>
      </c>
      <c r="F143" s="33">
        <v>1</v>
      </c>
      <c r="G143" s="33" t="s">
        <v>1</v>
      </c>
      <c r="H143" s="33" t="s">
        <v>0</v>
      </c>
      <c r="I143" s="33" t="s">
        <v>654</v>
      </c>
      <c r="J143" s="59">
        <v>43891</v>
      </c>
      <c r="K143" s="33" t="s">
        <v>246</v>
      </c>
      <c r="Q143" s="33">
        <v>9</v>
      </c>
      <c r="S143" s="59">
        <v>43891</v>
      </c>
      <c r="U143" s="59">
        <v>43921</v>
      </c>
      <c r="Z143" s="42" t="str">
        <f t="shared" si="23"/>
        <v>IPK</v>
      </c>
      <c r="AA143" s="33" t="s">
        <v>564</v>
      </c>
      <c r="AB143" s="104"/>
      <c r="AC143" s="104">
        <v>50000</v>
      </c>
      <c r="AD143" s="104"/>
      <c r="AE143" s="104"/>
      <c r="AF143" s="104"/>
      <c r="AG143" s="42" t="str">
        <f t="shared" si="24"/>
        <v>ITA</v>
      </c>
      <c r="AH143" s="33" t="s">
        <v>466</v>
      </c>
      <c r="AI143" s="33" t="s">
        <v>346</v>
      </c>
      <c r="AJ143" s="64"/>
      <c r="AK143" s="64"/>
      <c r="AO143" s="42"/>
      <c r="AQ143" s="104"/>
      <c r="AR143" s="104"/>
      <c r="AS143" s="104"/>
      <c r="AT143" s="104"/>
      <c r="AU143" s="101"/>
      <c r="AX143" s="104"/>
      <c r="AY143" s="104"/>
      <c r="AZ143" s="104"/>
      <c r="BA143" s="104"/>
      <c r="BB143" s="104"/>
      <c r="BC143" s="42" t="s">
        <v>565</v>
      </c>
      <c r="BD143" s="33" t="s">
        <v>574</v>
      </c>
      <c r="BE143" s="104"/>
      <c r="BF143" s="101"/>
      <c r="BI143" s="104"/>
      <c r="BJ143" s="101"/>
      <c r="BM143" s="104"/>
      <c r="BN143" s="101"/>
      <c r="BQ143" s="104"/>
      <c r="BR143" s="101"/>
      <c r="BS143" s="33" t="s">
        <v>565</v>
      </c>
      <c r="BU143" s="101"/>
      <c r="BX143" s="101"/>
      <c r="BY143" s="44">
        <f>Tabelle4[[#This Row],[Industry Funding from DE (IPK)]]+Tabelle4[[#This Row],[Industry Funding from BR (IPK)]]+Tabelle4[[#This Row],[Public Funding from DE (IPK)]]+Tabelle4[[#This Row],[Public Funding from BR (IPK)]]+Tabelle4[[#This Row],[In-kind Contribution (IPK)]]</f>
        <v>50000</v>
      </c>
      <c r="BZ143" s="44">
        <f>Tabelle4[[#This Row],[Industry Funding from DE (IPK)]]+Tabelle4[[#This Row],[Industry Funding from BR (IPK)]]+Tabelle4[[#This Row],[Public Funding from DE (IPK)]]+Tabelle4[[#This Row],[Public Funding from BR (IPK)]]</f>
        <v>50000</v>
      </c>
      <c r="CA143" s="44">
        <f>Tabelle4[[#This Row],[Industry Funding from DE (IPK)]]+Tabelle4[[#This Row],[Industry Funding from BR (IPK)]]</f>
        <v>50000</v>
      </c>
      <c r="CB143" s="44">
        <f>Tabelle4[[#This Row],[Public Funding from DE (IPK)]]+Tabelle4[[#This Row],[Public Funding from BR (IPK)]]</f>
        <v>0</v>
      </c>
      <c r="CC143" s="44">
        <f>Tabelle4[[#This Row],[In-kind Contribution (IPK)]]</f>
        <v>0</v>
      </c>
      <c r="CD143" s="47">
        <f>(Tabelle4[[#This Row],[Total Industry Funding (IPK)]] + Tabelle4[[#This Row],[Total Public Funding (IPK)]])/Tabelle4[[#This Row],[Total Project Volume (IPK)]]</f>
        <v>1</v>
      </c>
      <c r="CE143" s="47">
        <f>Tabelle4[[#This Row],[Total Industry Funding (IPK)]] / Tabelle4[[#This Row],[Total Project Volume (IPK)]]</f>
        <v>1</v>
      </c>
      <c r="CF143" s="33" t="str">
        <f>Tabelle4[[#This Row],[Project Funding Classification]]</f>
        <v>Industry</v>
      </c>
      <c r="CG143" s="44">
        <f>Tabelle4[[#This Row],[Industry Funding from DE (IPK)]]+Tabelle4[[#This Row],[Public Funding from DE (IPK)]]</f>
        <v>0</v>
      </c>
      <c r="CH143" s="46">
        <f>Tabelle4[[#This Row],[Industry Funding from BR (IPK)]]+Tabelle4[[#This Row],[Public Funding from BR (IPK)]]</f>
        <v>50000</v>
      </c>
      <c r="CI143" s="44">
        <f>Tabelle4[[#This Row],[Industry Funding from DE (ITA)]]+Tabelle4[[#This Row],[Industry Funding from BR (ITA)]]+Tabelle4[[#This Row],[Public Funding from DE (ITA)]]+Tabelle4[[#This Row],[Public Funding from BR (ITA)]]</f>
        <v>0</v>
      </c>
      <c r="CJ143" s="44">
        <f>Tabelle4[[#This Row],[Industry Funding from DE (ITA)]]+Tabelle4[[#This Row],[Industry Funding from BR (ITA)]]</f>
        <v>0</v>
      </c>
      <c r="CK143" s="44">
        <f>Tabelle4[[#This Row],[Public Funding from DE (ITA)]]+Tabelle4[[#This Row],[Public Funding from BR (ITA)]]</f>
        <v>0</v>
      </c>
      <c r="CL143" s="47" t="e">
        <f>Tabelle4[[#This Row],[Total Industry Funding (ITA)]]/Tabelle4[[#This Row],[Total Project Volume (ITA)]]</f>
        <v>#DIV/0!</v>
      </c>
      <c r="CM143" s="33" t="e">
        <f>IF(Tabelle4[[#This Row],[Funding Ratio (ITA)]]&lt;0.5,"Public Funding","Industry")</f>
        <v>#DIV/0!</v>
      </c>
      <c r="CN143" s="44">
        <f>Tabelle4[[#This Row],[Industry Funding from DE (ITA)]]+Tabelle4[[#This Row],[Public Funding from DE (ITA)]]</f>
        <v>0</v>
      </c>
      <c r="CO143" s="46">
        <f>Tabelle4[[#This Row],[Industry Funding from BR (ITA)]]+Tabelle4[[#This Row],[Public Funding from BR (ITA)]]</f>
        <v>0</v>
      </c>
      <c r="CP143" s="44">
        <f>Tabelle4[[#This Row],[Total Project Volume (IPK)]]+Tabelle4[[#This Row],[Total Project Volume (ITA)]]</f>
        <v>50000</v>
      </c>
      <c r="CQ143" s="44">
        <f>Tabelle4[[#This Row],[Total Industry Funding (IPK)]]+Tabelle4[[#This Row],[Total Industry Funding (ITA)]]</f>
        <v>50000</v>
      </c>
      <c r="CR143" s="44">
        <f>Tabelle4[[#This Row],[Industry Funding from DE (IPK)]]+Tabelle4[[#This Row],[Industry Funding from DE (ITA)]]</f>
        <v>0</v>
      </c>
      <c r="CS143" s="44">
        <f>Tabelle4[[#This Row],[Industry Funding from BR (IPK)]]+Tabelle4[[#This Row],[Industry Funding from BR (ITA)]]</f>
        <v>50000</v>
      </c>
      <c r="CT143" s="44">
        <f>Tabelle4[[#This Row],[Total Public Funding (IPK)]]+Tabelle4[[#This Row],[Total Public Funding (ITA)]]</f>
        <v>0</v>
      </c>
      <c r="CU143" s="44">
        <f>Tabelle4[[#This Row],[Public Funding from DE (IPK)]]+Tabelle4[[#This Row],[Public Funding from DE (ITA)]]</f>
        <v>0</v>
      </c>
      <c r="CV143" s="44">
        <f>Tabelle4[[#This Row],[Public Funding from BR (IPK)]]+Tabelle4[[#This Row],[Public Funding from BR (ITA)]]</f>
        <v>0</v>
      </c>
      <c r="CW143" s="44">
        <f>Tabelle4[[#This Row],[Industry Funding from DE (FPC)]]+Tabelle4[[#This Row],[Public Funding from DE (FPC)]]</f>
        <v>0</v>
      </c>
      <c r="CX143" s="46">
        <f>Tabelle4[[#This Row],[Industry Funding from BR (FPC)]]+Tabelle4[[#This Row],[Public Funding from BR (FPC)]]</f>
        <v>50000</v>
      </c>
      <c r="CY143" s="44">
        <f>Tabelle4[[#This Row],[Total Financial Budget (Other)]]+Tabelle4[[#This Row],[Total In-kind Contribution (Other)]]</f>
        <v>0</v>
      </c>
      <c r="CZ14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43" s="44">
        <f>Tabelle4[[#This Row],[In-kind Contribution (R&amp;D III)]]+Tabelle4[[#This Row],[In-kind Contribution (R&amp;D IV)]]</f>
        <v>0</v>
      </c>
      <c r="DB143" s="158">
        <f>Tabelle4[[#This Row],[Total Budget (FPC)]]+Tabelle4[[#This Row],[Total Volume (Other)]]</f>
        <v>50000</v>
      </c>
      <c r="DC143" s="104">
        <f>Tabelle4[[#This Row],[Total Revenues (IPK)]]</f>
        <v>50000</v>
      </c>
      <c r="DD143" s="47">
        <v>0.1</v>
      </c>
      <c r="DE143" s="44">
        <f>Tabelle4[[#This Row],[Total Revenues IPK]]*Tabelle4[[#This Row],[Probability of Success]]</f>
        <v>5000</v>
      </c>
      <c r="DK143" s="47">
        <v>0.2</v>
      </c>
      <c r="DL143" s="44">
        <f>Tabelle4[[#This Row],[Real Budget IPK]]*Tabelle4[[#This Row],[Acquisition Factor OE810]]</f>
        <v>1000</v>
      </c>
      <c r="DN143" s="46">
        <f>Tabelle4[[#This Row],[Acquisition Bonus OE810]]+Tabelle4[[#This Row],[Project Execution OE810]]</f>
        <v>1000</v>
      </c>
    </row>
    <row r="144" spans="1:118" ht="51" customHeight="1" x14ac:dyDescent="0.45">
      <c r="A144" s="48" t="s">
        <v>204</v>
      </c>
      <c r="B144" s="49"/>
      <c r="C144" s="49" t="s">
        <v>138</v>
      </c>
      <c r="D144" s="49" t="s">
        <v>705</v>
      </c>
      <c r="E144" s="49"/>
      <c r="F144" s="49"/>
      <c r="G144" s="49" t="s">
        <v>1</v>
      </c>
      <c r="H144" s="49" t="s">
        <v>0</v>
      </c>
      <c r="I144" s="49"/>
      <c r="J144" s="50"/>
      <c r="K144" s="33" t="s">
        <v>241</v>
      </c>
      <c r="L144" s="49"/>
      <c r="M144" s="146"/>
      <c r="N144" s="49"/>
      <c r="O144" s="50"/>
      <c r="P144" s="50"/>
      <c r="Q144" s="49"/>
      <c r="R144" s="50"/>
      <c r="S144" s="50"/>
      <c r="T144" s="50"/>
      <c r="U144" s="50"/>
      <c r="V144" s="50"/>
      <c r="W144" s="50"/>
      <c r="X144" s="50"/>
      <c r="Y144" s="50"/>
      <c r="Z144" s="48" t="str">
        <f t="shared" si="23"/>
        <v>IPK</v>
      </c>
      <c r="AA144" s="49"/>
      <c r="AB144" s="105"/>
      <c r="AC144" s="105"/>
      <c r="AD144" s="105"/>
      <c r="AE144" s="105"/>
      <c r="AF144" s="105"/>
      <c r="AG144" s="48" t="str">
        <f t="shared" si="24"/>
        <v>ITA</v>
      </c>
      <c r="AH144" s="49"/>
      <c r="AI144" s="49"/>
      <c r="AO144" s="48"/>
      <c r="AP144" s="49"/>
      <c r="AQ144" s="105"/>
      <c r="AR144" s="105"/>
      <c r="AS144" s="105"/>
      <c r="AT144" s="105"/>
      <c r="AU144" s="102"/>
      <c r="AV144" s="49"/>
      <c r="AW144" s="49"/>
      <c r="AX144" s="105"/>
      <c r="AY144" s="105"/>
      <c r="AZ144" s="105"/>
      <c r="BA144" s="105"/>
      <c r="BB144" s="105"/>
      <c r="BC144" s="48"/>
      <c r="BD144" s="49"/>
      <c r="BE144" s="105"/>
      <c r="BF144" s="102"/>
      <c r="BG144" s="49"/>
      <c r="BH144" s="49"/>
      <c r="BI144" s="105"/>
      <c r="BJ144" s="102"/>
      <c r="BK144" s="49"/>
      <c r="BL144" s="49"/>
      <c r="BM144" s="105"/>
      <c r="BN144" s="102"/>
      <c r="BO144" s="49"/>
      <c r="BP144" s="49"/>
      <c r="BQ144" s="105"/>
      <c r="BR144" s="102"/>
      <c r="BS144" s="49"/>
      <c r="BT144" s="49"/>
      <c r="BU144" s="102"/>
      <c r="BV144" s="49"/>
      <c r="BW144" s="49"/>
      <c r="BX144" s="102"/>
      <c r="BY144" s="51">
        <f>Tabelle4[[#This Row],[Industry Funding from DE (IPK)]]+Tabelle4[[#This Row],[Industry Funding from BR (IPK)]]+Tabelle4[[#This Row],[Public Funding from DE (IPK)]]+Tabelle4[[#This Row],[Public Funding from BR (IPK)]]+Tabelle4[[#This Row],[In-kind Contribution (IPK)]]</f>
        <v>0</v>
      </c>
      <c r="BZ144" s="51">
        <f>Tabelle4[[#This Row],[Industry Funding from DE (IPK)]]+Tabelle4[[#This Row],[Industry Funding from BR (IPK)]]+Tabelle4[[#This Row],[Public Funding from DE (IPK)]]+Tabelle4[[#This Row],[Public Funding from BR (IPK)]]</f>
        <v>0</v>
      </c>
      <c r="CA144" s="51">
        <f>Tabelle4[[#This Row],[Industry Funding from DE (IPK)]]+Tabelle4[[#This Row],[Industry Funding from BR (IPK)]]</f>
        <v>0</v>
      </c>
      <c r="CB144" s="51">
        <f>Tabelle4[[#This Row],[Public Funding from DE (IPK)]]+Tabelle4[[#This Row],[Public Funding from BR (IPK)]]</f>
        <v>0</v>
      </c>
      <c r="CC144" s="51">
        <f>Tabelle4[[#This Row],[In-kind Contribution (IPK)]]</f>
        <v>0</v>
      </c>
      <c r="CD144" s="53" t="e">
        <f>(Tabelle4[[#This Row],[Total Industry Funding (IPK)]] + Tabelle4[[#This Row],[Total Public Funding (IPK)]])/Tabelle4[[#This Row],[Total Project Volume (IPK)]]</f>
        <v>#DIV/0!</v>
      </c>
      <c r="CE144" s="53" t="e">
        <f>Tabelle4[[#This Row],[Total Industry Funding (IPK)]] / Tabelle4[[#This Row],[Total Project Volume (IPK)]]</f>
        <v>#DIV/0!</v>
      </c>
      <c r="CF144" s="49" t="str">
        <f>Tabelle4[[#This Row],[Project Funding Classification]]</f>
        <v>Industry</v>
      </c>
      <c r="CG144" s="51">
        <f>Tabelle4[[#This Row],[Industry Funding from DE (IPK)]]+Tabelle4[[#This Row],[Public Funding from DE (IPK)]]</f>
        <v>0</v>
      </c>
      <c r="CH144" s="52">
        <f>Tabelle4[[#This Row],[Industry Funding from BR (IPK)]]+Tabelle4[[#This Row],[Public Funding from BR (IPK)]]</f>
        <v>0</v>
      </c>
      <c r="CI144" s="51">
        <f>Tabelle4[[#This Row],[Industry Funding from DE (ITA)]]+Tabelle4[[#This Row],[Industry Funding from BR (ITA)]]+Tabelle4[[#This Row],[Public Funding from DE (ITA)]]+Tabelle4[[#This Row],[Public Funding from BR (ITA)]]</f>
        <v>0</v>
      </c>
      <c r="CJ144" s="51">
        <f>Tabelle4[[#This Row],[Industry Funding from DE (ITA)]]+Tabelle4[[#This Row],[Industry Funding from BR (ITA)]]</f>
        <v>0</v>
      </c>
      <c r="CK144" s="51">
        <f>Tabelle4[[#This Row],[Public Funding from DE (ITA)]]+Tabelle4[[#This Row],[Public Funding from BR (ITA)]]</f>
        <v>0</v>
      </c>
      <c r="CL144" s="53" t="e">
        <f>Tabelle4[[#This Row],[Total Industry Funding (ITA)]]/Tabelle4[[#This Row],[Total Project Volume (ITA)]]</f>
        <v>#DIV/0!</v>
      </c>
      <c r="CM144" s="49" t="e">
        <f>IF(Tabelle4[[#This Row],[Funding Ratio (ITA)]]&lt;0.5,"Public Funding","Industry")</f>
        <v>#DIV/0!</v>
      </c>
      <c r="CN144" s="51">
        <f>Tabelle4[[#This Row],[Industry Funding from DE (ITA)]]+Tabelle4[[#This Row],[Public Funding from DE (ITA)]]</f>
        <v>0</v>
      </c>
      <c r="CO144" s="52">
        <f>Tabelle4[[#This Row],[Industry Funding from BR (ITA)]]+Tabelle4[[#This Row],[Public Funding from BR (ITA)]]</f>
        <v>0</v>
      </c>
      <c r="CP144" s="51">
        <f>Tabelle4[[#This Row],[Total Project Volume (IPK)]]+Tabelle4[[#This Row],[Total Project Volume (ITA)]]</f>
        <v>0</v>
      </c>
      <c r="CQ144" s="51">
        <f>Tabelle4[[#This Row],[Total Industry Funding (IPK)]]+Tabelle4[[#This Row],[Total Industry Funding (ITA)]]</f>
        <v>0</v>
      </c>
      <c r="CR144" s="51">
        <f>Tabelle4[[#This Row],[Industry Funding from DE (IPK)]]+Tabelle4[[#This Row],[Industry Funding from DE (ITA)]]</f>
        <v>0</v>
      </c>
      <c r="CS144" s="51">
        <f>Tabelle4[[#This Row],[Industry Funding from BR (IPK)]]+Tabelle4[[#This Row],[Industry Funding from BR (ITA)]]</f>
        <v>0</v>
      </c>
      <c r="CT144" s="51">
        <f>Tabelle4[[#This Row],[Total Public Funding (IPK)]]+Tabelle4[[#This Row],[Total Public Funding (ITA)]]</f>
        <v>0</v>
      </c>
      <c r="CU144" s="51">
        <f>Tabelle4[[#This Row],[Public Funding from DE (IPK)]]+Tabelle4[[#This Row],[Public Funding from DE (ITA)]]</f>
        <v>0</v>
      </c>
      <c r="CV144" s="51">
        <f>Tabelle4[[#This Row],[Public Funding from BR (IPK)]]+Tabelle4[[#This Row],[Public Funding from BR (ITA)]]</f>
        <v>0</v>
      </c>
      <c r="CW144" s="51">
        <f>Tabelle4[[#This Row],[Industry Funding from DE (FPC)]]+Tabelle4[[#This Row],[Public Funding from DE (FPC)]]</f>
        <v>0</v>
      </c>
      <c r="CX144" s="52">
        <f>Tabelle4[[#This Row],[Industry Funding from BR (FPC)]]+Tabelle4[[#This Row],[Public Funding from BR (FPC)]]</f>
        <v>0</v>
      </c>
      <c r="CY144" s="44">
        <f>Tabelle4[[#This Row],[Total Financial Budget (Other)]]+Tabelle4[[#This Row],[Total In-kind Contribution (Other)]]</f>
        <v>0</v>
      </c>
      <c r="CZ144"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44" s="44">
        <f>Tabelle4[[#This Row],[In-kind Contribution (R&amp;D III)]]+Tabelle4[[#This Row],[In-kind Contribution (R&amp;D IV)]]</f>
        <v>0</v>
      </c>
      <c r="DB144" s="158">
        <f>Tabelle4[[#This Row],[Total Budget (FPC)]]+Tabelle4[[#This Row],[Total Volume (Other)]]</f>
        <v>0</v>
      </c>
      <c r="DC144" s="105">
        <f>Tabelle4[[#This Row],[Total Revenues (IPK)]]</f>
        <v>0</v>
      </c>
      <c r="DD144" s="53"/>
      <c r="DE144" s="51">
        <f>Tabelle4[[#This Row],[Total Revenues IPK]]*Tabelle4[[#This Row],[Probability of Success]]</f>
        <v>0</v>
      </c>
      <c r="DF144" s="51"/>
      <c r="DG144" s="51"/>
      <c r="DH144" s="51"/>
      <c r="DI144" s="51"/>
      <c r="DJ144" s="51"/>
      <c r="DK144" s="53"/>
      <c r="DL144" s="51">
        <f>Tabelle4[[#This Row],[Real Budget IPK]]*Tabelle4[[#This Row],[Acquisition Factor OE810]]</f>
        <v>0</v>
      </c>
      <c r="DM144" s="51">
        <v>0</v>
      </c>
      <c r="DN144" s="52">
        <f>Tabelle4[[#This Row],[Acquisition Bonus OE810]]+Tabelle4[[#This Row],[Project Execution OE810]]</f>
        <v>0</v>
      </c>
    </row>
    <row r="145" spans="1:118" ht="51" customHeight="1" x14ac:dyDescent="0.45">
      <c r="A145" s="42" t="s">
        <v>174</v>
      </c>
      <c r="C145" s="33" t="s">
        <v>138</v>
      </c>
      <c r="D145" s="33" t="s">
        <v>705</v>
      </c>
      <c r="G145" s="33" t="s">
        <v>1</v>
      </c>
      <c r="H145" s="33" t="s">
        <v>0</v>
      </c>
      <c r="K145" s="33" t="s">
        <v>246</v>
      </c>
      <c r="Y145" s="59">
        <v>44343</v>
      </c>
      <c r="Z145" s="42" t="str">
        <f t="shared" si="23"/>
        <v>IPK</v>
      </c>
      <c r="AC145" s="61">
        <v>45000</v>
      </c>
      <c r="AG145" s="42" t="str">
        <f t="shared" si="24"/>
        <v>ITA</v>
      </c>
      <c r="AO145" s="42"/>
      <c r="AU145" s="101"/>
      <c r="BC145" s="42" t="s">
        <v>138</v>
      </c>
      <c r="BE145" s="61">
        <v>45000</v>
      </c>
      <c r="BF145" s="65"/>
      <c r="BY145" s="44">
        <f>Tabelle4[[#This Row],[Industry Funding from DE (IPK)]]+Tabelle4[[#This Row],[Industry Funding from BR (IPK)]]+Tabelle4[[#This Row],[Public Funding from DE (IPK)]]+Tabelle4[[#This Row],[Public Funding from BR (IPK)]]+Tabelle4[[#This Row],[In-kind Contribution (IPK)]]</f>
        <v>45000</v>
      </c>
      <c r="BZ145" s="44">
        <f>Tabelle4[[#This Row],[Industry Funding from DE (IPK)]]+Tabelle4[[#This Row],[Industry Funding from BR (IPK)]]+Tabelle4[[#This Row],[Public Funding from DE (IPK)]]+Tabelle4[[#This Row],[Public Funding from BR (IPK)]]</f>
        <v>45000</v>
      </c>
      <c r="CA145" s="44">
        <f>Tabelle4[[#This Row],[Industry Funding from DE (IPK)]]+Tabelle4[[#This Row],[Industry Funding from BR (IPK)]]</f>
        <v>45000</v>
      </c>
      <c r="CB145" s="44">
        <f>Tabelle4[[#This Row],[Public Funding from DE (IPK)]]+Tabelle4[[#This Row],[Public Funding from BR (IPK)]]</f>
        <v>0</v>
      </c>
      <c r="CC145" s="44">
        <f>Tabelle4[[#This Row],[In-kind Contribution (IPK)]]</f>
        <v>0</v>
      </c>
      <c r="CD145" s="47">
        <f>(Tabelle4[[#This Row],[Total Industry Funding (IPK)]] + Tabelle4[[#This Row],[Total Public Funding (IPK)]])/Tabelle4[[#This Row],[Total Project Volume (IPK)]]</f>
        <v>1</v>
      </c>
      <c r="CE145" s="47">
        <f>Tabelle4[[#This Row],[Total Industry Funding (IPK)]] / Tabelle4[[#This Row],[Total Project Volume (IPK)]]</f>
        <v>1</v>
      </c>
      <c r="CF145" s="33" t="str">
        <f>Tabelle4[[#This Row],[Project Funding Classification]]</f>
        <v>Industry</v>
      </c>
      <c r="CG145" s="44">
        <f>Tabelle4[[#This Row],[Industry Funding from DE (IPK)]]+Tabelle4[[#This Row],[Public Funding from DE (IPK)]]</f>
        <v>0</v>
      </c>
      <c r="CH145" s="46">
        <f>Tabelle4[[#This Row],[Industry Funding from BR (IPK)]]+Tabelle4[[#This Row],[Public Funding from BR (IPK)]]</f>
        <v>45000</v>
      </c>
      <c r="CI145" s="44">
        <f>Tabelle4[[#This Row],[Industry Funding from DE (ITA)]]+Tabelle4[[#This Row],[Industry Funding from BR (ITA)]]+Tabelle4[[#This Row],[Public Funding from DE (ITA)]]+Tabelle4[[#This Row],[Public Funding from BR (ITA)]]</f>
        <v>0</v>
      </c>
      <c r="CJ145" s="44">
        <f>Tabelle4[[#This Row],[Industry Funding from DE (ITA)]]+Tabelle4[[#This Row],[Industry Funding from BR (ITA)]]</f>
        <v>0</v>
      </c>
      <c r="CK145" s="44">
        <f>Tabelle4[[#This Row],[Public Funding from DE (ITA)]]+Tabelle4[[#This Row],[Public Funding from BR (ITA)]]</f>
        <v>0</v>
      </c>
      <c r="CL145" s="47" t="e">
        <f>Tabelle4[[#This Row],[Total Industry Funding (ITA)]]/Tabelle4[[#This Row],[Total Project Volume (ITA)]]</f>
        <v>#DIV/0!</v>
      </c>
      <c r="CM145" s="33" t="e">
        <f>IF(Tabelle4[[#This Row],[Funding Ratio (ITA)]]&lt;0.5,"Public Funding","Industry")</f>
        <v>#DIV/0!</v>
      </c>
      <c r="CN145" s="44">
        <f>Tabelle4[[#This Row],[Industry Funding from DE (ITA)]]+Tabelle4[[#This Row],[Public Funding from DE (ITA)]]</f>
        <v>0</v>
      </c>
      <c r="CO145" s="46">
        <f>Tabelle4[[#This Row],[Industry Funding from BR (ITA)]]+Tabelle4[[#This Row],[Public Funding from BR (ITA)]]</f>
        <v>0</v>
      </c>
      <c r="CP145" s="44">
        <f>Tabelle4[[#This Row],[Total Project Volume (IPK)]]+Tabelle4[[#This Row],[Total Project Volume (ITA)]]</f>
        <v>45000</v>
      </c>
      <c r="CQ145" s="44">
        <f>Tabelle4[[#This Row],[Total Industry Funding (IPK)]]+Tabelle4[[#This Row],[Total Industry Funding (ITA)]]</f>
        <v>45000</v>
      </c>
      <c r="CR145" s="44">
        <f>Tabelle4[[#This Row],[Industry Funding from DE (IPK)]]+Tabelle4[[#This Row],[Industry Funding from DE (ITA)]]</f>
        <v>0</v>
      </c>
      <c r="CS145" s="44">
        <f>Tabelle4[[#This Row],[Industry Funding from BR (IPK)]]+Tabelle4[[#This Row],[Industry Funding from BR (ITA)]]</f>
        <v>45000</v>
      </c>
      <c r="CT145" s="44">
        <f>Tabelle4[[#This Row],[Total Public Funding (IPK)]]+Tabelle4[[#This Row],[Total Public Funding (ITA)]]</f>
        <v>0</v>
      </c>
      <c r="CU145" s="44">
        <f>Tabelle4[[#This Row],[Public Funding from DE (IPK)]]+Tabelle4[[#This Row],[Public Funding from DE (ITA)]]</f>
        <v>0</v>
      </c>
      <c r="CV145" s="44">
        <f>Tabelle4[[#This Row],[Public Funding from BR (IPK)]]+Tabelle4[[#This Row],[Public Funding from BR (ITA)]]</f>
        <v>0</v>
      </c>
      <c r="CW145" s="44">
        <f>Tabelle4[[#This Row],[Industry Funding from DE (FPC)]]+Tabelle4[[#This Row],[Public Funding from DE (FPC)]]</f>
        <v>0</v>
      </c>
      <c r="CX145" s="46">
        <f>Tabelle4[[#This Row],[Industry Funding from BR (FPC)]]+Tabelle4[[#This Row],[Public Funding from BR (FPC)]]</f>
        <v>45000</v>
      </c>
      <c r="CY145" s="44">
        <f>Tabelle4[[#This Row],[Total Financial Budget (Other)]]+Tabelle4[[#This Row],[Total In-kind Contribution (Other)]]</f>
        <v>0</v>
      </c>
      <c r="CZ14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45" s="44">
        <f>Tabelle4[[#This Row],[In-kind Contribution (R&amp;D III)]]+Tabelle4[[#This Row],[In-kind Contribution (R&amp;D IV)]]</f>
        <v>0</v>
      </c>
      <c r="DB145" s="158">
        <f>Tabelle4[[#This Row],[Total Budget (FPC)]]+Tabelle4[[#This Row],[Total Volume (Other)]]</f>
        <v>45000</v>
      </c>
      <c r="DC145" s="104">
        <f>Tabelle4[[#This Row],[Total Revenues (IPK)]]</f>
        <v>45000</v>
      </c>
      <c r="DD145" s="47">
        <v>0.01</v>
      </c>
      <c r="DE145" s="44">
        <f>Tabelle4[[#This Row],[Total Revenues IPK]]*Tabelle4[[#This Row],[Probability of Success]]</f>
        <v>450</v>
      </c>
      <c r="DK145" s="47">
        <v>0.2</v>
      </c>
      <c r="DL145" s="44">
        <f>Tabelle4[[#This Row],[Real Budget IPK]]*Tabelle4[[#This Row],[Acquisition Factor OE810]]</f>
        <v>90</v>
      </c>
      <c r="DM145" s="44">
        <v>0</v>
      </c>
      <c r="DN145" s="46">
        <f>Tabelle4[[#This Row],[Acquisition Bonus OE810]]+Tabelle4[[#This Row],[Project Execution OE810]]</f>
        <v>90</v>
      </c>
    </row>
    <row r="146" spans="1:118" ht="51" customHeight="1" x14ac:dyDescent="0.45">
      <c r="A146" s="42" t="s">
        <v>537</v>
      </c>
      <c r="B146" s="33" t="s">
        <v>536</v>
      </c>
      <c r="C146" s="33" t="s">
        <v>538</v>
      </c>
      <c r="D146" s="33" t="s">
        <v>709</v>
      </c>
      <c r="E146" s="33">
        <v>1</v>
      </c>
      <c r="F146" s="33">
        <v>0</v>
      </c>
      <c r="G146" s="33" t="s">
        <v>97</v>
      </c>
      <c r="H146" s="33" t="s">
        <v>0</v>
      </c>
      <c r="I146" s="33" t="s">
        <v>655</v>
      </c>
      <c r="J146" s="59">
        <v>43891</v>
      </c>
      <c r="K146" s="33" t="s">
        <v>246</v>
      </c>
      <c r="L146" s="33" t="s">
        <v>309</v>
      </c>
      <c r="S146" s="59">
        <v>43809</v>
      </c>
      <c r="U146" s="59">
        <v>43915</v>
      </c>
      <c r="Y146" s="59">
        <v>44020</v>
      </c>
      <c r="Z146" s="42" t="str">
        <f t="shared" si="23"/>
        <v>IPK</v>
      </c>
      <c r="AA146" s="33" t="s">
        <v>129</v>
      </c>
      <c r="AB146" s="104"/>
      <c r="AC146" s="104">
        <v>40000</v>
      </c>
      <c r="AD146" s="104"/>
      <c r="AE146" s="104"/>
      <c r="AF146" s="104"/>
      <c r="AG146" s="42" t="str">
        <f t="shared" si="24"/>
        <v>ITA</v>
      </c>
      <c r="AH146" s="33" t="s">
        <v>437</v>
      </c>
      <c r="AI146" s="33" t="s">
        <v>130</v>
      </c>
      <c r="AJ146" s="64"/>
      <c r="AK146" s="104">
        <f>200000/6</f>
        <v>33333.333333333336</v>
      </c>
      <c r="AO146" s="42"/>
      <c r="AQ146" s="104"/>
      <c r="AR146" s="104"/>
      <c r="AS146" s="104"/>
      <c r="AT146" s="104"/>
      <c r="AU146" s="101"/>
      <c r="AX146" s="104"/>
      <c r="AY146" s="104"/>
      <c r="AZ146" s="104"/>
      <c r="BA146" s="104"/>
      <c r="BB146" s="104"/>
      <c r="BC146" s="42" t="s">
        <v>538</v>
      </c>
      <c r="BE146" s="104"/>
      <c r="BF146" s="101"/>
      <c r="BI146" s="104"/>
      <c r="BJ146" s="101"/>
      <c r="BM146" s="104"/>
      <c r="BN146" s="101"/>
      <c r="BQ146" s="104"/>
      <c r="BR146" s="101"/>
      <c r="BU146" s="101"/>
      <c r="BX146" s="101"/>
      <c r="BY146" s="44">
        <f>Tabelle4[[#This Row],[Industry Funding from DE (IPK)]]+Tabelle4[[#This Row],[Industry Funding from BR (IPK)]]+Tabelle4[[#This Row],[Public Funding from DE (IPK)]]+Tabelle4[[#This Row],[Public Funding from BR (IPK)]]+Tabelle4[[#This Row],[In-kind Contribution (IPK)]]</f>
        <v>40000</v>
      </c>
      <c r="BZ146" s="44">
        <f>Tabelle4[[#This Row],[Industry Funding from DE (IPK)]]+Tabelle4[[#This Row],[Industry Funding from BR (IPK)]]+Tabelle4[[#This Row],[Public Funding from DE (IPK)]]+Tabelle4[[#This Row],[Public Funding from BR (IPK)]]</f>
        <v>40000</v>
      </c>
      <c r="CA146" s="44">
        <f>Tabelle4[[#This Row],[Industry Funding from DE (IPK)]]+Tabelle4[[#This Row],[Industry Funding from BR (IPK)]]</f>
        <v>40000</v>
      </c>
      <c r="CB146" s="44">
        <f>Tabelle4[[#This Row],[Public Funding from DE (IPK)]]+Tabelle4[[#This Row],[Public Funding from BR (IPK)]]</f>
        <v>0</v>
      </c>
      <c r="CC146" s="44">
        <f>Tabelle4[[#This Row],[In-kind Contribution (IPK)]]</f>
        <v>0</v>
      </c>
      <c r="CD146" s="47">
        <f>(Tabelle4[[#This Row],[Total Industry Funding (IPK)]] + Tabelle4[[#This Row],[Total Public Funding (IPK)]])/Tabelle4[[#This Row],[Total Project Volume (IPK)]]</f>
        <v>1</v>
      </c>
      <c r="CE146" s="47">
        <f>Tabelle4[[#This Row],[Total Industry Funding (IPK)]] / Tabelle4[[#This Row],[Total Project Volume (IPK)]]</f>
        <v>1</v>
      </c>
      <c r="CF146" s="33" t="str">
        <f>Tabelle4[[#This Row],[Project Funding Classification]]</f>
        <v>Industry</v>
      </c>
      <c r="CG146" s="44">
        <f>Tabelle4[[#This Row],[Industry Funding from DE (IPK)]]+Tabelle4[[#This Row],[Public Funding from DE (IPK)]]</f>
        <v>0</v>
      </c>
      <c r="CH146" s="46">
        <f>Tabelle4[[#This Row],[Industry Funding from BR (IPK)]]+Tabelle4[[#This Row],[Public Funding from BR (IPK)]]</f>
        <v>40000</v>
      </c>
      <c r="CI146" s="44">
        <f>Tabelle4[[#This Row],[Industry Funding from DE (ITA)]]+Tabelle4[[#This Row],[Industry Funding from BR (ITA)]]+Tabelle4[[#This Row],[Public Funding from DE (ITA)]]+Tabelle4[[#This Row],[Public Funding from BR (ITA)]]</f>
        <v>33333.333333333336</v>
      </c>
      <c r="CJ146" s="44">
        <f>Tabelle4[[#This Row],[Industry Funding from DE (ITA)]]+Tabelle4[[#This Row],[Industry Funding from BR (ITA)]]</f>
        <v>33333.333333333336</v>
      </c>
      <c r="CK146" s="44">
        <f>Tabelle4[[#This Row],[Public Funding from DE (ITA)]]+Tabelle4[[#This Row],[Public Funding from BR (ITA)]]</f>
        <v>0</v>
      </c>
      <c r="CL146" s="47">
        <f>Tabelle4[[#This Row],[Total Industry Funding (ITA)]]/Tabelle4[[#This Row],[Total Project Volume (ITA)]]</f>
        <v>1</v>
      </c>
      <c r="CM146" s="33" t="str">
        <f>IF(Tabelle4[[#This Row],[Funding Ratio (ITA)]]&lt;0.5,"Public Funding","Industry")</f>
        <v>Industry</v>
      </c>
      <c r="CN146" s="44">
        <f>Tabelle4[[#This Row],[Industry Funding from DE (ITA)]]+Tabelle4[[#This Row],[Public Funding from DE (ITA)]]</f>
        <v>0</v>
      </c>
      <c r="CO146" s="46">
        <f>Tabelle4[[#This Row],[Industry Funding from BR (ITA)]]+Tabelle4[[#This Row],[Public Funding from BR (ITA)]]</f>
        <v>33333.333333333336</v>
      </c>
      <c r="CP146" s="44">
        <f>Tabelle4[[#This Row],[Total Project Volume (IPK)]]+Tabelle4[[#This Row],[Total Project Volume (ITA)]]</f>
        <v>73333.333333333343</v>
      </c>
      <c r="CQ146" s="44">
        <f>Tabelle4[[#This Row],[Total Industry Funding (IPK)]]+Tabelle4[[#This Row],[Total Industry Funding (ITA)]]</f>
        <v>73333.333333333343</v>
      </c>
      <c r="CR146" s="44">
        <f>Tabelle4[[#This Row],[Industry Funding from DE (IPK)]]+Tabelle4[[#This Row],[Industry Funding from DE (ITA)]]</f>
        <v>0</v>
      </c>
      <c r="CS146" s="44">
        <f>Tabelle4[[#This Row],[Industry Funding from BR (IPK)]]+Tabelle4[[#This Row],[Industry Funding from BR (ITA)]]</f>
        <v>73333.333333333343</v>
      </c>
      <c r="CT146" s="44">
        <f>Tabelle4[[#This Row],[Total Public Funding (IPK)]]+Tabelle4[[#This Row],[Total Public Funding (ITA)]]</f>
        <v>0</v>
      </c>
      <c r="CU146" s="44">
        <f>Tabelle4[[#This Row],[Public Funding from DE (IPK)]]+Tabelle4[[#This Row],[Public Funding from DE (ITA)]]</f>
        <v>0</v>
      </c>
      <c r="CV146" s="44">
        <f>Tabelle4[[#This Row],[Public Funding from BR (IPK)]]+Tabelle4[[#This Row],[Public Funding from BR (ITA)]]</f>
        <v>0</v>
      </c>
      <c r="CW146" s="44">
        <f>Tabelle4[[#This Row],[Industry Funding from DE (FPC)]]+Tabelle4[[#This Row],[Public Funding from DE (FPC)]]</f>
        <v>0</v>
      </c>
      <c r="CX146" s="46">
        <f>Tabelle4[[#This Row],[Industry Funding from BR (FPC)]]+Tabelle4[[#This Row],[Public Funding from BR (FPC)]]</f>
        <v>73333.333333333343</v>
      </c>
      <c r="CY146" s="44">
        <f>Tabelle4[[#This Row],[Total Financial Budget (Other)]]+Tabelle4[[#This Row],[Total In-kind Contribution (Other)]]</f>
        <v>0</v>
      </c>
      <c r="CZ14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46" s="44">
        <f>Tabelle4[[#This Row],[In-kind Contribution (R&amp;D III)]]+Tabelle4[[#This Row],[In-kind Contribution (R&amp;D IV)]]</f>
        <v>0</v>
      </c>
      <c r="DB146" s="158">
        <f>Tabelle4[[#This Row],[Total Budget (FPC)]]+Tabelle4[[#This Row],[Total Volume (Other)]]</f>
        <v>73333.333333333343</v>
      </c>
      <c r="DC146" s="104">
        <f>Tabelle4[[#This Row],[Total Revenues (IPK)]]</f>
        <v>40000</v>
      </c>
      <c r="DD146" s="47">
        <v>0.1</v>
      </c>
      <c r="DE146" s="44">
        <f>Tabelle4[[#This Row],[Total Revenues IPK]]*Tabelle4[[#This Row],[Probability of Success]]</f>
        <v>4000</v>
      </c>
      <c r="DK146" s="47">
        <v>0.2</v>
      </c>
      <c r="DL146" s="44">
        <f>Tabelle4[[#This Row],[Real Budget IPK]]*Tabelle4[[#This Row],[Acquisition Factor OE810]]</f>
        <v>800</v>
      </c>
      <c r="DN146" s="46">
        <f>Tabelle4[[#This Row],[Acquisition Bonus OE810]]+Tabelle4[[#This Row],[Project Execution OE810]]</f>
        <v>800</v>
      </c>
    </row>
    <row r="147" spans="1:118" ht="27.75" x14ac:dyDescent="0.45">
      <c r="A147" s="42" t="s">
        <v>485</v>
      </c>
      <c r="B147" s="33" t="s">
        <v>486</v>
      </c>
      <c r="C147" s="33" t="s">
        <v>485</v>
      </c>
      <c r="D147" s="33" t="s">
        <v>709</v>
      </c>
      <c r="E147" s="33">
        <v>1</v>
      </c>
      <c r="F147" s="33">
        <v>0</v>
      </c>
      <c r="G147" s="33" t="s">
        <v>2</v>
      </c>
      <c r="H147" s="33" t="s">
        <v>0</v>
      </c>
      <c r="J147" s="59">
        <v>43857</v>
      </c>
      <c r="K147" s="33" t="s">
        <v>246</v>
      </c>
      <c r="L147" s="33" t="s">
        <v>309</v>
      </c>
      <c r="S147" s="59">
        <v>43857</v>
      </c>
      <c r="Z147" s="42" t="str">
        <f t="shared" si="23"/>
        <v>IPK</v>
      </c>
      <c r="AG147" s="42" t="str">
        <f t="shared" si="24"/>
        <v>ITA</v>
      </c>
      <c r="AH147" s="33" t="s">
        <v>374</v>
      </c>
      <c r="AI147" s="33" t="s">
        <v>324</v>
      </c>
      <c r="AJ147" s="64"/>
      <c r="AK147" s="64"/>
      <c r="AO147" s="42"/>
      <c r="AU147" s="101"/>
      <c r="BC147" s="42"/>
      <c r="BF147" s="65"/>
      <c r="BY147" s="44">
        <f>Tabelle4[[#This Row],[Industry Funding from DE (IPK)]]+Tabelle4[[#This Row],[Industry Funding from BR (IPK)]]+Tabelle4[[#This Row],[Public Funding from DE (IPK)]]+Tabelle4[[#This Row],[Public Funding from BR (IPK)]]+Tabelle4[[#This Row],[In-kind Contribution (IPK)]]</f>
        <v>0</v>
      </c>
      <c r="BZ147" s="44">
        <f>Tabelle4[[#This Row],[Industry Funding from DE (IPK)]]+Tabelle4[[#This Row],[Industry Funding from BR (IPK)]]+Tabelle4[[#This Row],[Public Funding from DE (IPK)]]+Tabelle4[[#This Row],[Public Funding from BR (IPK)]]</f>
        <v>0</v>
      </c>
      <c r="CA147" s="44">
        <f>Tabelle4[[#This Row],[Industry Funding from DE (IPK)]]+Tabelle4[[#This Row],[Industry Funding from BR (IPK)]]</f>
        <v>0</v>
      </c>
      <c r="CB147" s="44">
        <f>Tabelle4[[#This Row],[Public Funding from DE (IPK)]]+Tabelle4[[#This Row],[Public Funding from BR (IPK)]]</f>
        <v>0</v>
      </c>
      <c r="CC147" s="44">
        <f>Tabelle4[[#This Row],[In-kind Contribution (IPK)]]</f>
        <v>0</v>
      </c>
      <c r="CD147" s="47" t="e">
        <f>(Tabelle4[[#This Row],[Total Industry Funding (IPK)]] + Tabelle4[[#This Row],[Total Public Funding (IPK)]])/Tabelle4[[#This Row],[Total Project Volume (IPK)]]</f>
        <v>#DIV/0!</v>
      </c>
      <c r="CE147" s="47" t="e">
        <f>Tabelle4[[#This Row],[Total Industry Funding (IPK)]] / Tabelle4[[#This Row],[Total Project Volume (IPK)]]</f>
        <v>#DIV/0!</v>
      </c>
      <c r="CF147" s="33" t="str">
        <f>Tabelle4[[#This Row],[Project Funding Classification]]</f>
        <v>Industry</v>
      </c>
      <c r="CG147" s="44">
        <f>Tabelle4[[#This Row],[Industry Funding from DE (IPK)]]+Tabelle4[[#This Row],[Public Funding from DE (IPK)]]</f>
        <v>0</v>
      </c>
      <c r="CH147" s="46">
        <f>Tabelle4[[#This Row],[Industry Funding from BR (IPK)]]+Tabelle4[[#This Row],[Public Funding from BR (IPK)]]</f>
        <v>0</v>
      </c>
      <c r="CI147" s="44">
        <f>Tabelle4[[#This Row],[Industry Funding from DE (ITA)]]+Tabelle4[[#This Row],[Industry Funding from BR (ITA)]]+Tabelle4[[#This Row],[Public Funding from DE (ITA)]]+Tabelle4[[#This Row],[Public Funding from BR (ITA)]]</f>
        <v>0</v>
      </c>
      <c r="CJ147" s="44">
        <f>Tabelle4[[#This Row],[Industry Funding from DE (ITA)]]+Tabelle4[[#This Row],[Industry Funding from BR (ITA)]]</f>
        <v>0</v>
      </c>
      <c r="CK147" s="44">
        <f>Tabelle4[[#This Row],[Public Funding from DE (ITA)]]+Tabelle4[[#This Row],[Public Funding from BR (ITA)]]</f>
        <v>0</v>
      </c>
      <c r="CL147" s="47" t="e">
        <f>Tabelle4[[#This Row],[Total Industry Funding (ITA)]]/Tabelle4[[#This Row],[Total Project Volume (ITA)]]</f>
        <v>#DIV/0!</v>
      </c>
      <c r="CM147" s="33" t="e">
        <f>IF(Tabelle4[[#This Row],[Funding Ratio (ITA)]]&lt;0.5,"Public Funding","Industry")</f>
        <v>#DIV/0!</v>
      </c>
      <c r="CN147" s="44">
        <f>Tabelle4[[#This Row],[Industry Funding from DE (ITA)]]+Tabelle4[[#This Row],[Public Funding from DE (ITA)]]</f>
        <v>0</v>
      </c>
      <c r="CO147" s="46">
        <f>Tabelle4[[#This Row],[Industry Funding from BR (ITA)]]+Tabelle4[[#This Row],[Public Funding from BR (ITA)]]</f>
        <v>0</v>
      </c>
      <c r="CP147" s="44">
        <f>Tabelle4[[#This Row],[Total Project Volume (IPK)]]+Tabelle4[[#This Row],[Total Project Volume (ITA)]]</f>
        <v>0</v>
      </c>
      <c r="CQ147" s="44">
        <f>Tabelle4[[#This Row],[Total Industry Funding (IPK)]]+Tabelle4[[#This Row],[Total Industry Funding (ITA)]]</f>
        <v>0</v>
      </c>
      <c r="CR147" s="44">
        <f>Tabelle4[[#This Row],[Industry Funding from DE (IPK)]]+Tabelle4[[#This Row],[Industry Funding from DE (ITA)]]</f>
        <v>0</v>
      </c>
      <c r="CS147" s="44">
        <f>Tabelle4[[#This Row],[Industry Funding from BR (IPK)]]+Tabelle4[[#This Row],[Industry Funding from BR (ITA)]]</f>
        <v>0</v>
      </c>
      <c r="CT147" s="44">
        <f>Tabelle4[[#This Row],[Total Public Funding (IPK)]]+Tabelle4[[#This Row],[Total Public Funding (ITA)]]</f>
        <v>0</v>
      </c>
      <c r="CU147" s="44">
        <f>Tabelle4[[#This Row],[Public Funding from DE (IPK)]]+Tabelle4[[#This Row],[Public Funding from DE (ITA)]]</f>
        <v>0</v>
      </c>
      <c r="CV147" s="44">
        <f>Tabelle4[[#This Row],[Public Funding from BR (IPK)]]+Tabelle4[[#This Row],[Public Funding from BR (ITA)]]</f>
        <v>0</v>
      </c>
      <c r="CW147" s="44">
        <f>Tabelle4[[#This Row],[Industry Funding from DE (FPC)]]+Tabelle4[[#This Row],[Public Funding from DE (FPC)]]</f>
        <v>0</v>
      </c>
      <c r="CX147" s="46">
        <f>Tabelle4[[#This Row],[Industry Funding from BR (FPC)]]+Tabelle4[[#This Row],[Public Funding from BR (FPC)]]</f>
        <v>0</v>
      </c>
      <c r="CY147" s="44">
        <f>Tabelle4[[#This Row],[Total Financial Budget (Other)]]+Tabelle4[[#This Row],[Total In-kind Contribution (Other)]]</f>
        <v>0</v>
      </c>
      <c r="CZ14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47" s="44">
        <f>Tabelle4[[#This Row],[In-kind Contribution (R&amp;D III)]]+Tabelle4[[#This Row],[In-kind Contribution (R&amp;D IV)]]</f>
        <v>0</v>
      </c>
      <c r="DB147" s="158">
        <f>Tabelle4[[#This Row],[Total Budget (FPC)]]+Tabelle4[[#This Row],[Total Volume (Other)]]</f>
        <v>0</v>
      </c>
      <c r="DC147" s="104">
        <f>Tabelle4[[#This Row],[Total Revenues (IPK)]]</f>
        <v>0</v>
      </c>
      <c r="DE147" s="44">
        <f>Tabelle4[[#This Row],[Total Revenues IPK]]*Tabelle4[[#This Row],[Probability of Success]]</f>
        <v>0</v>
      </c>
      <c r="DL147" s="44">
        <f>Tabelle4[[#This Row],[Real Budget IPK]]*Tabelle4[[#This Row],[Acquisition Factor OE810]]</f>
        <v>0</v>
      </c>
      <c r="DN147" s="46">
        <f>Tabelle4[[#This Row],[Acquisition Bonus OE810]]+Tabelle4[[#This Row],[Project Execution OE810]]</f>
        <v>0</v>
      </c>
    </row>
    <row r="148" spans="1:118" x14ac:dyDescent="0.45">
      <c r="A148" s="70" t="s">
        <v>633</v>
      </c>
      <c r="C148" s="33" t="s">
        <v>159</v>
      </c>
      <c r="D148" s="33" t="s">
        <v>710</v>
      </c>
      <c r="E148" s="33">
        <v>1</v>
      </c>
      <c r="G148" s="33" t="s">
        <v>1</v>
      </c>
      <c r="H148" s="33" t="s">
        <v>0</v>
      </c>
      <c r="K148" s="33" t="s">
        <v>630</v>
      </c>
      <c r="L148" s="59"/>
      <c r="Q148" s="58"/>
      <c r="Z148" s="42" t="str">
        <f t="shared" si="23"/>
        <v>IPK</v>
      </c>
      <c r="AB148" s="104"/>
      <c r="AC148" s="104"/>
      <c r="AD148" s="104"/>
      <c r="AE148" s="104"/>
      <c r="AF148" s="104"/>
      <c r="AG148" s="42" t="str">
        <f t="shared" si="24"/>
        <v>ITA</v>
      </c>
      <c r="AK148" s="64"/>
      <c r="AL148" s="64"/>
      <c r="AM148" s="64"/>
      <c r="AO148" s="42"/>
      <c r="AQ148" s="104"/>
      <c r="AR148" s="104"/>
      <c r="AS148" s="104"/>
      <c r="AT148" s="104"/>
      <c r="AU148" s="104"/>
      <c r="AV148" s="42"/>
      <c r="AX148" s="104"/>
      <c r="AY148" s="104"/>
      <c r="AZ148" s="104"/>
      <c r="BA148" s="104"/>
      <c r="BB148" s="104"/>
      <c r="BC148" s="42"/>
      <c r="BE148" s="64"/>
      <c r="BF148" s="101"/>
      <c r="BI148" s="64"/>
      <c r="BJ148" s="101"/>
      <c r="BM148" s="104"/>
      <c r="BN148" s="101"/>
      <c r="BO148" s="114"/>
      <c r="BP148" s="114"/>
      <c r="BQ148" s="104"/>
      <c r="BR148" s="101"/>
      <c r="BU148" s="101"/>
      <c r="BW148" s="114"/>
      <c r="BX148" s="101"/>
      <c r="BY148" s="44">
        <f>Tabelle4[[#This Row],[Industry Funding from DE (IPK)]]+Tabelle4[[#This Row],[Industry Funding from BR (IPK)]]+Tabelle4[[#This Row],[Public Funding from DE (IPK)]]+Tabelle4[[#This Row],[Public Funding from BR (IPK)]]+Tabelle4[[#This Row],[In-kind Contribution (IPK)]]</f>
        <v>0</v>
      </c>
      <c r="BZ148" s="44">
        <f>Tabelle4[[#This Row],[Industry Funding from DE (IPK)]]+Tabelle4[[#This Row],[Industry Funding from BR (IPK)]]+Tabelle4[[#This Row],[Public Funding from DE (IPK)]]+Tabelle4[[#This Row],[Public Funding from BR (IPK)]]</f>
        <v>0</v>
      </c>
      <c r="CA148" s="44">
        <f>Tabelle4[[#This Row],[Industry Funding from DE (IPK)]]+Tabelle4[[#This Row],[Industry Funding from BR (IPK)]]</f>
        <v>0</v>
      </c>
      <c r="CB148" s="44">
        <f>Tabelle4[[#This Row],[Public Funding from DE (IPK)]]+Tabelle4[[#This Row],[Public Funding from BR (IPK)]]</f>
        <v>0</v>
      </c>
      <c r="CC148" s="44">
        <f>Tabelle4[[#This Row],[In-kind Contribution (IPK)]]</f>
        <v>0</v>
      </c>
      <c r="CD148" s="47" t="e">
        <f>(Tabelle4[[#This Row],[Total Industry Funding (IPK)]] + Tabelle4[[#This Row],[Total Public Funding (IPK)]])/Tabelle4[[#This Row],[Total Project Volume (IPK)]]</f>
        <v>#DIV/0!</v>
      </c>
      <c r="CE148" s="47" t="e">
        <f>Tabelle4[[#This Row],[Total Industry Funding (IPK)]] / Tabelle4[[#This Row],[Total Project Volume (IPK)]]</f>
        <v>#DIV/0!</v>
      </c>
      <c r="CF148" s="33" t="str">
        <f>Tabelle4[[#This Row],[Project Funding Classification]]</f>
        <v>Industry</v>
      </c>
      <c r="CG148" s="44">
        <f>Tabelle4[[#This Row],[Industry Funding from DE (IPK)]]+Tabelle4[[#This Row],[Public Funding from DE (IPK)]]</f>
        <v>0</v>
      </c>
      <c r="CH148" s="46">
        <f>Tabelle4[[#This Row],[Industry Funding from BR (IPK)]]+Tabelle4[[#This Row],[Public Funding from BR (IPK)]]</f>
        <v>0</v>
      </c>
      <c r="CI148" s="44">
        <f>Tabelle4[[#This Row],[Industry Funding from DE (ITA)]]+Tabelle4[[#This Row],[Industry Funding from BR (ITA)]]+Tabelle4[[#This Row],[Public Funding from DE (ITA)]]+Tabelle4[[#This Row],[Public Funding from BR (ITA)]]</f>
        <v>0</v>
      </c>
      <c r="CJ148" s="44">
        <f>Tabelle4[[#This Row],[Industry Funding from DE (ITA)]]+Tabelle4[[#This Row],[Industry Funding from BR (ITA)]]</f>
        <v>0</v>
      </c>
      <c r="CK148" s="44">
        <f>Tabelle4[[#This Row],[Public Funding from DE (ITA)]]+Tabelle4[[#This Row],[Public Funding from BR (ITA)]]</f>
        <v>0</v>
      </c>
      <c r="CL148" s="47" t="e">
        <f>Tabelle4[[#This Row],[Total Industry Funding (ITA)]]/Tabelle4[[#This Row],[Total Project Volume (ITA)]]</f>
        <v>#DIV/0!</v>
      </c>
      <c r="CM148" s="33" t="e">
        <f>IF(Tabelle4[[#This Row],[Funding Ratio (ITA)]]&lt;0.5,"Public Funding","Industry")</f>
        <v>#DIV/0!</v>
      </c>
      <c r="CN148" s="44">
        <f>Tabelle4[[#This Row],[Industry Funding from DE (ITA)]]+Tabelle4[[#This Row],[Public Funding from DE (ITA)]]</f>
        <v>0</v>
      </c>
      <c r="CO148" s="111">
        <f>Tabelle4[[#This Row],[Industry Funding from BR (ITA)]]+Tabelle4[[#This Row],[Public Funding from BR (ITA)]]</f>
        <v>0</v>
      </c>
      <c r="CP148" s="44">
        <f>Tabelle4[[#This Row],[Total Project Volume (IPK)]]+Tabelle4[[#This Row],[Total Project Volume (ITA)]]</f>
        <v>0</v>
      </c>
      <c r="CQ148" s="44">
        <f>Tabelle4[[#This Row],[Total Industry Funding (IPK)]]+Tabelle4[[#This Row],[Total Industry Funding (ITA)]]</f>
        <v>0</v>
      </c>
      <c r="CR148" s="44">
        <f>Tabelle4[[#This Row],[Industry Funding from DE (IPK)]]+Tabelle4[[#This Row],[Industry Funding from DE (ITA)]]</f>
        <v>0</v>
      </c>
      <c r="CS148" s="44">
        <f>Tabelle4[[#This Row],[Industry Funding from BR (IPK)]]+Tabelle4[[#This Row],[Industry Funding from BR (ITA)]]</f>
        <v>0</v>
      </c>
      <c r="CT148" s="44">
        <f>Tabelle4[[#This Row],[Total Public Funding (IPK)]]+Tabelle4[[#This Row],[Total Public Funding (ITA)]]</f>
        <v>0</v>
      </c>
      <c r="CU148" s="44">
        <f>Tabelle4[[#This Row],[Public Funding from DE (IPK)]]+Tabelle4[[#This Row],[Public Funding from DE (ITA)]]</f>
        <v>0</v>
      </c>
      <c r="CV148" s="44">
        <f>Tabelle4[[#This Row],[Public Funding from BR (IPK)]]+Tabelle4[[#This Row],[Public Funding from BR (ITA)]]</f>
        <v>0</v>
      </c>
      <c r="CW148" s="44">
        <f>Tabelle4[[#This Row],[Industry Funding from DE (FPC)]]+Tabelle4[[#This Row],[Public Funding from DE (FPC)]]</f>
        <v>0</v>
      </c>
      <c r="CX148" s="46">
        <f>Tabelle4[[#This Row],[Industry Funding from BR (FPC)]]+Tabelle4[[#This Row],[Public Funding from BR (FPC)]]</f>
        <v>0</v>
      </c>
      <c r="CY148" s="44">
        <f>Tabelle4[[#This Row],[Total Financial Budget (Other)]]+Tabelle4[[#This Row],[Total In-kind Contribution (Other)]]</f>
        <v>0</v>
      </c>
      <c r="CZ14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48" s="44">
        <f>Tabelle4[[#This Row],[In-kind Contribution (R&amp;D III)]]+Tabelle4[[#This Row],[In-kind Contribution (R&amp;D IV)]]</f>
        <v>0</v>
      </c>
      <c r="DB148" s="158">
        <f>Tabelle4[[#This Row],[Total Budget (FPC)]]+Tabelle4[[#This Row],[Total Volume (Other)]]</f>
        <v>0</v>
      </c>
      <c r="DC148" s="104">
        <f>Tabelle4[[#This Row],[Total Revenues (IPK)]]</f>
        <v>0</v>
      </c>
      <c r="DE148" s="44">
        <f>Tabelle4[[#This Row],[Total Revenues IPK]]*Tabelle4[[#This Row],[Probability of Success]]</f>
        <v>0</v>
      </c>
      <c r="DL148" s="44">
        <f>Tabelle4[[#This Row],[Real Budget IPK]]*Tabelle4[[#This Row],[Acquisition Factor OE810]]</f>
        <v>0</v>
      </c>
      <c r="DN148" s="46">
        <f>Tabelle4[[#This Row],[Acquisition Bonus OE810]]+Tabelle4[[#This Row],[Project Execution OE810]]</f>
        <v>0</v>
      </c>
    </row>
    <row r="149" spans="1:118" x14ac:dyDescent="0.45">
      <c r="A149" s="42" t="s">
        <v>248</v>
      </c>
      <c r="B149" s="33" t="s">
        <v>250</v>
      </c>
      <c r="C149" s="33" t="s">
        <v>249</v>
      </c>
      <c r="D149" s="33" t="s">
        <v>711</v>
      </c>
      <c r="F149" s="33">
        <v>3</v>
      </c>
      <c r="G149" s="33" t="s">
        <v>1</v>
      </c>
      <c r="H149" s="33" t="s">
        <v>96</v>
      </c>
      <c r="K149" s="33" t="s">
        <v>245</v>
      </c>
      <c r="P149" s="59">
        <v>42703</v>
      </c>
      <c r="R149" s="59">
        <v>43830</v>
      </c>
      <c r="W149" s="59">
        <v>42703</v>
      </c>
      <c r="Z149" s="42" t="str">
        <f t="shared" si="23"/>
        <v>IPK</v>
      </c>
      <c r="AA149" s="33" t="s">
        <v>141</v>
      </c>
      <c r="AD149" s="61">
        <v>67687</v>
      </c>
      <c r="AF149" s="61">
        <v>24000</v>
      </c>
      <c r="AG149" s="42" t="str">
        <f t="shared" si="24"/>
        <v>ITA</v>
      </c>
      <c r="AO149" s="42"/>
      <c r="AV149" s="42"/>
      <c r="BC149" s="42"/>
      <c r="BF149" s="65"/>
      <c r="BS149" s="33" t="s">
        <v>249</v>
      </c>
      <c r="BU149" s="65">
        <v>67687.070000000007</v>
      </c>
      <c r="BY149" s="44">
        <f>Tabelle4[[#This Row],[Industry Funding from DE (IPK)]]+Tabelle4[[#This Row],[Industry Funding from BR (IPK)]]+Tabelle4[[#This Row],[Public Funding from DE (IPK)]]+Tabelle4[[#This Row],[Public Funding from BR (IPK)]]+Tabelle4[[#This Row],[In-kind Contribution (IPK)]]</f>
        <v>91687</v>
      </c>
      <c r="BZ149" s="44">
        <f>Tabelle4[[#This Row],[Industry Funding from DE (IPK)]]+Tabelle4[[#This Row],[Industry Funding from BR (IPK)]]+Tabelle4[[#This Row],[Public Funding from DE (IPK)]]+Tabelle4[[#This Row],[Public Funding from BR (IPK)]]</f>
        <v>67687</v>
      </c>
      <c r="CA149" s="44">
        <f>Tabelle4[[#This Row],[Industry Funding from DE (IPK)]]+Tabelle4[[#This Row],[Industry Funding from BR (IPK)]]</f>
        <v>0</v>
      </c>
      <c r="CB149" s="44">
        <f>Tabelle4[[#This Row],[Public Funding from DE (IPK)]]+Tabelle4[[#This Row],[Public Funding from BR (IPK)]]</f>
        <v>67687</v>
      </c>
      <c r="CC149" s="44">
        <f>Tabelle4[[#This Row],[In-kind Contribution (IPK)]]</f>
        <v>24000</v>
      </c>
      <c r="CD149" s="47">
        <f>(Tabelle4[[#This Row],[Total Industry Funding (IPK)]] + Tabelle4[[#This Row],[Total Public Funding (IPK)]])/Tabelle4[[#This Row],[Total Project Volume (IPK)]]</f>
        <v>0.73823988133541285</v>
      </c>
      <c r="CE149" s="47">
        <f>Tabelle4[[#This Row],[Total Industry Funding (IPK)]] / Tabelle4[[#This Row],[Total Project Volume (IPK)]]</f>
        <v>0</v>
      </c>
      <c r="CF149" s="33" t="str">
        <f>Tabelle4[[#This Row],[Project Funding Classification]]</f>
        <v>Public Funding</v>
      </c>
      <c r="CG149" s="44">
        <f>Tabelle4[[#This Row],[Industry Funding from DE (IPK)]]+Tabelle4[[#This Row],[Public Funding from DE (IPK)]]</f>
        <v>67687</v>
      </c>
      <c r="CH149" s="46">
        <f>Tabelle4[[#This Row],[Industry Funding from BR (IPK)]]+Tabelle4[[#This Row],[Public Funding from BR (IPK)]]</f>
        <v>0</v>
      </c>
      <c r="CI149" s="44">
        <f>Tabelle4[[#This Row],[Industry Funding from DE (ITA)]]+Tabelle4[[#This Row],[Industry Funding from BR (ITA)]]+Tabelle4[[#This Row],[Public Funding from DE (ITA)]]+Tabelle4[[#This Row],[Public Funding from BR (ITA)]]</f>
        <v>0</v>
      </c>
      <c r="CJ149" s="44">
        <f>Tabelle4[[#This Row],[Industry Funding from DE (ITA)]]+Tabelle4[[#This Row],[Industry Funding from BR (ITA)]]</f>
        <v>0</v>
      </c>
      <c r="CK149" s="44">
        <f>Tabelle4[[#This Row],[Public Funding from DE (ITA)]]+Tabelle4[[#This Row],[Public Funding from BR (ITA)]]</f>
        <v>0</v>
      </c>
      <c r="CL149" s="47" t="e">
        <f>Tabelle4[[#This Row],[Total Industry Funding (ITA)]]/Tabelle4[[#This Row],[Total Project Volume (ITA)]]</f>
        <v>#DIV/0!</v>
      </c>
      <c r="CM149" s="33" t="e">
        <f>IF(Tabelle4[[#This Row],[Funding Ratio (ITA)]]&lt;0.5,"Public Funding","Industry")</f>
        <v>#DIV/0!</v>
      </c>
      <c r="CN149" s="44">
        <f>Tabelle4[[#This Row],[Industry Funding from DE (ITA)]]+Tabelle4[[#This Row],[Public Funding from DE (ITA)]]</f>
        <v>0</v>
      </c>
      <c r="CO149" s="46">
        <f>Tabelle4[[#This Row],[Industry Funding from BR (ITA)]]+Tabelle4[[#This Row],[Public Funding from BR (ITA)]]</f>
        <v>0</v>
      </c>
      <c r="CP149" s="44">
        <f>Tabelle4[[#This Row],[Total Project Volume (IPK)]]+Tabelle4[[#This Row],[Total Project Volume (ITA)]]</f>
        <v>91687</v>
      </c>
      <c r="CQ149" s="44">
        <f>Tabelle4[[#This Row],[Total Industry Funding (IPK)]]+Tabelle4[[#This Row],[Total Industry Funding (ITA)]]</f>
        <v>0</v>
      </c>
      <c r="CR149" s="44">
        <f>Tabelle4[[#This Row],[Industry Funding from DE (IPK)]]+Tabelle4[[#This Row],[Industry Funding from DE (ITA)]]</f>
        <v>0</v>
      </c>
      <c r="CS149" s="44">
        <f>Tabelle4[[#This Row],[Industry Funding from BR (IPK)]]+Tabelle4[[#This Row],[Industry Funding from BR (ITA)]]</f>
        <v>0</v>
      </c>
      <c r="CT149" s="44">
        <f>Tabelle4[[#This Row],[Total Public Funding (IPK)]]+Tabelle4[[#This Row],[Total Public Funding (ITA)]]</f>
        <v>67687</v>
      </c>
      <c r="CU149" s="44">
        <f>Tabelle4[[#This Row],[Public Funding from DE (IPK)]]+Tabelle4[[#This Row],[Public Funding from DE (ITA)]]</f>
        <v>67687</v>
      </c>
      <c r="CV149" s="44">
        <f>Tabelle4[[#This Row],[Public Funding from BR (IPK)]]+Tabelle4[[#This Row],[Public Funding from BR (ITA)]]</f>
        <v>0</v>
      </c>
      <c r="CW149" s="44">
        <f>Tabelle4[[#This Row],[Industry Funding from DE (FPC)]]+Tabelle4[[#This Row],[Public Funding from DE (FPC)]]</f>
        <v>67687</v>
      </c>
      <c r="CX149" s="46">
        <f>Tabelle4[[#This Row],[Industry Funding from BR (FPC)]]+Tabelle4[[#This Row],[Public Funding from BR (FPC)]]</f>
        <v>0</v>
      </c>
      <c r="CY149" s="44">
        <f>Tabelle4[[#This Row],[Total Financial Budget (Other)]]+Tabelle4[[#This Row],[Total In-kind Contribution (Other)]]</f>
        <v>0</v>
      </c>
      <c r="CZ14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49" s="44">
        <f>Tabelle4[[#This Row],[In-kind Contribution (R&amp;D III)]]+Tabelle4[[#This Row],[In-kind Contribution (R&amp;D IV)]]</f>
        <v>0</v>
      </c>
      <c r="DB149" s="158">
        <f>Tabelle4[[#This Row],[Total Budget (FPC)]]+Tabelle4[[#This Row],[Total Volume (Other)]]</f>
        <v>91687</v>
      </c>
      <c r="DC149" s="104">
        <f>Tabelle4[[#This Row],[Total Revenues (IPK)]]</f>
        <v>67687</v>
      </c>
      <c r="DD149" s="47">
        <v>1</v>
      </c>
      <c r="DE149" s="44">
        <f>Tabelle4[[#This Row],[Total Revenues IPK]]*Tabelle4[[#This Row],[Probability of Success]]</f>
        <v>67687</v>
      </c>
      <c r="DK149" s="47">
        <v>0</v>
      </c>
      <c r="DL149" s="44">
        <f>Tabelle4[[#This Row],[Real Budget IPK]]*Tabelle4[[#This Row],[Acquisition Factor OE810]]</f>
        <v>0</v>
      </c>
      <c r="DM149" s="44">
        <v>91687</v>
      </c>
      <c r="DN149" s="46">
        <f>Tabelle4[[#This Row],[Acquisition Bonus OE810]]+Tabelle4[[#This Row],[Project Execution OE810]]</f>
        <v>91687</v>
      </c>
    </row>
    <row r="150" spans="1:118" ht="27.75" x14ac:dyDescent="0.45">
      <c r="A150" s="48" t="s">
        <v>189</v>
      </c>
      <c r="B150" s="49"/>
      <c r="C150" s="49" t="s">
        <v>190</v>
      </c>
      <c r="D150" s="49" t="s">
        <v>708</v>
      </c>
      <c r="E150" s="49"/>
      <c r="F150" s="49"/>
      <c r="G150" s="49" t="s">
        <v>1</v>
      </c>
      <c r="H150" s="49" t="s">
        <v>0</v>
      </c>
      <c r="I150" s="49"/>
      <c r="J150" s="50"/>
      <c r="K150" s="49" t="s">
        <v>246</v>
      </c>
      <c r="L150" s="49"/>
      <c r="M150" s="146"/>
      <c r="N150" s="49"/>
      <c r="O150" s="50"/>
      <c r="P150" s="50"/>
      <c r="Q150" s="49"/>
      <c r="R150" s="50"/>
      <c r="S150" s="50"/>
      <c r="T150" s="50"/>
      <c r="U150" s="59" t="s">
        <v>455</v>
      </c>
      <c r="V150" s="50"/>
      <c r="W150" s="50"/>
      <c r="X150" s="50"/>
      <c r="Y150" s="50">
        <v>43910</v>
      </c>
      <c r="Z150" s="48" t="str">
        <f t="shared" si="23"/>
        <v>IPK</v>
      </c>
      <c r="AA150" s="33" t="s">
        <v>141</v>
      </c>
      <c r="AB150" s="105"/>
      <c r="AC150" s="105">
        <v>32000</v>
      </c>
      <c r="AD150" s="105"/>
      <c r="AE150" s="105"/>
      <c r="AF150" s="105"/>
      <c r="AG150" s="48" t="str">
        <f t="shared" si="24"/>
        <v>ITA</v>
      </c>
      <c r="AH150" s="49"/>
      <c r="AI150" s="49"/>
      <c r="AO150" s="48"/>
      <c r="AP150" s="49"/>
      <c r="AQ150" s="105"/>
      <c r="AR150" s="105"/>
      <c r="AS150" s="105"/>
      <c r="AT150" s="105"/>
      <c r="AU150" s="105"/>
      <c r="AV150" s="48"/>
      <c r="AW150" s="49"/>
      <c r="AX150" s="105"/>
      <c r="AY150" s="105"/>
      <c r="AZ150" s="105"/>
      <c r="BA150" s="105"/>
      <c r="BB150" s="105"/>
      <c r="BC150" s="42" t="s">
        <v>190</v>
      </c>
      <c r="BD150" s="33" t="s">
        <v>456</v>
      </c>
      <c r="BE150" s="105">
        <v>32000</v>
      </c>
      <c r="BF150" s="102"/>
      <c r="BG150" s="49"/>
      <c r="BH150" s="49"/>
      <c r="BI150" s="105"/>
      <c r="BJ150" s="102"/>
      <c r="BK150" s="49"/>
      <c r="BL150" s="49"/>
      <c r="BM150" s="105"/>
      <c r="BN150" s="102"/>
      <c r="BO150" s="49"/>
      <c r="BP150" s="49"/>
      <c r="BQ150" s="105"/>
      <c r="BR150" s="102"/>
      <c r="BS150" s="49"/>
      <c r="BT150" s="49"/>
      <c r="BU150" s="102"/>
      <c r="BV150" s="49"/>
      <c r="BW150" s="49"/>
      <c r="BX150" s="102"/>
      <c r="BY150" s="51">
        <f>Tabelle4[[#This Row],[Industry Funding from DE (IPK)]]+Tabelle4[[#This Row],[Industry Funding from BR (IPK)]]+Tabelle4[[#This Row],[Public Funding from DE (IPK)]]+Tabelle4[[#This Row],[Public Funding from BR (IPK)]]+Tabelle4[[#This Row],[In-kind Contribution (IPK)]]</f>
        <v>32000</v>
      </c>
      <c r="BZ150" s="51">
        <f>Tabelle4[[#This Row],[Industry Funding from DE (IPK)]]+Tabelle4[[#This Row],[Industry Funding from BR (IPK)]]+Tabelle4[[#This Row],[Public Funding from DE (IPK)]]+Tabelle4[[#This Row],[Public Funding from BR (IPK)]]</f>
        <v>32000</v>
      </c>
      <c r="CA150" s="51">
        <f>Tabelle4[[#This Row],[Industry Funding from DE (IPK)]]+Tabelle4[[#This Row],[Industry Funding from BR (IPK)]]</f>
        <v>32000</v>
      </c>
      <c r="CB150" s="51">
        <f>Tabelle4[[#This Row],[Public Funding from DE (IPK)]]+Tabelle4[[#This Row],[Public Funding from BR (IPK)]]</f>
        <v>0</v>
      </c>
      <c r="CC150" s="51">
        <f>Tabelle4[[#This Row],[In-kind Contribution (IPK)]]</f>
        <v>0</v>
      </c>
      <c r="CD150" s="53">
        <f>(Tabelle4[[#This Row],[Total Industry Funding (IPK)]] + Tabelle4[[#This Row],[Total Public Funding (IPK)]])/Tabelle4[[#This Row],[Total Project Volume (IPK)]]</f>
        <v>1</v>
      </c>
      <c r="CE150" s="53">
        <f>Tabelle4[[#This Row],[Total Industry Funding (IPK)]] / Tabelle4[[#This Row],[Total Project Volume (IPK)]]</f>
        <v>1</v>
      </c>
      <c r="CF150" s="49" t="str">
        <f>Tabelle4[[#This Row],[Project Funding Classification]]</f>
        <v>Industry</v>
      </c>
      <c r="CG150" s="51">
        <f>Tabelle4[[#This Row],[Industry Funding from DE (IPK)]]+Tabelle4[[#This Row],[Public Funding from DE (IPK)]]</f>
        <v>0</v>
      </c>
      <c r="CH150" s="52">
        <f>Tabelle4[[#This Row],[Industry Funding from BR (IPK)]]+Tabelle4[[#This Row],[Public Funding from BR (IPK)]]</f>
        <v>32000</v>
      </c>
      <c r="CI150" s="51">
        <f>Tabelle4[[#This Row],[Industry Funding from DE (ITA)]]+Tabelle4[[#This Row],[Industry Funding from BR (ITA)]]+Tabelle4[[#This Row],[Public Funding from DE (ITA)]]+Tabelle4[[#This Row],[Public Funding from BR (ITA)]]</f>
        <v>0</v>
      </c>
      <c r="CJ150" s="51">
        <f>Tabelle4[[#This Row],[Industry Funding from DE (ITA)]]+Tabelle4[[#This Row],[Industry Funding from BR (ITA)]]</f>
        <v>0</v>
      </c>
      <c r="CK150" s="51">
        <f>Tabelle4[[#This Row],[Public Funding from DE (ITA)]]+Tabelle4[[#This Row],[Public Funding from BR (ITA)]]</f>
        <v>0</v>
      </c>
      <c r="CL150" s="53" t="e">
        <f>Tabelle4[[#This Row],[Total Industry Funding (ITA)]]/Tabelle4[[#This Row],[Total Project Volume (ITA)]]</f>
        <v>#DIV/0!</v>
      </c>
      <c r="CM150" s="49" t="e">
        <f>IF(Tabelle4[[#This Row],[Funding Ratio (ITA)]]&lt;0.5,"Public Funding","Industry")</f>
        <v>#DIV/0!</v>
      </c>
      <c r="CN150" s="51">
        <f>Tabelle4[[#This Row],[Industry Funding from DE (ITA)]]+Tabelle4[[#This Row],[Public Funding from DE (ITA)]]</f>
        <v>0</v>
      </c>
      <c r="CO150" s="52">
        <f>Tabelle4[[#This Row],[Industry Funding from BR (ITA)]]+Tabelle4[[#This Row],[Public Funding from BR (ITA)]]</f>
        <v>0</v>
      </c>
      <c r="CP150" s="51">
        <f>Tabelle4[[#This Row],[Total Project Volume (IPK)]]+Tabelle4[[#This Row],[Total Project Volume (ITA)]]</f>
        <v>32000</v>
      </c>
      <c r="CQ150" s="51">
        <f>Tabelle4[[#This Row],[Total Industry Funding (IPK)]]+Tabelle4[[#This Row],[Total Industry Funding (ITA)]]</f>
        <v>32000</v>
      </c>
      <c r="CR150" s="51">
        <f>Tabelle4[[#This Row],[Industry Funding from DE (IPK)]]+Tabelle4[[#This Row],[Industry Funding from DE (ITA)]]</f>
        <v>0</v>
      </c>
      <c r="CS150" s="51">
        <f>Tabelle4[[#This Row],[Industry Funding from BR (IPK)]]+Tabelle4[[#This Row],[Industry Funding from BR (ITA)]]</f>
        <v>32000</v>
      </c>
      <c r="CT150" s="51">
        <f>Tabelle4[[#This Row],[Total Public Funding (IPK)]]+Tabelle4[[#This Row],[Total Public Funding (ITA)]]</f>
        <v>0</v>
      </c>
      <c r="CU150" s="51">
        <f>Tabelle4[[#This Row],[Public Funding from DE (IPK)]]+Tabelle4[[#This Row],[Public Funding from DE (ITA)]]</f>
        <v>0</v>
      </c>
      <c r="CV150" s="51">
        <f>Tabelle4[[#This Row],[Public Funding from BR (IPK)]]+Tabelle4[[#This Row],[Public Funding from BR (ITA)]]</f>
        <v>0</v>
      </c>
      <c r="CW150" s="51">
        <f>Tabelle4[[#This Row],[Industry Funding from DE (FPC)]]+Tabelle4[[#This Row],[Public Funding from DE (FPC)]]</f>
        <v>0</v>
      </c>
      <c r="CX150" s="52">
        <f>Tabelle4[[#This Row],[Industry Funding from BR (FPC)]]+Tabelle4[[#This Row],[Public Funding from BR (FPC)]]</f>
        <v>32000</v>
      </c>
      <c r="CY150" s="44">
        <f>Tabelle4[[#This Row],[Total Financial Budget (Other)]]+Tabelle4[[#This Row],[Total In-kind Contribution (Other)]]</f>
        <v>0</v>
      </c>
      <c r="CZ150"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50" s="44">
        <f>Tabelle4[[#This Row],[In-kind Contribution (R&amp;D III)]]+Tabelle4[[#This Row],[In-kind Contribution (R&amp;D IV)]]</f>
        <v>0</v>
      </c>
      <c r="DB150" s="158">
        <f>Tabelle4[[#This Row],[Total Budget (FPC)]]+Tabelle4[[#This Row],[Total Volume (Other)]]</f>
        <v>32000</v>
      </c>
      <c r="DC150" s="105">
        <f>Tabelle4[[#This Row],[Total Revenues (IPK)]]</f>
        <v>32000</v>
      </c>
      <c r="DD150" s="53"/>
      <c r="DE150" s="51">
        <f>Tabelle4[[#This Row],[Total Revenues IPK]]*Tabelle4[[#This Row],[Probability of Success]]</f>
        <v>0</v>
      </c>
      <c r="DF150" s="51"/>
      <c r="DG150" s="51"/>
      <c r="DH150" s="51"/>
      <c r="DI150" s="51"/>
      <c r="DJ150" s="51"/>
      <c r="DK150" s="53"/>
      <c r="DL150" s="51">
        <f>Tabelle4[[#This Row],[Real Budget IPK]]*Tabelle4[[#This Row],[Acquisition Factor OE810]]</f>
        <v>0</v>
      </c>
      <c r="DM150" s="51">
        <v>0</v>
      </c>
      <c r="DN150" s="52">
        <f>Tabelle4[[#This Row],[Acquisition Bonus OE810]]+Tabelle4[[#This Row],[Project Execution OE810]]</f>
        <v>0</v>
      </c>
    </row>
    <row r="151" spans="1:118" ht="27.75" x14ac:dyDescent="0.45">
      <c r="A151" s="42" t="s">
        <v>501</v>
      </c>
      <c r="B151" s="33" t="s">
        <v>502</v>
      </c>
      <c r="C151" s="33" t="s">
        <v>159</v>
      </c>
      <c r="D151" s="33" t="s">
        <v>710</v>
      </c>
      <c r="G151" s="33" t="s">
        <v>1</v>
      </c>
      <c r="H151" s="33" t="s">
        <v>0</v>
      </c>
      <c r="K151" s="33" t="s">
        <v>246</v>
      </c>
      <c r="U151" s="59">
        <v>43922</v>
      </c>
      <c r="V151" s="59">
        <v>43985</v>
      </c>
      <c r="Z151" s="42" t="str">
        <f t="shared" si="23"/>
        <v>IPK</v>
      </c>
      <c r="AA151" s="33" t="s">
        <v>141</v>
      </c>
      <c r="AC151" s="61">
        <v>47500</v>
      </c>
      <c r="AG151" s="42" t="str">
        <f t="shared" si="24"/>
        <v>ITA</v>
      </c>
      <c r="AO151" s="42"/>
      <c r="AV151" s="42"/>
      <c r="BC151" s="42" t="s">
        <v>539</v>
      </c>
      <c r="BE151" s="61">
        <v>45000</v>
      </c>
      <c r="BF151" s="65"/>
      <c r="BY151" s="44">
        <f>Tabelle4[[#This Row],[Industry Funding from DE (IPK)]]+Tabelle4[[#This Row],[Industry Funding from BR (IPK)]]+Tabelle4[[#This Row],[Public Funding from DE (IPK)]]+Tabelle4[[#This Row],[Public Funding from BR (IPK)]]+Tabelle4[[#This Row],[In-kind Contribution (IPK)]]</f>
        <v>47500</v>
      </c>
      <c r="BZ151" s="44">
        <f>Tabelle4[[#This Row],[Industry Funding from DE (IPK)]]+Tabelle4[[#This Row],[Industry Funding from BR (IPK)]]+Tabelle4[[#This Row],[Public Funding from DE (IPK)]]+Tabelle4[[#This Row],[Public Funding from BR (IPK)]]</f>
        <v>47500</v>
      </c>
      <c r="CA151" s="44">
        <f>Tabelle4[[#This Row],[Industry Funding from DE (IPK)]]+Tabelle4[[#This Row],[Industry Funding from BR (IPK)]]</f>
        <v>47500</v>
      </c>
      <c r="CB151" s="44">
        <f>Tabelle4[[#This Row],[Public Funding from DE (IPK)]]+Tabelle4[[#This Row],[Public Funding from BR (IPK)]]</f>
        <v>0</v>
      </c>
      <c r="CC151" s="44">
        <f>Tabelle4[[#This Row],[In-kind Contribution (IPK)]]</f>
        <v>0</v>
      </c>
      <c r="CD151" s="47">
        <f>(Tabelle4[[#This Row],[Total Industry Funding (IPK)]] + Tabelle4[[#This Row],[Total Public Funding (IPK)]])/Tabelle4[[#This Row],[Total Project Volume (IPK)]]</f>
        <v>1</v>
      </c>
      <c r="CE151" s="47">
        <f>Tabelle4[[#This Row],[Total Industry Funding (IPK)]] / Tabelle4[[#This Row],[Total Project Volume (IPK)]]</f>
        <v>1</v>
      </c>
      <c r="CF151" s="33" t="str">
        <f>Tabelle4[[#This Row],[Project Funding Classification]]</f>
        <v>Industry</v>
      </c>
      <c r="CG151" s="44">
        <f>Tabelle4[[#This Row],[Industry Funding from DE (IPK)]]+Tabelle4[[#This Row],[Public Funding from DE (IPK)]]</f>
        <v>0</v>
      </c>
      <c r="CH151" s="46">
        <f>Tabelle4[[#This Row],[Industry Funding from BR (IPK)]]+Tabelle4[[#This Row],[Public Funding from BR (IPK)]]</f>
        <v>47500</v>
      </c>
      <c r="CI151" s="44">
        <f>Tabelle4[[#This Row],[Industry Funding from DE (ITA)]]+Tabelle4[[#This Row],[Industry Funding from BR (ITA)]]+Tabelle4[[#This Row],[Public Funding from DE (ITA)]]+Tabelle4[[#This Row],[Public Funding from BR (ITA)]]</f>
        <v>0</v>
      </c>
      <c r="CJ151" s="44">
        <f>Tabelle4[[#This Row],[Industry Funding from DE (ITA)]]+Tabelle4[[#This Row],[Industry Funding from BR (ITA)]]</f>
        <v>0</v>
      </c>
      <c r="CK151" s="44">
        <f>Tabelle4[[#This Row],[Public Funding from DE (ITA)]]+Tabelle4[[#This Row],[Public Funding from BR (ITA)]]</f>
        <v>0</v>
      </c>
      <c r="CL151" s="47" t="e">
        <f>Tabelle4[[#This Row],[Total Industry Funding (ITA)]]/Tabelle4[[#This Row],[Total Project Volume (ITA)]]</f>
        <v>#DIV/0!</v>
      </c>
      <c r="CM151" s="33" t="e">
        <f>IF(Tabelle4[[#This Row],[Funding Ratio (ITA)]]&lt;0.5,"Public Funding","Industry")</f>
        <v>#DIV/0!</v>
      </c>
      <c r="CN151" s="44">
        <f>Tabelle4[[#This Row],[Industry Funding from DE (ITA)]]+Tabelle4[[#This Row],[Public Funding from DE (ITA)]]</f>
        <v>0</v>
      </c>
      <c r="CO151" s="46">
        <f>Tabelle4[[#This Row],[Industry Funding from BR (ITA)]]+Tabelle4[[#This Row],[Public Funding from BR (ITA)]]</f>
        <v>0</v>
      </c>
      <c r="CP151" s="44">
        <f>Tabelle4[[#This Row],[Total Project Volume (IPK)]]+Tabelle4[[#This Row],[Total Project Volume (ITA)]]</f>
        <v>47500</v>
      </c>
      <c r="CQ151" s="44">
        <f>Tabelle4[[#This Row],[Total Industry Funding (IPK)]]+Tabelle4[[#This Row],[Total Industry Funding (ITA)]]</f>
        <v>47500</v>
      </c>
      <c r="CR151" s="44">
        <f>Tabelle4[[#This Row],[Industry Funding from DE (IPK)]]+Tabelle4[[#This Row],[Industry Funding from DE (ITA)]]</f>
        <v>0</v>
      </c>
      <c r="CS151" s="44">
        <f>Tabelle4[[#This Row],[Industry Funding from BR (IPK)]]+Tabelle4[[#This Row],[Industry Funding from BR (ITA)]]</f>
        <v>47500</v>
      </c>
      <c r="CT151" s="44">
        <f>Tabelle4[[#This Row],[Total Public Funding (IPK)]]+Tabelle4[[#This Row],[Total Public Funding (ITA)]]</f>
        <v>0</v>
      </c>
      <c r="CU151" s="44">
        <f>Tabelle4[[#This Row],[Public Funding from DE (IPK)]]+Tabelle4[[#This Row],[Public Funding from DE (ITA)]]</f>
        <v>0</v>
      </c>
      <c r="CV151" s="44">
        <f>Tabelle4[[#This Row],[Public Funding from BR (IPK)]]+Tabelle4[[#This Row],[Public Funding from BR (ITA)]]</f>
        <v>0</v>
      </c>
      <c r="CW151" s="44">
        <f>Tabelle4[[#This Row],[Industry Funding from DE (FPC)]]+Tabelle4[[#This Row],[Public Funding from DE (FPC)]]</f>
        <v>0</v>
      </c>
      <c r="CX151" s="46">
        <f>Tabelle4[[#This Row],[Industry Funding from BR (FPC)]]+Tabelle4[[#This Row],[Public Funding from BR (FPC)]]</f>
        <v>47500</v>
      </c>
      <c r="CY151" s="44">
        <f>Tabelle4[[#This Row],[Total Financial Budget (Other)]]+Tabelle4[[#This Row],[Total In-kind Contribution (Other)]]</f>
        <v>0</v>
      </c>
      <c r="CZ15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51" s="44">
        <f>Tabelle4[[#This Row],[In-kind Contribution (R&amp;D III)]]+Tabelle4[[#This Row],[In-kind Contribution (R&amp;D IV)]]</f>
        <v>0</v>
      </c>
      <c r="DB151" s="158">
        <f>Tabelle4[[#This Row],[Total Budget (FPC)]]+Tabelle4[[#This Row],[Total Volume (Other)]]</f>
        <v>47500</v>
      </c>
      <c r="DC151" s="104">
        <f>Tabelle4[[#This Row],[Total Revenues (IPK)]]</f>
        <v>47500</v>
      </c>
      <c r="DD151" s="47">
        <v>0.75</v>
      </c>
      <c r="DE151" s="44">
        <f>Tabelle4[[#This Row],[Total Revenues IPK]]*Tabelle4[[#This Row],[Probability of Success]]</f>
        <v>35625</v>
      </c>
      <c r="DK151" s="47">
        <v>0.2</v>
      </c>
      <c r="DL151" s="44">
        <f>Tabelle4[[#This Row],[Real Budget IPK]]*Tabelle4[[#This Row],[Acquisition Factor OE810]]</f>
        <v>7125</v>
      </c>
      <c r="DM151" s="44">
        <v>0</v>
      </c>
      <c r="DN151" s="46">
        <f>Tabelle4[[#This Row],[Acquisition Bonus OE810]]+Tabelle4[[#This Row],[Project Execution OE810]]</f>
        <v>7125</v>
      </c>
    </row>
    <row r="152" spans="1:118" ht="27.75" x14ac:dyDescent="0.45">
      <c r="A152" s="48" t="s">
        <v>219</v>
      </c>
      <c r="B152" s="49"/>
      <c r="C152" s="49" t="s">
        <v>220</v>
      </c>
      <c r="D152" s="49" t="s">
        <v>711</v>
      </c>
      <c r="E152" s="49"/>
      <c r="F152" s="49"/>
      <c r="G152" s="49" t="s">
        <v>1</v>
      </c>
      <c r="H152" s="49" t="s">
        <v>0</v>
      </c>
      <c r="I152" s="49"/>
      <c r="J152" s="50"/>
      <c r="K152" s="49" t="s">
        <v>246</v>
      </c>
      <c r="L152" s="49" t="s">
        <v>309</v>
      </c>
      <c r="M152" s="146"/>
      <c r="N152" s="49"/>
      <c r="O152" s="50"/>
      <c r="P152" s="50"/>
      <c r="Q152" s="49"/>
      <c r="R152" s="50"/>
      <c r="S152" s="50"/>
      <c r="T152" s="50"/>
      <c r="U152" s="50"/>
      <c r="V152" s="50"/>
      <c r="W152" s="50"/>
      <c r="X152" s="50"/>
      <c r="Y152" s="50"/>
      <c r="Z152" s="48" t="str">
        <f t="shared" si="23"/>
        <v>IPK</v>
      </c>
      <c r="AA152" s="49"/>
      <c r="AB152" s="105"/>
      <c r="AC152" s="105">
        <v>390000</v>
      </c>
      <c r="AD152" s="105"/>
      <c r="AE152" s="105"/>
      <c r="AF152" s="105"/>
      <c r="AG152" s="48" t="str">
        <f t="shared" si="24"/>
        <v>ITA</v>
      </c>
      <c r="AH152" s="49"/>
      <c r="AI152" s="49"/>
      <c r="AO152" s="48"/>
      <c r="AP152" s="49"/>
      <c r="AQ152" s="105"/>
      <c r="AR152" s="105"/>
      <c r="AS152" s="105"/>
      <c r="AT152" s="105"/>
      <c r="AU152" s="105"/>
      <c r="AV152" s="48"/>
      <c r="AW152" s="49"/>
      <c r="AX152" s="105"/>
      <c r="AY152" s="105"/>
      <c r="AZ152" s="105"/>
      <c r="BA152" s="105"/>
      <c r="BB152" s="105"/>
      <c r="BC152" s="48" t="s">
        <v>220</v>
      </c>
      <c r="BD152" s="49"/>
      <c r="BE152" s="105">
        <v>390000</v>
      </c>
      <c r="BF152" s="102"/>
      <c r="BG152" s="49"/>
      <c r="BH152" s="49"/>
      <c r="BI152" s="105"/>
      <c r="BJ152" s="102"/>
      <c r="BK152" s="49"/>
      <c r="BL152" s="49"/>
      <c r="BM152" s="105"/>
      <c r="BN152" s="102"/>
      <c r="BO152" s="49"/>
      <c r="BP152" s="49"/>
      <c r="BQ152" s="105"/>
      <c r="BR152" s="102"/>
      <c r="BS152" s="49"/>
      <c r="BT152" s="49"/>
      <c r="BU152" s="102"/>
      <c r="BV152" s="49"/>
      <c r="BW152" s="49"/>
      <c r="BX152" s="102"/>
      <c r="BY152" s="51">
        <f>Tabelle4[[#This Row],[Industry Funding from DE (IPK)]]+Tabelle4[[#This Row],[Industry Funding from BR (IPK)]]+Tabelle4[[#This Row],[Public Funding from DE (IPK)]]+Tabelle4[[#This Row],[Public Funding from BR (IPK)]]+Tabelle4[[#This Row],[In-kind Contribution (IPK)]]</f>
        <v>390000</v>
      </c>
      <c r="BZ152" s="51">
        <f>Tabelle4[[#This Row],[Industry Funding from DE (IPK)]]+Tabelle4[[#This Row],[Industry Funding from BR (IPK)]]+Tabelle4[[#This Row],[Public Funding from DE (IPK)]]+Tabelle4[[#This Row],[Public Funding from BR (IPK)]]</f>
        <v>390000</v>
      </c>
      <c r="CA152" s="51">
        <f>Tabelle4[[#This Row],[Industry Funding from DE (IPK)]]+Tabelle4[[#This Row],[Industry Funding from BR (IPK)]]</f>
        <v>390000</v>
      </c>
      <c r="CB152" s="51">
        <f>Tabelle4[[#This Row],[Public Funding from DE (IPK)]]+Tabelle4[[#This Row],[Public Funding from BR (IPK)]]</f>
        <v>0</v>
      </c>
      <c r="CC152" s="51">
        <f>Tabelle4[[#This Row],[In-kind Contribution (IPK)]]</f>
        <v>0</v>
      </c>
      <c r="CD152" s="53">
        <f>(Tabelle4[[#This Row],[Total Industry Funding (IPK)]] + Tabelle4[[#This Row],[Total Public Funding (IPK)]])/Tabelle4[[#This Row],[Total Project Volume (IPK)]]</f>
        <v>1</v>
      </c>
      <c r="CE152" s="53">
        <f>Tabelle4[[#This Row],[Total Industry Funding (IPK)]] / Tabelle4[[#This Row],[Total Project Volume (IPK)]]</f>
        <v>1</v>
      </c>
      <c r="CF152" s="49" t="str">
        <f>Tabelle4[[#This Row],[Project Funding Classification]]</f>
        <v>Industry</v>
      </c>
      <c r="CG152" s="51">
        <f>Tabelle4[[#This Row],[Industry Funding from DE (IPK)]]+Tabelle4[[#This Row],[Public Funding from DE (IPK)]]</f>
        <v>0</v>
      </c>
      <c r="CH152" s="52">
        <f>Tabelle4[[#This Row],[Industry Funding from BR (IPK)]]+Tabelle4[[#This Row],[Public Funding from BR (IPK)]]</f>
        <v>390000</v>
      </c>
      <c r="CI152" s="51">
        <f>Tabelle4[[#This Row],[Industry Funding from DE (ITA)]]+Tabelle4[[#This Row],[Industry Funding from BR (ITA)]]+Tabelle4[[#This Row],[Public Funding from DE (ITA)]]+Tabelle4[[#This Row],[Public Funding from BR (ITA)]]</f>
        <v>0</v>
      </c>
      <c r="CJ152" s="51">
        <f>Tabelle4[[#This Row],[Industry Funding from DE (ITA)]]+Tabelle4[[#This Row],[Industry Funding from BR (ITA)]]</f>
        <v>0</v>
      </c>
      <c r="CK152" s="51">
        <f>Tabelle4[[#This Row],[Public Funding from DE (ITA)]]+Tabelle4[[#This Row],[Public Funding from BR (ITA)]]</f>
        <v>0</v>
      </c>
      <c r="CL152" s="53" t="e">
        <f>Tabelle4[[#This Row],[Total Industry Funding (ITA)]]/Tabelle4[[#This Row],[Total Project Volume (ITA)]]</f>
        <v>#DIV/0!</v>
      </c>
      <c r="CM152" s="49" t="e">
        <f>IF(Tabelle4[[#This Row],[Funding Ratio (ITA)]]&lt;0.5,"Public Funding","Industry")</f>
        <v>#DIV/0!</v>
      </c>
      <c r="CN152" s="51">
        <f>Tabelle4[[#This Row],[Industry Funding from DE (ITA)]]+Tabelle4[[#This Row],[Public Funding from DE (ITA)]]</f>
        <v>0</v>
      </c>
      <c r="CO152" s="52">
        <f>Tabelle4[[#This Row],[Industry Funding from BR (ITA)]]+Tabelle4[[#This Row],[Public Funding from BR (ITA)]]</f>
        <v>0</v>
      </c>
      <c r="CP152" s="51">
        <f>Tabelle4[[#This Row],[Total Project Volume (IPK)]]+Tabelle4[[#This Row],[Total Project Volume (ITA)]]</f>
        <v>390000</v>
      </c>
      <c r="CQ152" s="51">
        <f>Tabelle4[[#This Row],[Total Industry Funding (IPK)]]+Tabelle4[[#This Row],[Total Industry Funding (ITA)]]</f>
        <v>390000</v>
      </c>
      <c r="CR152" s="51">
        <f>Tabelle4[[#This Row],[Industry Funding from DE (IPK)]]+Tabelle4[[#This Row],[Industry Funding from DE (ITA)]]</f>
        <v>0</v>
      </c>
      <c r="CS152" s="51">
        <f>Tabelle4[[#This Row],[Industry Funding from BR (IPK)]]+Tabelle4[[#This Row],[Industry Funding from BR (ITA)]]</f>
        <v>390000</v>
      </c>
      <c r="CT152" s="51">
        <f>Tabelle4[[#This Row],[Total Public Funding (IPK)]]+Tabelle4[[#This Row],[Total Public Funding (ITA)]]</f>
        <v>0</v>
      </c>
      <c r="CU152" s="51">
        <f>Tabelle4[[#This Row],[Public Funding from DE (IPK)]]+Tabelle4[[#This Row],[Public Funding from DE (ITA)]]</f>
        <v>0</v>
      </c>
      <c r="CV152" s="51">
        <f>Tabelle4[[#This Row],[Public Funding from BR (IPK)]]+Tabelle4[[#This Row],[Public Funding from BR (ITA)]]</f>
        <v>0</v>
      </c>
      <c r="CW152" s="51">
        <f>Tabelle4[[#This Row],[Industry Funding from DE (FPC)]]+Tabelle4[[#This Row],[Public Funding from DE (FPC)]]</f>
        <v>0</v>
      </c>
      <c r="CX152" s="52">
        <f>Tabelle4[[#This Row],[Industry Funding from BR (FPC)]]+Tabelle4[[#This Row],[Public Funding from BR (FPC)]]</f>
        <v>390000</v>
      </c>
      <c r="CY152" s="44">
        <f>Tabelle4[[#This Row],[Total Financial Budget (Other)]]+Tabelle4[[#This Row],[Total In-kind Contribution (Other)]]</f>
        <v>0</v>
      </c>
      <c r="CZ152"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52" s="44">
        <f>Tabelle4[[#This Row],[In-kind Contribution (R&amp;D III)]]+Tabelle4[[#This Row],[In-kind Contribution (R&amp;D IV)]]</f>
        <v>0</v>
      </c>
      <c r="DB152" s="158">
        <f>Tabelle4[[#This Row],[Total Budget (FPC)]]+Tabelle4[[#This Row],[Total Volume (Other)]]</f>
        <v>390000</v>
      </c>
      <c r="DC152" s="105">
        <f>Tabelle4[[#This Row],[Total Revenues (IPK)]]</f>
        <v>390000</v>
      </c>
      <c r="DD152" s="53">
        <v>0</v>
      </c>
      <c r="DE152" s="51">
        <f>Tabelle4[[#This Row],[Total Revenues IPK]]*Tabelle4[[#This Row],[Probability of Success]]</f>
        <v>0</v>
      </c>
      <c r="DF152" s="51"/>
      <c r="DG152" s="51"/>
      <c r="DH152" s="51"/>
      <c r="DI152" s="51"/>
      <c r="DJ152" s="51"/>
      <c r="DK152" s="53"/>
      <c r="DL152" s="51">
        <f>Tabelle4[[#This Row],[Real Budget IPK]]*Tabelle4[[#This Row],[Acquisition Factor OE810]]</f>
        <v>0</v>
      </c>
      <c r="DM152" s="51">
        <v>0</v>
      </c>
      <c r="DN152" s="52">
        <f>Tabelle4[[#This Row],[Acquisition Bonus OE810]]+Tabelle4[[#This Row],[Project Execution OE810]]</f>
        <v>0</v>
      </c>
    </row>
    <row r="153" spans="1:118" ht="27.75" x14ac:dyDescent="0.45">
      <c r="A153" s="70" t="s">
        <v>313</v>
      </c>
      <c r="B153" s="33" t="s">
        <v>314</v>
      </c>
      <c r="C153" s="57" t="s">
        <v>197</v>
      </c>
      <c r="D153" s="57" t="s">
        <v>706</v>
      </c>
      <c r="E153" s="33">
        <v>1</v>
      </c>
      <c r="F153" s="33">
        <v>0</v>
      </c>
      <c r="G153" s="33" t="s">
        <v>2</v>
      </c>
      <c r="H153" s="33" t="s">
        <v>0</v>
      </c>
      <c r="J153" s="59">
        <v>43717</v>
      </c>
      <c r="K153" s="33" t="s">
        <v>246</v>
      </c>
      <c r="L153" s="59" t="s">
        <v>309</v>
      </c>
      <c r="Y153" s="59">
        <v>43745</v>
      </c>
      <c r="Z153" s="42" t="str">
        <f t="shared" si="23"/>
        <v>IPK</v>
      </c>
      <c r="AB153" s="104"/>
      <c r="AC153" s="104"/>
      <c r="AD153" s="104"/>
      <c r="AE153" s="104"/>
      <c r="AF153" s="104"/>
      <c r="AG153" s="42" t="str">
        <f t="shared" si="24"/>
        <v>ITA</v>
      </c>
      <c r="AH153" s="33" t="s">
        <v>315</v>
      </c>
      <c r="AI153" s="33" t="s">
        <v>316</v>
      </c>
      <c r="AJ153" s="104">
        <v>0</v>
      </c>
      <c r="AK153" s="104">
        <v>0</v>
      </c>
      <c r="AL153" s="64"/>
      <c r="AO153" s="42"/>
      <c r="AQ153" s="104"/>
      <c r="AR153" s="104"/>
      <c r="AS153" s="104"/>
      <c r="AT153" s="104"/>
      <c r="AU153" s="104"/>
      <c r="AV153" s="42"/>
      <c r="AX153" s="104"/>
      <c r="AY153" s="104"/>
      <c r="AZ153" s="104"/>
      <c r="BA153" s="104"/>
      <c r="BB153" s="104"/>
      <c r="BC153" s="42"/>
      <c r="BE153" s="104"/>
      <c r="BF153" s="101"/>
      <c r="BI153" s="104"/>
      <c r="BJ153" s="101"/>
      <c r="BM153" s="104"/>
      <c r="BN153" s="101"/>
      <c r="BQ153" s="104"/>
      <c r="BR153" s="101"/>
      <c r="BU153" s="101"/>
      <c r="BX153" s="101"/>
      <c r="BY153" s="44">
        <f>Tabelle4[[#This Row],[Industry Funding from DE (IPK)]]+Tabelle4[[#This Row],[Industry Funding from BR (IPK)]]+Tabelle4[[#This Row],[Public Funding from DE (IPK)]]+Tabelle4[[#This Row],[Public Funding from BR (IPK)]]+Tabelle4[[#This Row],[In-kind Contribution (IPK)]]</f>
        <v>0</v>
      </c>
      <c r="BZ153" s="44">
        <f>Tabelle4[[#This Row],[Industry Funding from DE (IPK)]]+Tabelle4[[#This Row],[Industry Funding from BR (IPK)]]+Tabelle4[[#This Row],[Public Funding from DE (IPK)]]+Tabelle4[[#This Row],[Public Funding from BR (IPK)]]</f>
        <v>0</v>
      </c>
      <c r="CA153" s="44">
        <f>Tabelle4[[#This Row],[Industry Funding from DE (IPK)]]+Tabelle4[[#This Row],[Industry Funding from BR (IPK)]]</f>
        <v>0</v>
      </c>
      <c r="CB153" s="44">
        <f>Tabelle4[[#This Row],[Public Funding from DE (IPK)]]+Tabelle4[[#This Row],[Public Funding from BR (IPK)]]</f>
        <v>0</v>
      </c>
      <c r="CC153" s="44">
        <f>Tabelle4[[#This Row],[In-kind Contribution (IPK)]]</f>
        <v>0</v>
      </c>
      <c r="CD153" s="47" t="e">
        <f>(Tabelle4[[#This Row],[Total Industry Funding (IPK)]] + Tabelle4[[#This Row],[Total Public Funding (IPK)]])/Tabelle4[[#This Row],[Total Project Volume (IPK)]]</f>
        <v>#DIV/0!</v>
      </c>
      <c r="CE153" s="47" t="e">
        <f>Tabelle4[[#This Row],[Total Industry Funding (IPK)]] / Tabelle4[[#This Row],[Total Project Volume (IPK)]]</f>
        <v>#DIV/0!</v>
      </c>
      <c r="CF153" s="33" t="str">
        <f>Tabelle4[[#This Row],[Project Funding Classification]]</f>
        <v>Industry</v>
      </c>
      <c r="CG153" s="44">
        <f>Tabelle4[[#This Row],[Industry Funding from DE (IPK)]]+Tabelle4[[#This Row],[Public Funding from DE (IPK)]]</f>
        <v>0</v>
      </c>
      <c r="CH153" s="46">
        <f>Tabelle4[[#This Row],[Industry Funding from BR (IPK)]]+Tabelle4[[#This Row],[Public Funding from BR (IPK)]]</f>
        <v>0</v>
      </c>
      <c r="CI153" s="44">
        <f>Tabelle4[[#This Row],[Industry Funding from DE (ITA)]]+Tabelle4[[#This Row],[Industry Funding from BR (ITA)]]+Tabelle4[[#This Row],[Public Funding from DE (ITA)]]+Tabelle4[[#This Row],[Public Funding from BR (ITA)]]</f>
        <v>0</v>
      </c>
      <c r="CJ153" s="44">
        <f>Tabelle4[[#This Row],[Industry Funding from DE (ITA)]]+Tabelle4[[#This Row],[Industry Funding from BR (ITA)]]</f>
        <v>0</v>
      </c>
      <c r="CK153" s="44">
        <f>Tabelle4[[#This Row],[Public Funding from DE (ITA)]]+Tabelle4[[#This Row],[Public Funding from BR (ITA)]]</f>
        <v>0</v>
      </c>
      <c r="CL153" s="47" t="e">
        <f>Tabelle4[[#This Row],[Total Industry Funding (ITA)]]/Tabelle4[[#This Row],[Total Project Volume (ITA)]]</f>
        <v>#DIV/0!</v>
      </c>
      <c r="CM153" s="33" t="e">
        <f>IF(Tabelle4[[#This Row],[Funding Ratio (ITA)]]&lt;0.5,"Public Funding","Industry")</f>
        <v>#DIV/0!</v>
      </c>
      <c r="CN153" s="44">
        <f>Tabelle4[[#This Row],[Industry Funding from DE (ITA)]]+Tabelle4[[#This Row],[Public Funding from DE (ITA)]]</f>
        <v>0</v>
      </c>
      <c r="CO153" s="46">
        <f>Tabelle4[[#This Row],[Industry Funding from BR (ITA)]]+Tabelle4[[#This Row],[Public Funding from BR (ITA)]]</f>
        <v>0</v>
      </c>
      <c r="CP153" s="44">
        <f>Tabelle4[[#This Row],[Total Project Volume (IPK)]]+Tabelle4[[#This Row],[Total Project Volume (ITA)]]</f>
        <v>0</v>
      </c>
      <c r="CQ153" s="44">
        <f>Tabelle4[[#This Row],[Total Industry Funding (IPK)]]+Tabelle4[[#This Row],[Total Industry Funding (ITA)]]</f>
        <v>0</v>
      </c>
      <c r="CR153" s="44">
        <f>Tabelle4[[#This Row],[Industry Funding from DE (IPK)]]+Tabelle4[[#This Row],[Industry Funding from DE (ITA)]]</f>
        <v>0</v>
      </c>
      <c r="CS153" s="44">
        <f>Tabelle4[[#This Row],[Industry Funding from BR (IPK)]]+Tabelle4[[#This Row],[Industry Funding from BR (ITA)]]</f>
        <v>0</v>
      </c>
      <c r="CT153" s="44">
        <f>Tabelle4[[#This Row],[Total Public Funding (IPK)]]+Tabelle4[[#This Row],[Total Public Funding (ITA)]]</f>
        <v>0</v>
      </c>
      <c r="CU153" s="44">
        <f>Tabelle4[[#This Row],[Public Funding from DE (IPK)]]+Tabelle4[[#This Row],[Public Funding from DE (ITA)]]</f>
        <v>0</v>
      </c>
      <c r="CV153" s="44">
        <f>Tabelle4[[#This Row],[Public Funding from BR (IPK)]]+Tabelle4[[#This Row],[Public Funding from BR (ITA)]]</f>
        <v>0</v>
      </c>
      <c r="CW153" s="44">
        <f>Tabelle4[[#This Row],[Industry Funding from DE (FPC)]]+Tabelle4[[#This Row],[Public Funding from DE (FPC)]]</f>
        <v>0</v>
      </c>
      <c r="CX153" s="46">
        <f>Tabelle4[[#This Row],[Industry Funding from BR (FPC)]]+Tabelle4[[#This Row],[Public Funding from BR (FPC)]]</f>
        <v>0</v>
      </c>
      <c r="CY153" s="44">
        <f>Tabelle4[[#This Row],[Total Financial Budget (Other)]]+Tabelle4[[#This Row],[Total In-kind Contribution (Other)]]</f>
        <v>0</v>
      </c>
      <c r="CZ15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53" s="44">
        <f>Tabelle4[[#This Row],[In-kind Contribution (R&amp;D III)]]+Tabelle4[[#This Row],[In-kind Contribution (R&amp;D IV)]]</f>
        <v>0</v>
      </c>
      <c r="DB153" s="158">
        <f>Tabelle4[[#This Row],[Total Budget (FPC)]]+Tabelle4[[#This Row],[Total Volume (Other)]]</f>
        <v>0</v>
      </c>
      <c r="DC153" s="104">
        <f>Tabelle4[[#This Row],[Total Revenues (IPK)]]</f>
        <v>0</v>
      </c>
      <c r="DE153" s="44">
        <f>Tabelle4[[#This Row],[Total Revenues IPK]]*Tabelle4[[#This Row],[Probability of Success]]</f>
        <v>0</v>
      </c>
      <c r="DL153" s="44">
        <f>Tabelle4[[#This Row],[Real Budget IPK]]*Tabelle4[[#This Row],[Acquisition Factor OE810]]</f>
        <v>0</v>
      </c>
      <c r="DN153" s="46">
        <f>Tabelle4[[#This Row],[Acquisition Bonus OE810]]+Tabelle4[[#This Row],[Project Execution OE810]]</f>
        <v>0</v>
      </c>
    </row>
    <row r="154" spans="1:118" ht="27.75" x14ac:dyDescent="0.45">
      <c r="A154" s="70" t="s">
        <v>606</v>
      </c>
      <c r="C154" s="57" t="s">
        <v>607</v>
      </c>
      <c r="D154" s="57" t="s">
        <v>709</v>
      </c>
      <c r="E154" s="33">
        <v>1</v>
      </c>
      <c r="F154" s="33">
        <v>1</v>
      </c>
      <c r="G154" s="33" t="s">
        <v>1</v>
      </c>
      <c r="H154" s="33" t="s">
        <v>0</v>
      </c>
      <c r="J154" s="59">
        <v>43800</v>
      </c>
      <c r="K154" s="33" t="s">
        <v>242</v>
      </c>
      <c r="L154" s="59"/>
      <c r="P154" s="59">
        <v>44197</v>
      </c>
      <c r="Q154" s="58">
        <v>4</v>
      </c>
      <c r="S154" s="59">
        <v>43800</v>
      </c>
      <c r="U154" s="59">
        <v>44075</v>
      </c>
      <c r="Z154" s="42" t="str">
        <f t="shared" si="23"/>
        <v>IPK</v>
      </c>
      <c r="AA154" s="33" t="s">
        <v>608</v>
      </c>
      <c r="AC154" s="61">
        <v>55000</v>
      </c>
      <c r="AG154" s="42"/>
      <c r="AK154" s="64"/>
      <c r="AL154" s="64"/>
      <c r="AM154" s="64"/>
      <c r="AO154" s="42"/>
      <c r="AV154" s="42"/>
      <c r="BC154" s="42" t="s">
        <v>607</v>
      </c>
      <c r="BD154" s="33" t="s">
        <v>609</v>
      </c>
      <c r="BE154" s="64">
        <v>55000</v>
      </c>
      <c r="BF154" s="65"/>
      <c r="BU154" s="67"/>
      <c r="BY154" s="44">
        <f>Tabelle4[[#This Row],[Industry Funding from DE (IPK)]]+Tabelle4[[#This Row],[Industry Funding from BR (IPK)]]+Tabelle4[[#This Row],[Public Funding from DE (IPK)]]+Tabelle4[[#This Row],[Public Funding from BR (IPK)]]+Tabelle4[[#This Row],[In-kind Contribution (IPK)]]</f>
        <v>55000</v>
      </c>
      <c r="BZ154" s="44">
        <f>Tabelle4[[#This Row],[Industry Funding from DE (IPK)]]+Tabelle4[[#This Row],[Industry Funding from BR (IPK)]]+Tabelle4[[#This Row],[Public Funding from DE (IPK)]]+Tabelle4[[#This Row],[Public Funding from BR (IPK)]]</f>
        <v>55000</v>
      </c>
      <c r="CA154" s="44">
        <f>Tabelle4[[#This Row],[Industry Funding from DE (IPK)]]+Tabelle4[[#This Row],[Industry Funding from BR (IPK)]]</f>
        <v>55000</v>
      </c>
      <c r="CB154" s="44">
        <f>Tabelle4[[#This Row],[Public Funding from DE (IPK)]]+Tabelle4[[#This Row],[Public Funding from BR (IPK)]]</f>
        <v>0</v>
      </c>
      <c r="CC154" s="44">
        <f>Tabelle4[[#This Row],[In-kind Contribution (IPK)]]</f>
        <v>0</v>
      </c>
      <c r="CD154" s="47">
        <f>(Tabelle4[[#This Row],[Total Industry Funding (IPK)]] + Tabelle4[[#This Row],[Total Public Funding (IPK)]])/Tabelle4[[#This Row],[Total Project Volume (IPK)]]</f>
        <v>1</v>
      </c>
      <c r="CE154" s="47">
        <f>Tabelle4[[#This Row],[Total Industry Funding (IPK)]] / Tabelle4[[#This Row],[Total Project Volume (IPK)]]</f>
        <v>1</v>
      </c>
      <c r="CF154" s="33" t="str">
        <f>Tabelle4[[#This Row],[Project Funding Classification]]</f>
        <v>Industry</v>
      </c>
      <c r="CG154" s="44">
        <f>Tabelle4[[#This Row],[Industry Funding from DE (IPK)]]+Tabelle4[[#This Row],[Public Funding from DE (IPK)]]</f>
        <v>0</v>
      </c>
      <c r="CH154" s="46">
        <f>Tabelle4[[#This Row],[Industry Funding from BR (IPK)]]+Tabelle4[[#This Row],[Public Funding from BR (IPK)]]</f>
        <v>55000</v>
      </c>
      <c r="CI154" s="44">
        <f>Tabelle4[[#This Row],[Industry Funding from DE (ITA)]]+Tabelle4[[#This Row],[Industry Funding from BR (ITA)]]+Tabelle4[[#This Row],[Public Funding from DE (ITA)]]+Tabelle4[[#This Row],[Public Funding from BR (ITA)]]</f>
        <v>0</v>
      </c>
      <c r="CJ154" s="44">
        <f>Tabelle4[[#This Row],[Industry Funding from DE (ITA)]]+Tabelle4[[#This Row],[Industry Funding from BR (ITA)]]</f>
        <v>0</v>
      </c>
      <c r="CK154" s="44">
        <f>Tabelle4[[#This Row],[Public Funding from DE (ITA)]]+Tabelle4[[#This Row],[Public Funding from BR (ITA)]]</f>
        <v>0</v>
      </c>
      <c r="CL154" s="47" t="e">
        <f>Tabelle4[[#This Row],[Total Industry Funding (ITA)]]/Tabelle4[[#This Row],[Total Project Volume (ITA)]]</f>
        <v>#DIV/0!</v>
      </c>
      <c r="CM154" s="33" t="e">
        <f>IF(Tabelle4[[#This Row],[Funding Ratio (ITA)]]&lt;0.5,"Public Funding","Industry")</f>
        <v>#DIV/0!</v>
      </c>
      <c r="CN154" s="44">
        <f>Tabelle4[[#This Row],[Industry Funding from DE (ITA)]]+Tabelle4[[#This Row],[Public Funding from DE (ITA)]]</f>
        <v>0</v>
      </c>
      <c r="CO154" s="46">
        <f>Tabelle4[[#This Row],[Industry Funding from BR (ITA)]]+Tabelle4[[#This Row],[Public Funding from BR (ITA)]]</f>
        <v>0</v>
      </c>
      <c r="CP154" s="44">
        <f>Tabelle4[[#This Row],[Total Project Volume (IPK)]]+Tabelle4[[#This Row],[Total Project Volume (ITA)]]</f>
        <v>55000</v>
      </c>
      <c r="CQ154" s="44">
        <f>Tabelle4[[#This Row],[Total Industry Funding (IPK)]]+Tabelle4[[#This Row],[Total Industry Funding (ITA)]]</f>
        <v>55000</v>
      </c>
      <c r="CR154" s="44">
        <f>Tabelle4[[#This Row],[Industry Funding from DE (IPK)]]+Tabelle4[[#This Row],[Industry Funding from DE (ITA)]]</f>
        <v>0</v>
      </c>
      <c r="CS154" s="44">
        <f>Tabelle4[[#This Row],[Industry Funding from BR (IPK)]]+Tabelle4[[#This Row],[Industry Funding from BR (ITA)]]</f>
        <v>55000</v>
      </c>
      <c r="CT154" s="44">
        <f>Tabelle4[[#This Row],[Total Public Funding (IPK)]]+Tabelle4[[#This Row],[Total Public Funding (ITA)]]</f>
        <v>0</v>
      </c>
      <c r="CU154" s="44">
        <f>Tabelle4[[#This Row],[Public Funding from DE (IPK)]]+Tabelle4[[#This Row],[Public Funding from DE (ITA)]]</f>
        <v>0</v>
      </c>
      <c r="CV154" s="44">
        <f>Tabelle4[[#This Row],[Public Funding from BR (IPK)]]+Tabelle4[[#This Row],[Public Funding from BR (ITA)]]</f>
        <v>0</v>
      </c>
      <c r="CW154" s="44">
        <f>Tabelle4[[#This Row],[Industry Funding from DE (FPC)]]+Tabelle4[[#This Row],[Public Funding from DE (FPC)]]</f>
        <v>0</v>
      </c>
      <c r="CX154" s="46">
        <f>Tabelle4[[#This Row],[Industry Funding from BR (FPC)]]+Tabelle4[[#This Row],[Public Funding from BR (FPC)]]</f>
        <v>55000</v>
      </c>
      <c r="CY154" s="44">
        <f>Tabelle4[[#This Row],[Total Financial Budget (Other)]]+Tabelle4[[#This Row],[Total In-kind Contribution (Other)]]</f>
        <v>0</v>
      </c>
      <c r="CZ15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54" s="44">
        <f>Tabelle4[[#This Row],[In-kind Contribution (R&amp;D III)]]+Tabelle4[[#This Row],[In-kind Contribution (R&amp;D IV)]]</f>
        <v>0</v>
      </c>
      <c r="DB154" s="158">
        <f>Tabelle4[[#This Row],[Total Budget (FPC)]]+Tabelle4[[#This Row],[Total Volume (Other)]]</f>
        <v>55000</v>
      </c>
      <c r="DC154" s="104">
        <f>Tabelle4[[#This Row],[Total Revenues (IPK)]]</f>
        <v>55000</v>
      </c>
      <c r="DD154" s="47">
        <v>0.2</v>
      </c>
      <c r="DE154" s="44">
        <f>Tabelle4[[#This Row],[Total Revenues IPK]]*Tabelle4[[#This Row],[Probability of Success]]</f>
        <v>11000</v>
      </c>
      <c r="DK154" s="47">
        <v>0.2</v>
      </c>
      <c r="DL154" s="44">
        <f>Tabelle4[[#This Row],[Real Budget IPK]]*Tabelle4[[#This Row],[Acquisition Factor OE810]]</f>
        <v>2200</v>
      </c>
      <c r="DM154" s="44">
        <v>0</v>
      </c>
      <c r="DN154" s="46">
        <f>Tabelle4[[#This Row],[Acquisition Bonus OE810]]+Tabelle4[[#This Row],[Project Execution OE810]]</f>
        <v>2200</v>
      </c>
    </row>
    <row r="155" spans="1:118" ht="27.75" x14ac:dyDescent="0.45">
      <c r="A155" s="70" t="s">
        <v>393</v>
      </c>
      <c r="B155" s="42" t="s">
        <v>393</v>
      </c>
      <c r="C155" s="33" t="s">
        <v>394</v>
      </c>
      <c r="D155" s="33" t="s">
        <v>709</v>
      </c>
      <c r="E155" s="33">
        <v>1</v>
      </c>
      <c r="F155" s="33">
        <v>0</v>
      </c>
      <c r="G155" s="33" t="s">
        <v>2</v>
      </c>
      <c r="H155" s="33" t="s">
        <v>96</v>
      </c>
      <c r="K155" s="33" t="s">
        <v>246</v>
      </c>
      <c r="L155" s="59" t="s">
        <v>309</v>
      </c>
      <c r="Q155" s="58">
        <v>24</v>
      </c>
      <c r="R155" s="60"/>
      <c r="S155" s="60"/>
      <c r="T155" s="60"/>
      <c r="U155" s="60"/>
      <c r="Y155" s="59">
        <v>43719</v>
      </c>
      <c r="Z155" s="42" t="str">
        <f t="shared" si="23"/>
        <v>IPK</v>
      </c>
      <c r="AB155" s="104"/>
      <c r="AC155" s="104"/>
      <c r="AD155" s="104"/>
      <c r="AE155" s="104"/>
      <c r="AF155" s="104"/>
      <c r="AG155" s="42" t="str">
        <f>"ITA"</f>
        <v>ITA</v>
      </c>
      <c r="AH155" s="33" t="s">
        <v>395</v>
      </c>
      <c r="AI155" s="33" t="s">
        <v>331</v>
      </c>
      <c r="AM155" s="64">
        <f>(2000000/4.3111)</f>
        <v>463918.72144000372</v>
      </c>
      <c r="AO155" s="42"/>
      <c r="AQ155" s="104"/>
      <c r="AR155" s="104"/>
      <c r="AS155" s="104"/>
      <c r="AT155" s="104"/>
      <c r="AU155" s="104"/>
      <c r="AV155" s="42"/>
      <c r="AX155" s="104"/>
      <c r="AY155" s="104"/>
      <c r="AZ155" s="104"/>
      <c r="BA155" s="104"/>
      <c r="BB155" s="104"/>
      <c r="BC155" s="42"/>
      <c r="BE155" s="64">
        <f>(2000000/4.3111)</f>
        <v>463918.72144000372</v>
      </c>
      <c r="BF155" s="101"/>
      <c r="BI155" s="104"/>
      <c r="BJ155" s="101"/>
      <c r="BM155" s="104"/>
      <c r="BN155" s="101"/>
      <c r="BQ155" s="104"/>
      <c r="BR155" s="101"/>
      <c r="BS155" s="33" t="s">
        <v>448</v>
      </c>
      <c r="BU155" s="101"/>
      <c r="BX155" s="101"/>
      <c r="BY155" s="44">
        <f>Tabelle4[[#This Row],[Industry Funding from DE (IPK)]]+Tabelle4[[#This Row],[Industry Funding from BR (IPK)]]+Tabelle4[[#This Row],[Public Funding from DE (IPK)]]+Tabelle4[[#This Row],[Public Funding from BR (IPK)]]+Tabelle4[[#This Row],[In-kind Contribution (IPK)]]</f>
        <v>0</v>
      </c>
      <c r="BZ155" s="44">
        <f>Tabelle4[[#This Row],[Industry Funding from DE (IPK)]]+Tabelle4[[#This Row],[Industry Funding from BR (IPK)]]+Tabelle4[[#This Row],[Public Funding from DE (IPK)]]+Tabelle4[[#This Row],[Public Funding from BR (IPK)]]</f>
        <v>0</v>
      </c>
      <c r="CA155" s="44">
        <f>Tabelle4[[#This Row],[Industry Funding from DE (IPK)]]+Tabelle4[[#This Row],[Industry Funding from BR (IPK)]]</f>
        <v>0</v>
      </c>
      <c r="CB155" s="44">
        <f>Tabelle4[[#This Row],[Public Funding from DE (IPK)]]+Tabelle4[[#This Row],[Public Funding from BR (IPK)]]</f>
        <v>0</v>
      </c>
      <c r="CC155" s="44">
        <f>Tabelle4[[#This Row],[In-kind Contribution (IPK)]]</f>
        <v>0</v>
      </c>
      <c r="CD155" s="47" t="e">
        <f>(Tabelle4[[#This Row],[Total Industry Funding (IPK)]] + Tabelle4[[#This Row],[Total Public Funding (IPK)]])/Tabelle4[[#This Row],[Total Project Volume (IPK)]]</f>
        <v>#DIV/0!</v>
      </c>
      <c r="CE155" s="47" t="e">
        <f>Tabelle4[[#This Row],[Total Industry Funding (IPK)]] / Tabelle4[[#This Row],[Total Project Volume (IPK)]]</f>
        <v>#DIV/0!</v>
      </c>
      <c r="CF155" s="33" t="str">
        <f>Tabelle4[[#This Row],[Project Funding Classification]]</f>
        <v>Public Funding</v>
      </c>
      <c r="CG155" s="44">
        <f>Tabelle4[[#This Row],[Industry Funding from DE (IPK)]]+Tabelle4[[#This Row],[Public Funding from DE (IPK)]]</f>
        <v>0</v>
      </c>
      <c r="CH155" s="46">
        <f>Tabelle4[[#This Row],[Industry Funding from BR (IPK)]]+Tabelle4[[#This Row],[Public Funding from BR (IPK)]]</f>
        <v>0</v>
      </c>
      <c r="CI155" s="44">
        <f>Tabelle4[[#This Row],[Industry Funding from DE (ITA)]]+Tabelle4[[#This Row],[Industry Funding from BR (ITA)]]+Tabelle4[[#This Row],[Public Funding from DE (ITA)]]+Tabelle4[[#This Row],[Public Funding from BR (ITA)]]</f>
        <v>463918.72144000372</v>
      </c>
      <c r="CJ155" s="44">
        <f>Tabelle4[[#This Row],[Industry Funding from DE (ITA)]]+Tabelle4[[#This Row],[Industry Funding from BR (ITA)]]</f>
        <v>0</v>
      </c>
      <c r="CK155" s="44">
        <f>Tabelle4[[#This Row],[Public Funding from DE (ITA)]]+Tabelle4[[#This Row],[Public Funding from BR (ITA)]]</f>
        <v>463918.72144000372</v>
      </c>
      <c r="CL155" s="47">
        <f>Tabelle4[[#This Row],[Total Industry Funding (ITA)]]/Tabelle4[[#This Row],[Total Project Volume (ITA)]]</f>
        <v>0</v>
      </c>
      <c r="CM155" s="33" t="str">
        <f>IF(Tabelle4[[#This Row],[Funding Ratio (ITA)]]&lt;0.5,"Public Funding","Industry")</f>
        <v>Public Funding</v>
      </c>
      <c r="CN155" s="44">
        <f>Tabelle4[[#This Row],[Industry Funding from DE (ITA)]]+Tabelle4[[#This Row],[Public Funding from DE (ITA)]]</f>
        <v>0</v>
      </c>
      <c r="CO155" s="46">
        <f>Tabelle4[[#This Row],[Industry Funding from BR (ITA)]]+Tabelle4[[#This Row],[Public Funding from BR (ITA)]]</f>
        <v>463918.72144000372</v>
      </c>
      <c r="CP155" s="44">
        <f>Tabelle4[[#This Row],[Total Project Volume (IPK)]]+Tabelle4[[#This Row],[Total Project Volume (ITA)]]</f>
        <v>463918.72144000372</v>
      </c>
      <c r="CQ155" s="44">
        <f>Tabelle4[[#This Row],[Total Industry Funding (IPK)]]+Tabelle4[[#This Row],[Total Industry Funding (ITA)]]</f>
        <v>0</v>
      </c>
      <c r="CR155" s="44">
        <f>Tabelle4[[#This Row],[Industry Funding from DE (IPK)]]+Tabelle4[[#This Row],[Industry Funding from DE (ITA)]]</f>
        <v>0</v>
      </c>
      <c r="CS155" s="44">
        <f>Tabelle4[[#This Row],[Industry Funding from BR (IPK)]]+Tabelle4[[#This Row],[Industry Funding from BR (ITA)]]</f>
        <v>0</v>
      </c>
      <c r="CT155" s="44">
        <f>Tabelle4[[#This Row],[Total Public Funding (IPK)]]+Tabelle4[[#This Row],[Total Public Funding (ITA)]]</f>
        <v>463918.72144000372</v>
      </c>
      <c r="CU155" s="44">
        <f>Tabelle4[[#This Row],[Public Funding from DE (IPK)]]+Tabelle4[[#This Row],[Public Funding from DE (ITA)]]</f>
        <v>0</v>
      </c>
      <c r="CV155" s="44">
        <f>Tabelle4[[#This Row],[Public Funding from BR (IPK)]]+Tabelle4[[#This Row],[Public Funding from BR (ITA)]]</f>
        <v>463918.72144000372</v>
      </c>
      <c r="CW155" s="44">
        <f>Tabelle4[[#This Row],[Industry Funding from DE (FPC)]]+Tabelle4[[#This Row],[Public Funding from DE (FPC)]]</f>
        <v>0</v>
      </c>
      <c r="CX155" s="46">
        <f>Tabelle4[[#This Row],[Industry Funding from BR (FPC)]]+Tabelle4[[#This Row],[Public Funding from BR (FPC)]]</f>
        <v>463918.72144000372</v>
      </c>
      <c r="CY155" s="44">
        <f>Tabelle4[[#This Row],[Total Financial Budget (Other)]]+Tabelle4[[#This Row],[Total In-kind Contribution (Other)]]</f>
        <v>0</v>
      </c>
      <c r="CZ15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55" s="44">
        <f>Tabelle4[[#This Row],[In-kind Contribution (R&amp;D III)]]+Tabelle4[[#This Row],[In-kind Contribution (R&amp;D IV)]]</f>
        <v>0</v>
      </c>
      <c r="DB155" s="158">
        <f>Tabelle4[[#This Row],[Total Budget (FPC)]]+Tabelle4[[#This Row],[Total Volume (Other)]]</f>
        <v>463918.72144000372</v>
      </c>
      <c r="DC155" s="104">
        <f>Tabelle4[[#This Row],[Total Revenues (IPK)]]</f>
        <v>0</v>
      </c>
      <c r="DE155" s="44">
        <f>Tabelle4[[#This Row],[Total Revenues IPK]]*Tabelle4[[#This Row],[Probability of Success]]</f>
        <v>0</v>
      </c>
      <c r="DL155" s="44">
        <f>Tabelle4[[#This Row],[Real Budget IPK]]*Tabelle4[[#This Row],[Acquisition Factor OE810]]</f>
        <v>0</v>
      </c>
      <c r="DN155" s="46">
        <f>Tabelle4[[#This Row],[Acquisition Bonus OE810]]+Tabelle4[[#This Row],[Project Execution OE810]]</f>
        <v>0</v>
      </c>
    </row>
    <row r="156" spans="1:118" ht="27.75" x14ac:dyDescent="0.45">
      <c r="A156" s="70" t="s">
        <v>416</v>
      </c>
      <c r="B156" s="49" t="s">
        <v>195</v>
      </c>
      <c r="C156" s="57" t="s">
        <v>453</v>
      </c>
      <c r="D156" s="57" t="s">
        <v>710</v>
      </c>
      <c r="E156" s="49"/>
      <c r="F156" s="49"/>
      <c r="G156" s="49" t="s">
        <v>2</v>
      </c>
      <c r="H156" s="49" t="s">
        <v>96</v>
      </c>
      <c r="I156" s="49"/>
      <c r="J156" s="50"/>
      <c r="K156" s="49" t="s">
        <v>246</v>
      </c>
      <c r="L156" s="49" t="s">
        <v>309</v>
      </c>
      <c r="M156" s="146"/>
      <c r="N156" s="49"/>
      <c r="O156" s="50"/>
      <c r="P156" s="50"/>
      <c r="Q156" s="49">
        <v>48</v>
      </c>
      <c r="R156" s="50"/>
      <c r="S156" s="50"/>
      <c r="T156" s="50"/>
      <c r="U156" s="50"/>
      <c r="V156" s="50"/>
      <c r="W156" s="50"/>
      <c r="X156" s="50"/>
      <c r="Y156" s="50">
        <v>43745</v>
      </c>
      <c r="Z156" s="48" t="str">
        <f t="shared" si="23"/>
        <v>IPK</v>
      </c>
      <c r="AA156" s="49"/>
      <c r="AB156" s="105"/>
      <c r="AC156" s="105"/>
      <c r="AD156" s="105"/>
      <c r="AE156" s="105"/>
      <c r="AF156" s="105"/>
      <c r="AG156" s="48" t="str">
        <f>"ITA"</f>
        <v>ITA</v>
      </c>
      <c r="AH156" s="33" t="s">
        <v>439</v>
      </c>
      <c r="AI156" s="33" t="s">
        <v>320</v>
      </c>
      <c r="AM156" s="104">
        <v>1333333</v>
      </c>
      <c r="AO156" s="48"/>
      <c r="AP156" s="49"/>
      <c r="AQ156" s="105"/>
      <c r="AR156" s="105"/>
      <c r="AS156" s="105"/>
      <c r="AT156" s="105"/>
      <c r="AU156" s="105"/>
      <c r="AV156" s="48"/>
      <c r="AW156" s="49"/>
      <c r="AX156" s="105"/>
      <c r="AY156" s="105"/>
      <c r="AZ156" s="105"/>
      <c r="BA156" s="105"/>
      <c r="BB156" s="105"/>
      <c r="BC156" s="48" t="s">
        <v>159</v>
      </c>
      <c r="BD156" s="49"/>
      <c r="BE156" s="105"/>
      <c r="BF156" s="102"/>
      <c r="BG156" s="49"/>
      <c r="BH156" s="49"/>
      <c r="BI156" s="105"/>
      <c r="BJ156" s="102"/>
      <c r="BK156" s="49"/>
      <c r="BL156" s="49"/>
      <c r="BM156" s="105"/>
      <c r="BN156" s="102"/>
      <c r="BO156" s="49"/>
      <c r="BP156" s="49"/>
      <c r="BQ156" s="105"/>
      <c r="BR156" s="102"/>
      <c r="BS156" s="33" t="s">
        <v>452</v>
      </c>
      <c r="BT156" s="49"/>
      <c r="BU156" s="102"/>
      <c r="BV156" s="49"/>
      <c r="BW156" s="49"/>
      <c r="BX156" s="102"/>
      <c r="BY156" s="51">
        <f>Tabelle4[[#This Row],[Industry Funding from DE (IPK)]]+Tabelle4[[#This Row],[Industry Funding from BR (IPK)]]+Tabelle4[[#This Row],[Public Funding from DE (IPK)]]+Tabelle4[[#This Row],[Public Funding from BR (IPK)]]+Tabelle4[[#This Row],[In-kind Contribution (IPK)]]</f>
        <v>0</v>
      </c>
      <c r="BZ156" s="51">
        <f>Tabelle4[[#This Row],[Industry Funding from DE (IPK)]]+Tabelle4[[#This Row],[Industry Funding from BR (IPK)]]+Tabelle4[[#This Row],[Public Funding from DE (IPK)]]+Tabelle4[[#This Row],[Public Funding from BR (IPK)]]</f>
        <v>0</v>
      </c>
      <c r="CA156" s="51">
        <f>Tabelle4[[#This Row],[Industry Funding from DE (IPK)]]+Tabelle4[[#This Row],[Industry Funding from BR (IPK)]]</f>
        <v>0</v>
      </c>
      <c r="CB156" s="51">
        <f>Tabelle4[[#This Row],[Public Funding from DE (IPK)]]+Tabelle4[[#This Row],[Public Funding from BR (IPK)]]</f>
        <v>0</v>
      </c>
      <c r="CC156" s="51">
        <f>Tabelle4[[#This Row],[In-kind Contribution (IPK)]]</f>
        <v>0</v>
      </c>
      <c r="CD156" s="53" t="e">
        <f>(Tabelle4[[#This Row],[Total Industry Funding (IPK)]] + Tabelle4[[#This Row],[Total Public Funding (IPK)]])/Tabelle4[[#This Row],[Total Project Volume (IPK)]]</f>
        <v>#DIV/0!</v>
      </c>
      <c r="CE156" s="53" t="e">
        <f>Tabelle4[[#This Row],[Total Industry Funding (IPK)]] / Tabelle4[[#This Row],[Total Project Volume (IPK)]]</f>
        <v>#DIV/0!</v>
      </c>
      <c r="CF156" s="49" t="str">
        <f>Tabelle4[[#This Row],[Project Funding Classification]]</f>
        <v>Public Funding</v>
      </c>
      <c r="CG156" s="51">
        <f>Tabelle4[[#This Row],[Industry Funding from DE (IPK)]]+Tabelle4[[#This Row],[Public Funding from DE (IPK)]]</f>
        <v>0</v>
      </c>
      <c r="CH156" s="52">
        <f>Tabelle4[[#This Row],[Industry Funding from BR (IPK)]]+Tabelle4[[#This Row],[Public Funding from BR (IPK)]]</f>
        <v>0</v>
      </c>
      <c r="CI156" s="51">
        <f>Tabelle4[[#This Row],[Industry Funding from DE (ITA)]]+Tabelle4[[#This Row],[Industry Funding from BR (ITA)]]+Tabelle4[[#This Row],[Public Funding from DE (ITA)]]+Tabelle4[[#This Row],[Public Funding from BR (ITA)]]</f>
        <v>1333333</v>
      </c>
      <c r="CJ156" s="51">
        <f>Tabelle4[[#This Row],[Industry Funding from DE (ITA)]]+Tabelle4[[#This Row],[Industry Funding from BR (ITA)]]</f>
        <v>0</v>
      </c>
      <c r="CK156" s="51">
        <f>Tabelle4[[#This Row],[Public Funding from DE (ITA)]]+Tabelle4[[#This Row],[Public Funding from BR (ITA)]]</f>
        <v>1333333</v>
      </c>
      <c r="CL156" s="53">
        <f>Tabelle4[[#This Row],[Total Industry Funding (ITA)]]/Tabelle4[[#This Row],[Total Project Volume (ITA)]]</f>
        <v>0</v>
      </c>
      <c r="CM156" s="49" t="str">
        <f>IF(Tabelle4[[#This Row],[Funding Ratio (ITA)]]&lt;0.5,"Public Funding","Industry")</f>
        <v>Public Funding</v>
      </c>
      <c r="CN156" s="51">
        <f>Tabelle4[[#This Row],[Industry Funding from DE (ITA)]]+Tabelle4[[#This Row],[Public Funding from DE (ITA)]]</f>
        <v>0</v>
      </c>
      <c r="CO156" s="52">
        <f>Tabelle4[[#This Row],[Industry Funding from BR (ITA)]]+Tabelle4[[#This Row],[Public Funding from BR (ITA)]]</f>
        <v>1333333</v>
      </c>
      <c r="CP156" s="51">
        <f>Tabelle4[[#This Row],[Total Project Volume (IPK)]]+Tabelle4[[#This Row],[Total Project Volume (ITA)]]</f>
        <v>1333333</v>
      </c>
      <c r="CQ156" s="51">
        <f>Tabelle4[[#This Row],[Total Industry Funding (IPK)]]+Tabelle4[[#This Row],[Total Industry Funding (ITA)]]</f>
        <v>0</v>
      </c>
      <c r="CR156" s="51">
        <f>Tabelle4[[#This Row],[Industry Funding from DE (IPK)]]+Tabelle4[[#This Row],[Industry Funding from DE (ITA)]]</f>
        <v>0</v>
      </c>
      <c r="CS156" s="51">
        <f>Tabelle4[[#This Row],[Industry Funding from BR (IPK)]]+Tabelle4[[#This Row],[Industry Funding from BR (ITA)]]</f>
        <v>0</v>
      </c>
      <c r="CT156" s="51">
        <f>Tabelle4[[#This Row],[Total Public Funding (IPK)]]+Tabelle4[[#This Row],[Total Public Funding (ITA)]]</f>
        <v>1333333</v>
      </c>
      <c r="CU156" s="51">
        <f>Tabelle4[[#This Row],[Public Funding from DE (IPK)]]+Tabelle4[[#This Row],[Public Funding from DE (ITA)]]</f>
        <v>0</v>
      </c>
      <c r="CV156" s="51">
        <f>Tabelle4[[#This Row],[Public Funding from BR (IPK)]]+Tabelle4[[#This Row],[Public Funding from BR (ITA)]]</f>
        <v>1333333</v>
      </c>
      <c r="CW156" s="51">
        <f>Tabelle4[[#This Row],[Industry Funding from DE (FPC)]]+Tabelle4[[#This Row],[Public Funding from DE (FPC)]]</f>
        <v>0</v>
      </c>
      <c r="CX156" s="52">
        <f>Tabelle4[[#This Row],[Industry Funding from BR (FPC)]]+Tabelle4[[#This Row],[Public Funding from BR (FPC)]]</f>
        <v>1333333</v>
      </c>
      <c r="CY156" s="44">
        <f>Tabelle4[[#This Row],[Total Financial Budget (Other)]]+Tabelle4[[#This Row],[Total In-kind Contribution (Other)]]</f>
        <v>0</v>
      </c>
      <c r="CZ156"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56" s="44">
        <f>Tabelle4[[#This Row],[In-kind Contribution (R&amp;D III)]]+Tabelle4[[#This Row],[In-kind Contribution (R&amp;D IV)]]</f>
        <v>0</v>
      </c>
      <c r="DB156" s="158">
        <f>Tabelle4[[#This Row],[Total Budget (FPC)]]+Tabelle4[[#This Row],[Total Volume (Other)]]</f>
        <v>1333333</v>
      </c>
      <c r="DC156" s="105">
        <f>Tabelle4[[#This Row],[Total Revenues (IPK)]]</f>
        <v>0</v>
      </c>
      <c r="DD156" s="53"/>
      <c r="DE156" s="51">
        <f>Tabelle4[[#This Row],[Total Revenues IPK]]*Tabelle4[[#This Row],[Probability of Success]]</f>
        <v>0</v>
      </c>
      <c r="DF156" s="51"/>
      <c r="DG156" s="51"/>
      <c r="DH156" s="51"/>
      <c r="DI156" s="51"/>
      <c r="DJ156" s="51"/>
      <c r="DK156" s="53"/>
      <c r="DL156" s="51">
        <f>Tabelle4[[#This Row],[Real Budget IPK]]*Tabelle4[[#This Row],[Acquisition Factor OE810]]</f>
        <v>0</v>
      </c>
      <c r="DM156" s="51">
        <v>0</v>
      </c>
      <c r="DN156" s="52">
        <f>Tabelle4[[#This Row],[Acquisition Bonus OE810]]+Tabelle4[[#This Row],[Project Execution OE810]]</f>
        <v>0</v>
      </c>
    </row>
    <row r="157" spans="1:118" ht="27.75" x14ac:dyDescent="0.45">
      <c r="A157" s="70" t="s">
        <v>356</v>
      </c>
      <c r="B157" s="33" t="s">
        <v>561</v>
      </c>
      <c r="C157" s="57" t="s">
        <v>358</v>
      </c>
      <c r="D157" s="57" t="s">
        <v>708</v>
      </c>
      <c r="E157" s="33">
        <v>1</v>
      </c>
      <c r="F157" s="33">
        <v>0</v>
      </c>
      <c r="G157" s="33" t="s">
        <v>2</v>
      </c>
      <c r="H157" s="33" t="s">
        <v>0</v>
      </c>
      <c r="J157" s="59">
        <v>43717</v>
      </c>
      <c r="K157" s="33" t="s">
        <v>244</v>
      </c>
      <c r="L157" s="33" t="s">
        <v>651</v>
      </c>
      <c r="M157" s="144">
        <v>6.63</v>
      </c>
      <c r="N157" s="33" t="s">
        <v>640</v>
      </c>
      <c r="Q157" s="58">
        <v>15</v>
      </c>
      <c r="R157" s="60"/>
      <c r="S157" s="60"/>
      <c r="T157" s="60"/>
      <c r="U157" s="60">
        <v>43727</v>
      </c>
      <c r="V157" s="59">
        <v>43997</v>
      </c>
      <c r="W157" s="59">
        <v>44103</v>
      </c>
      <c r="Z157" s="42" t="str">
        <f t="shared" si="23"/>
        <v>IPK</v>
      </c>
      <c r="AG157" s="42" t="str">
        <f>"ITA"</f>
        <v>ITA</v>
      </c>
      <c r="AH157" s="33" t="s">
        <v>533</v>
      </c>
      <c r="AI157" s="33" t="s">
        <v>438</v>
      </c>
      <c r="AK157" s="64">
        <f>(400000/M157)</f>
        <v>60331.825037707393</v>
      </c>
      <c r="AL157" s="64"/>
      <c r="AO157" s="42"/>
      <c r="AV157" s="42"/>
      <c r="BC157" s="42" t="s">
        <v>358</v>
      </c>
      <c r="BD157" s="33" t="s">
        <v>527</v>
      </c>
      <c r="BF157" s="65"/>
      <c r="BY157" s="44">
        <f>Tabelle4[[#This Row],[Industry Funding from DE (IPK)]]+Tabelle4[[#This Row],[Industry Funding from BR (IPK)]]+Tabelle4[[#This Row],[Public Funding from DE (IPK)]]+Tabelle4[[#This Row],[Public Funding from BR (IPK)]]+Tabelle4[[#This Row],[In-kind Contribution (IPK)]]</f>
        <v>0</v>
      </c>
      <c r="BZ157" s="44">
        <f>Tabelle4[[#This Row],[Industry Funding from DE (IPK)]]+Tabelle4[[#This Row],[Industry Funding from BR (IPK)]]+Tabelle4[[#This Row],[Public Funding from DE (IPK)]]+Tabelle4[[#This Row],[Public Funding from BR (IPK)]]</f>
        <v>0</v>
      </c>
      <c r="CA157" s="44">
        <f>Tabelle4[[#This Row],[Industry Funding from DE (IPK)]]+Tabelle4[[#This Row],[Industry Funding from BR (IPK)]]</f>
        <v>0</v>
      </c>
      <c r="CB157" s="44">
        <f>Tabelle4[[#This Row],[Public Funding from DE (IPK)]]+Tabelle4[[#This Row],[Public Funding from BR (IPK)]]</f>
        <v>0</v>
      </c>
      <c r="CC157" s="44">
        <f>Tabelle4[[#This Row],[In-kind Contribution (IPK)]]</f>
        <v>0</v>
      </c>
      <c r="CD157" s="47" t="e">
        <f>(Tabelle4[[#This Row],[Total Industry Funding (IPK)]] + Tabelle4[[#This Row],[Total Public Funding (IPK)]])/Tabelle4[[#This Row],[Total Project Volume (IPK)]]</f>
        <v>#DIV/0!</v>
      </c>
      <c r="CE157" s="47" t="e">
        <f>Tabelle4[[#This Row],[Total Industry Funding (IPK)]] / Tabelle4[[#This Row],[Total Project Volume (IPK)]]</f>
        <v>#DIV/0!</v>
      </c>
      <c r="CF157" s="33" t="str">
        <f>Tabelle4[[#This Row],[Project Funding Classification]]</f>
        <v>Industry</v>
      </c>
      <c r="CG157" s="44">
        <f>Tabelle4[[#This Row],[Industry Funding from DE (IPK)]]+Tabelle4[[#This Row],[Public Funding from DE (IPK)]]</f>
        <v>0</v>
      </c>
      <c r="CH157" s="46">
        <f>Tabelle4[[#This Row],[Industry Funding from BR (IPK)]]+Tabelle4[[#This Row],[Public Funding from BR (IPK)]]</f>
        <v>0</v>
      </c>
      <c r="CI157" s="44">
        <f>Tabelle4[[#This Row],[Industry Funding from DE (ITA)]]+Tabelle4[[#This Row],[Industry Funding from BR (ITA)]]+Tabelle4[[#This Row],[Public Funding from DE (ITA)]]+Tabelle4[[#This Row],[Public Funding from BR (ITA)]]</f>
        <v>60331.825037707393</v>
      </c>
      <c r="CJ157" s="44">
        <f>Tabelle4[[#This Row],[Industry Funding from DE (ITA)]]+Tabelle4[[#This Row],[Industry Funding from BR (ITA)]]</f>
        <v>60331.825037707393</v>
      </c>
      <c r="CK157" s="44">
        <f>Tabelle4[[#This Row],[Public Funding from DE (ITA)]]+Tabelle4[[#This Row],[Public Funding from BR (ITA)]]</f>
        <v>0</v>
      </c>
      <c r="CL157" s="47">
        <f>Tabelle4[[#This Row],[Total Industry Funding (ITA)]]/Tabelle4[[#This Row],[Total Project Volume (ITA)]]</f>
        <v>1</v>
      </c>
      <c r="CM157" s="33" t="str">
        <f>IF(Tabelle4[[#This Row],[Funding Ratio (ITA)]]&lt;0.5,"Public Funding","Industry")</f>
        <v>Industry</v>
      </c>
      <c r="CN157" s="44">
        <f>Tabelle4[[#This Row],[Industry Funding from DE (ITA)]]+Tabelle4[[#This Row],[Public Funding from DE (ITA)]]</f>
        <v>0</v>
      </c>
      <c r="CO157" s="46">
        <f>Tabelle4[[#This Row],[Industry Funding from BR (ITA)]]+Tabelle4[[#This Row],[Public Funding from BR (ITA)]]</f>
        <v>60331.825037707393</v>
      </c>
      <c r="CP157" s="44">
        <f>Tabelle4[[#This Row],[Total Project Volume (IPK)]]+Tabelle4[[#This Row],[Total Project Volume (ITA)]]</f>
        <v>60331.825037707393</v>
      </c>
      <c r="CQ157" s="44">
        <f>Tabelle4[[#This Row],[Total Industry Funding (IPK)]]+Tabelle4[[#This Row],[Total Industry Funding (ITA)]]</f>
        <v>60331.825037707393</v>
      </c>
      <c r="CR157" s="44">
        <f>Tabelle4[[#This Row],[Industry Funding from DE (IPK)]]+Tabelle4[[#This Row],[Industry Funding from DE (ITA)]]</f>
        <v>0</v>
      </c>
      <c r="CS157" s="44">
        <f>Tabelle4[[#This Row],[Industry Funding from BR (IPK)]]+Tabelle4[[#This Row],[Industry Funding from BR (ITA)]]</f>
        <v>60331.825037707393</v>
      </c>
      <c r="CT157" s="44">
        <f>Tabelle4[[#This Row],[Total Public Funding (IPK)]]+Tabelle4[[#This Row],[Total Public Funding (ITA)]]</f>
        <v>0</v>
      </c>
      <c r="CU157" s="44">
        <f>Tabelle4[[#This Row],[Public Funding from DE (IPK)]]+Tabelle4[[#This Row],[Public Funding from DE (ITA)]]</f>
        <v>0</v>
      </c>
      <c r="CV157" s="44">
        <f>Tabelle4[[#This Row],[Public Funding from BR (IPK)]]+Tabelle4[[#This Row],[Public Funding from BR (ITA)]]</f>
        <v>0</v>
      </c>
      <c r="CW157" s="44">
        <f>Tabelle4[[#This Row],[Industry Funding from DE (FPC)]]+Tabelle4[[#This Row],[Public Funding from DE (FPC)]]</f>
        <v>0</v>
      </c>
      <c r="CX157" s="46">
        <f>Tabelle4[[#This Row],[Industry Funding from BR (FPC)]]+Tabelle4[[#This Row],[Public Funding from BR (FPC)]]</f>
        <v>60331.825037707393</v>
      </c>
      <c r="CY157" s="44">
        <f>Tabelle4[[#This Row],[Total Financial Budget (Other)]]+Tabelle4[[#This Row],[Total In-kind Contribution (Other)]]</f>
        <v>0</v>
      </c>
      <c r="CZ15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57" s="44">
        <f>Tabelle4[[#This Row],[In-kind Contribution (R&amp;D III)]]+Tabelle4[[#This Row],[In-kind Contribution (R&amp;D IV)]]</f>
        <v>0</v>
      </c>
      <c r="DB157" s="158">
        <f>Tabelle4[[#This Row],[Total Budget (FPC)]]+Tabelle4[[#This Row],[Total Volume (Other)]]</f>
        <v>60331.825037707393</v>
      </c>
      <c r="DC157" s="104">
        <f>Tabelle4[[#This Row],[Total Revenues (IPK)]]</f>
        <v>0</v>
      </c>
      <c r="DE157" s="44">
        <f>Tabelle4[[#This Row],[Total Revenues IPK]]*Tabelle4[[#This Row],[Probability of Success]]</f>
        <v>0</v>
      </c>
      <c r="DL157" s="44">
        <f>Tabelle4[[#This Row],[Real Budget IPK]]*Tabelle4[[#This Row],[Acquisition Factor OE810]]</f>
        <v>0</v>
      </c>
      <c r="DN157" s="46">
        <f>Tabelle4[[#This Row],[Acquisition Bonus OE810]]+Tabelle4[[#This Row],[Project Execution OE810]]</f>
        <v>0</v>
      </c>
    </row>
    <row r="158" spans="1:118" ht="27.75" x14ac:dyDescent="0.45">
      <c r="A158" s="70" t="s">
        <v>332</v>
      </c>
      <c r="B158" s="33" t="s">
        <v>333</v>
      </c>
      <c r="C158" s="57" t="s">
        <v>334</v>
      </c>
      <c r="D158" s="57" t="s">
        <v>711</v>
      </c>
      <c r="E158" s="33">
        <v>1</v>
      </c>
      <c r="F158" s="33">
        <v>0</v>
      </c>
      <c r="G158" s="33" t="s">
        <v>2</v>
      </c>
      <c r="H158" s="33" t="s">
        <v>0</v>
      </c>
      <c r="J158" s="59">
        <v>43717</v>
      </c>
      <c r="K158" s="33" t="s">
        <v>246</v>
      </c>
      <c r="L158" s="43" t="s">
        <v>309</v>
      </c>
      <c r="Q158" s="58"/>
      <c r="R158" s="60"/>
      <c r="S158" s="60"/>
      <c r="T158" s="60"/>
      <c r="U158" s="60"/>
      <c r="Y158" s="59">
        <v>43923</v>
      </c>
      <c r="Z158" s="42" t="s">
        <v>1</v>
      </c>
      <c r="AG158" s="42" t="s">
        <v>2</v>
      </c>
      <c r="AH158" s="33" t="s">
        <v>330</v>
      </c>
      <c r="AI158" s="33" t="s">
        <v>331</v>
      </c>
      <c r="AJ158" s="104">
        <v>0</v>
      </c>
      <c r="AK158" s="104">
        <v>0</v>
      </c>
      <c r="AL158" s="64"/>
      <c r="AO158" s="42"/>
      <c r="AV158" s="42"/>
      <c r="BC158" s="42"/>
      <c r="BE158" s="104"/>
      <c r="BF158" s="65"/>
      <c r="BY158" s="44">
        <f>Tabelle4[[#This Row],[Industry Funding from DE (IPK)]]+Tabelle4[[#This Row],[Industry Funding from BR (IPK)]]+Tabelle4[[#This Row],[Public Funding from DE (IPK)]]+Tabelle4[[#This Row],[Public Funding from BR (IPK)]]+Tabelle4[[#This Row],[In-kind Contribution (IPK)]]</f>
        <v>0</v>
      </c>
      <c r="BZ158" s="44">
        <f>Tabelle4[[#This Row],[Industry Funding from DE (IPK)]]+Tabelle4[[#This Row],[Industry Funding from BR (IPK)]]+Tabelle4[[#This Row],[Public Funding from DE (IPK)]]+Tabelle4[[#This Row],[Public Funding from BR (IPK)]]</f>
        <v>0</v>
      </c>
      <c r="CA158" s="44">
        <f>Tabelle4[[#This Row],[Industry Funding from DE (IPK)]]+Tabelle4[[#This Row],[Industry Funding from BR (IPK)]]</f>
        <v>0</v>
      </c>
      <c r="CB158" s="44">
        <f>Tabelle4[[#This Row],[Public Funding from DE (IPK)]]+Tabelle4[[#This Row],[Public Funding from BR (IPK)]]</f>
        <v>0</v>
      </c>
      <c r="CC158" s="44">
        <f>Tabelle4[[#This Row],[In-kind Contribution (IPK)]]</f>
        <v>0</v>
      </c>
      <c r="CD158" s="47" t="e">
        <f>(Tabelle4[[#This Row],[Total Industry Funding (IPK)]] + Tabelle4[[#This Row],[Total Public Funding (IPK)]])/Tabelle4[[#This Row],[Total Project Volume (IPK)]]</f>
        <v>#DIV/0!</v>
      </c>
      <c r="CE158" s="47" t="e">
        <f>Tabelle4[[#This Row],[Total Industry Funding (IPK)]] / Tabelle4[[#This Row],[Total Project Volume (IPK)]]</f>
        <v>#DIV/0!</v>
      </c>
      <c r="CF158" s="33" t="str">
        <f>Tabelle4[[#This Row],[Project Funding Classification]]</f>
        <v>Industry</v>
      </c>
      <c r="CG158" s="44">
        <f>Tabelle4[[#This Row],[Industry Funding from DE (IPK)]]+Tabelle4[[#This Row],[Public Funding from DE (IPK)]]</f>
        <v>0</v>
      </c>
      <c r="CH158" s="46">
        <f>Tabelle4[[#This Row],[Industry Funding from BR (IPK)]]+Tabelle4[[#This Row],[Public Funding from BR (IPK)]]</f>
        <v>0</v>
      </c>
      <c r="CI158" s="44">
        <f>Tabelle4[[#This Row],[Industry Funding from DE (ITA)]]+Tabelle4[[#This Row],[Industry Funding from BR (ITA)]]+Tabelle4[[#This Row],[Public Funding from DE (ITA)]]+Tabelle4[[#This Row],[Public Funding from BR (ITA)]]</f>
        <v>0</v>
      </c>
      <c r="CJ158" s="44">
        <f>Tabelle4[[#This Row],[Industry Funding from DE (ITA)]]+Tabelle4[[#This Row],[Industry Funding from BR (ITA)]]</f>
        <v>0</v>
      </c>
      <c r="CK158" s="44">
        <f>Tabelle4[[#This Row],[Public Funding from DE (ITA)]]+Tabelle4[[#This Row],[Public Funding from BR (ITA)]]</f>
        <v>0</v>
      </c>
      <c r="CL158" s="47" t="e">
        <f>Tabelle4[[#This Row],[Total Industry Funding (ITA)]]/Tabelle4[[#This Row],[Total Project Volume (ITA)]]</f>
        <v>#DIV/0!</v>
      </c>
      <c r="CM158" s="33" t="e">
        <f>IF(Tabelle4[[#This Row],[Funding Ratio (ITA)]]&lt;0.5,"Public Funding","Industry")</f>
        <v>#DIV/0!</v>
      </c>
      <c r="CN158" s="44">
        <f>Tabelle4[[#This Row],[Industry Funding from DE (ITA)]]+Tabelle4[[#This Row],[Public Funding from DE (ITA)]]</f>
        <v>0</v>
      </c>
      <c r="CO158" s="46">
        <f>Tabelle4[[#This Row],[Industry Funding from BR (ITA)]]+Tabelle4[[#This Row],[Public Funding from BR (ITA)]]</f>
        <v>0</v>
      </c>
      <c r="CP158" s="44">
        <f>Tabelle4[[#This Row],[Total Project Volume (IPK)]]+Tabelle4[[#This Row],[Total Project Volume (ITA)]]</f>
        <v>0</v>
      </c>
      <c r="CQ158" s="44">
        <f>Tabelle4[[#This Row],[Total Industry Funding (IPK)]]+Tabelle4[[#This Row],[Total Industry Funding (ITA)]]</f>
        <v>0</v>
      </c>
      <c r="CR158" s="44">
        <f>Tabelle4[[#This Row],[Industry Funding from DE (IPK)]]+Tabelle4[[#This Row],[Industry Funding from DE (ITA)]]</f>
        <v>0</v>
      </c>
      <c r="CS158" s="44">
        <f>Tabelle4[[#This Row],[Industry Funding from BR (IPK)]]+Tabelle4[[#This Row],[Industry Funding from BR (ITA)]]</f>
        <v>0</v>
      </c>
      <c r="CT158" s="44">
        <f>Tabelle4[[#This Row],[Total Public Funding (IPK)]]+Tabelle4[[#This Row],[Total Public Funding (ITA)]]</f>
        <v>0</v>
      </c>
      <c r="CU158" s="44">
        <f>Tabelle4[[#This Row],[Public Funding from DE (IPK)]]+Tabelle4[[#This Row],[Public Funding from DE (ITA)]]</f>
        <v>0</v>
      </c>
      <c r="CV158" s="44">
        <f>Tabelle4[[#This Row],[Public Funding from BR (IPK)]]+Tabelle4[[#This Row],[Public Funding from BR (ITA)]]</f>
        <v>0</v>
      </c>
      <c r="CW158" s="44">
        <f>Tabelle4[[#This Row],[Industry Funding from DE (FPC)]]+Tabelle4[[#This Row],[Public Funding from DE (FPC)]]</f>
        <v>0</v>
      </c>
      <c r="CX158" s="46">
        <f>Tabelle4[[#This Row],[Industry Funding from BR (FPC)]]+Tabelle4[[#This Row],[Public Funding from BR (FPC)]]</f>
        <v>0</v>
      </c>
      <c r="CY158" s="44">
        <f>Tabelle4[[#This Row],[Total Financial Budget (Other)]]+Tabelle4[[#This Row],[Total In-kind Contribution (Other)]]</f>
        <v>0</v>
      </c>
      <c r="CZ15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58" s="44">
        <f>Tabelle4[[#This Row],[In-kind Contribution (R&amp;D III)]]+Tabelle4[[#This Row],[In-kind Contribution (R&amp;D IV)]]</f>
        <v>0</v>
      </c>
      <c r="DB158" s="158">
        <f>Tabelle4[[#This Row],[Total Budget (FPC)]]+Tabelle4[[#This Row],[Total Volume (Other)]]</f>
        <v>0</v>
      </c>
      <c r="DC158" s="104">
        <f>Tabelle4[[#This Row],[Total Revenues (IPK)]]</f>
        <v>0</v>
      </c>
      <c r="DE158" s="44">
        <f>Tabelle4[[#This Row],[Total Revenues IPK]]*Tabelle4[[#This Row],[Probability of Success]]</f>
        <v>0</v>
      </c>
      <c r="DL158" s="44">
        <f>Tabelle4[[#This Row],[Real Budget IPK]]*Tabelle4[[#This Row],[Acquisition Factor OE810]]</f>
        <v>0</v>
      </c>
      <c r="DN158" s="46">
        <f>Tabelle4[[#This Row],[Acquisition Bonus OE810]]+Tabelle4[[#This Row],[Project Execution OE810]]</f>
        <v>0</v>
      </c>
    </row>
    <row r="159" spans="1:118" ht="27.75" x14ac:dyDescent="0.45">
      <c r="A159" s="48" t="s">
        <v>213</v>
      </c>
      <c r="B159" s="49"/>
      <c r="C159" s="49" t="s">
        <v>214</v>
      </c>
      <c r="D159" s="49" t="s">
        <v>711</v>
      </c>
      <c r="E159" s="49"/>
      <c r="F159" s="49"/>
      <c r="G159" s="49" t="s">
        <v>1</v>
      </c>
      <c r="H159" s="49" t="s">
        <v>0</v>
      </c>
      <c r="I159" s="49"/>
      <c r="J159" s="50"/>
      <c r="K159" s="49" t="s">
        <v>246</v>
      </c>
      <c r="L159" s="49" t="s">
        <v>309</v>
      </c>
      <c r="M159" s="146"/>
      <c r="N159" s="49"/>
      <c r="O159" s="50"/>
      <c r="P159" s="50"/>
      <c r="Q159" s="49"/>
      <c r="R159" s="50"/>
      <c r="S159" s="50"/>
      <c r="T159" s="50"/>
      <c r="U159" s="50"/>
      <c r="V159" s="50"/>
      <c r="W159" s="50"/>
      <c r="X159" s="50"/>
      <c r="Y159" s="50"/>
      <c r="Z159" s="48" t="str">
        <f t="shared" ref="Z159:Z164" si="25">"IPK"</f>
        <v>IPK</v>
      </c>
      <c r="AA159" s="49"/>
      <c r="AB159" s="62"/>
      <c r="AC159" s="62">
        <v>400000</v>
      </c>
      <c r="AD159" s="62"/>
      <c r="AE159" s="62"/>
      <c r="AF159" s="62"/>
      <c r="AG159" s="48" t="str">
        <f t="shared" ref="AG159:AG164" si="26">"ITA"</f>
        <v>ITA</v>
      </c>
      <c r="AH159" s="49"/>
      <c r="AI159" s="49"/>
      <c r="AO159" s="48"/>
      <c r="AP159" s="49"/>
      <c r="AQ159" s="62"/>
      <c r="AR159" s="62">
        <v>800000</v>
      </c>
      <c r="AS159" s="62"/>
      <c r="AT159" s="62"/>
      <c r="AU159" s="62"/>
      <c r="AV159" s="48"/>
      <c r="AW159" s="49"/>
      <c r="AX159" s="62"/>
      <c r="AY159" s="62"/>
      <c r="AZ159" s="62"/>
      <c r="BA159" s="62"/>
      <c r="BB159" s="62"/>
      <c r="BC159" s="48" t="s">
        <v>214</v>
      </c>
      <c r="BD159" s="49"/>
      <c r="BE159" s="62">
        <v>1200000</v>
      </c>
      <c r="BF159" s="66"/>
      <c r="BG159" s="49"/>
      <c r="BH159" s="49"/>
      <c r="BI159" s="62"/>
      <c r="BJ159" s="66"/>
      <c r="BK159" s="49"/>
      <c r="BL159" s="49"/>
      <c r="BM159" s="62"/>
      <c r="BN159" s="66"/>
      <c r="BO159" s="49"/>
      <c r="BP159" s="49"/>
      <c r="BQ159" s="62"/>
      <c r="BR159" s="66"/>
      <c r="BS159" s="49"/>
      <c r="BT159" s="49"/>
      <c r="BU159" s="66"/>
      <c r="BV159" s="49"/>
      <c r="BW159" s="49"/>
      <c r="BX159" s="66"/>
      <c r="BY159" s="51">
        <f>Tabelle4[[#This Row],[Industry Funding from DE (IPK)]]+Tabelle4[[#This Row],[Industry Funding from BR (IPK)]]+Tabelle4[[#This Row],[Public Funding from DE (IPK)]]+Tabelle4[[#This Row],[Public Funding from BR (IPK)]]+Tabelle4[[#This Row],[In-kind Contribution (IPK)]]</f>
        <v>400000</v>
      </c>
      <c r="BZ159" s="51">
        <f>Tabelle4[[#This Row],[Industry Funding from DE (IPK)]]+Tabelle4[[#This Row],[Industry Funding from BR (IPK)]]+Tabelle4[[#This Row],[Public Funding from DE (IPK)]]+Tabelle4[[#This Row],[Public Funding from BR (IPK)]]</f>
        <v>400000</v>
      </c>
      <c r="CA159" s="51">
        <f>Tabelle4[[#This Row],[Industry Funding from DE (IPK)]]+Tabelle4[[#This Row],[Industry Funding from BR (IPK)]]</f>
        <v>400000</v>
      </c>
      <c r="CB159" s="51">
        <f>Tabelle4[[#This Row],[Public Funding from DE (IPK)]]+Tabelle4[[#This Row],[Public Funding from BR (IPK)]]</f>
        <v>0</v>
      </c>
      <c r="CC159" s="51">
        <f>Tabelle4[[#This Row],[In-kind Contribution (IPK)]]</f>
        <v>0</v>
      </c>
      <c r="CD159" s="53">
        <f>(Tabelle4[[#This Row],[Total Industry Funding (IPK)]] + Tabelle4[[#This Row],[Total Public Funding (IPK)]])/Tabelle4[[#This Row],[Total Project Volume (IPK)]]</f>
        <v>1</v>
      </c>
      <c r="CE159" s="53">
        <f>Tabelle4[[#This Row],[Total Industry Funding (IPK)]] / Tabelle4[[#This Row],[Total Project Volume (IPK)]]</f>
        <v>1</v>
      </c>
      <c r="CF159" s="49" t="str">
        <f>Tabelle4[[#This Row],[Project Funding Classification]]</f>
        <v>Industry</v>
      </c>
      <c r="CG159" s="51">
        <f>Tabelle4[[#This Row],[Industry Funding from DE (IPK)]]+Tabelle4[[#This Row],[Public Funding from DE (IPK)]]</f>
        <v>0</v>
      </c>
      <c r="CH159" s="52">
        <f>Tabelle4[[#This Row],[Industry Funding from BR (IPK)]]+Tabelle4[[#This Row],[Public Funding from BR (IPK)]]</f>
        <v>400000</v>
      </c>
      <c r="CI159" s="51">
        <f>Tabelle4[[#This Row],[Industry Funding from DE (ITA)]]+Tabelle4[[#This Row],[Industry Funding from BR (ITA)]]+Tabelle4[[#This Row],[Public Funding from DE (ITA)]]+Tabelle4[[#This Row],[Public Funding from BR (ITA)]]</f>
        <v>0</v>
      </c>
      <c r="CJ159" s="51">
        <f>Tabelle4[[#This Row],[Industry Funding from DE (ITA)]]+Tabelle4[[#This Row],[Industry Funding from BR (ITA)]]</f>
        <v>0</v>
      </c>
      <c r="CK159" s="51">
        <f>Tabelle4[[#This Row],[Public Funding from DE (ITA)]]+Tabelle4[[#This Row],[Public Funding from BR (ITA)]]</f>
        <v>0</v>
      </c>
      <c r="CL159" s="53" t="e">
        <f>Tabelle4[[#This Row],[Total Industry Funding (ITA)]]/Tabelle4[[#This Row],[Total Project Volume (ITA)]]</f>
        <v>#DIV/0!</v>
      </c>
      <c r="CM159" s="49" t="e">
        <f>IF(Tabelle4[[#This Row],[Funding Ratio (ITA)]]&lt;0.5,"Public Funding","Industry")</f>
        <v>#DIV/0!</v>
      </c>
      <c r="CN159" s="51">
        <f>Tabelle4[[#This Row],[Industry Funding from DE (ITA)]]+Tabelle4[[#This Row],[Public Funding from DE (ITA)]]</f>
        <v>0</v>
      </c>
      <c r="CO159" s="52">
        <f>Tabelle4[[#This Row],[Industry Funding from BR (ITA)]]+Tabelle4[[#This Row],[Public Funding from BR (ITA)]]</f>
        <v>0</v>
      </c>
      <c r="CP159" s="51">
        <f>Tabelle4[[#This Row],[Total Project Volume (IPK)]]+Tabelle4[[#This Row],[Total Project Volume (ITA)]]</f>
        <v>400000</v>
      </c>
      <c r="CQ159" s="51">
        <f>Tabelle4[[#This Row],[Total Industry Funding (IPK)]]+Tabelle4[[#This Row],[Total Industry Funding (ITA)]]</f>
        <v>400000</v>
      </c>
      <c r="CR159" s="51">
        <f>Tabelle4[[#This Row],[Industry Funding from DE (IPK)]]+Tabelle4[[#This Row],[Industry Funding from DE (ITA)]]</f>
        <v>0</v>
      </c>
      <c r="CS159" s="51">
        <f>Tabelle4[[#This Row],[Industry Funding from BR (IPK)]]+Tabelle4[[#This Row],[Industry Funding from BR (ITA)]]</f>
        <v>400000</v>
      </c>
      <c r="CT159" s="51">
        <f>Tabelle4[[#This Row],[Total Public Funding (IPK)]]+Tabelle4[[#This Row],[Total Public Funding (ITA)]]</f>
        <v>0</v>
      </c>
      <c r="CU159" s="51">
        <f>Tabelle4[[#This Row],[Public Funding from DE (IPK)]]+Tabelle4[[#This Row],[Public Funding from DE (ITA)]]</f>
        <v>0</v>
      </c>
      <c r="CV159" s="51">
        <f>Tabelle4[[#This Row],[Public Funding from BR (IPK)]]+Tabelle4[[#This Row],[Public Funding from BR (ITA)]]</f>
        <v>0</v>
      </c>
      <c r="CW159" s="51">
        <f>Tabelle4[[#This Row],[Industry Funding from DE (FPC)]]+Tabelle4[[#This Row],[Public Funding from DE (FPC)]]</f>
        <v>0</v>
      </c>
      <c r="CX159" s="52">
        <f>Tabelle4[[#This Row],[Industry Funding from BR (FPC)]]+Tabelle4[[#This Row],[Public Funding from BR (FPC)]]</f>
        <v>400000</v>
      </c>
      <c r="CY159" s="44">
        <f>Tabelle4[[#This Row],[Total Financial Budget (Other)]]+Tabelle4[[#This Row],[Total In-kind Contribution (Other)]]</f>
        <v>800000</v>
      </c>
      <c r="CZ159"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800000</v>
      </c>
      <c r="DA159" s="44">
        <f>Tabelle4[[#This Row],[In-kind Contribution (R&amp;D III)]]+Tabelle4[[#This Row],[In-kind Contribution (R&amp;D IV)]]</f>
        <v>0</v>
      </c>
      <c r="DB159" s="158">
        <f>Tabelle4[[#This Row],[Total Budget (FPC)]]+Tabelle4[[#This Row],[Total Volume (Other)]]</f>
        <v>1200000</v>
      </c>
      <c r="DC159" s="105">
        <f>Tabelle4[[#This Row],[Total Revenues (IPK)]]</f>
        <v>400000</v>
      </c>
      <c r="DD159" s="53">
        <v>0</v>
      </c>
      <c r="DE159" s="51">
        <f>Tabelle4[[#This Row],[Total Revenues IPK]]*Tabelle4[[#This Row],[Probability of Success]]</f>
        <v>0</v>
      </c>
      <c r="DF159" s="51"/>
      <c r="DG159" s="51"/>
      <c r="DH159" s="51"/>
      <c r="DI159" s="51"/>
      <c r="DJ159" s="51"/>
      <c r="DK159" s="53"/>
      <c r="DL159" s="51">
        <f>Tabelle4[[#This Row],[Real Budget IPK]]*Tabelle4[[#This Row],[Acquisition Factor OE810]]</f>
        <v>0</v>
      </c>
      <c r="DM159" s="51">
        <v>0</v>
      </c>
      <c r="DN159" s="52">
        <f>Tabelle4[[#This Row],[Acquisition Bonus OE810]]+Tabelle4[[#This Row],[Project Execution OE810]]</f>
        <v>0</v>
      </c>
    </row>
    <row r="160" spans="1:118" ht="41.65" x14ac:dyDescent="0.45">
      <c r="A160" s="42" t="s">
        <v>547</v>
      </c>
      <c r="B160" s="33" t="s">
        <v>548</v>
      </c>
      <c r="C160" s="33" t="s">
        <v>171</v>
      </c>
      <c r="D160" s="33" t="s">
        <v>706</v>
      </c>
      <c r="E160" s="33">
        <v>1</v>
      </c>
      <c r="G160" s="33" t="s">
        <v>2</v>
      </c>
      <c r="H160" s="33" t="s">
        <v>0</v>
      </c>
      <c r="K160" s="33" t="s">
        <v>246</v>
      </c>
      <c r="L160" s="33" t="s">
        <v>309</v>
      </c>
      <c r="M160" s="144">
        <v>4.3110999999999997</v>
      </c>
      <c r="N160" s="33" t="s">
        <v>641</v>
      </c>
      <c r="Q160" s="33">
        <v>24</v>
      </c>
      <c r="S160" s="59">
        <v>43766</v>
      </c>
      <c r="U160" s="59">
        <v>43944</v>
      </c>
      <c r="Y160" s="59">
        <v>44267</v>
      </c>
      <c r="Z160" s="42" t="str">
        <f t="shared" si="25"/>
        <v>IPK</v>
      </c>
      <c r="AC160" s="119"/>
      <c r="AG160" s="42" t="str">
        <f t="shared" si="26"/>
        <v>ITA</v>
      </c>
      <c r="AH160" s="33" t="s">
        <v>395</v>
      </c>
      <c r="AI160" s="33" t="s">
        <v>717</v>
      </c>
      <c r="AJ160" s="64"/>
      <c r="AM160" s="104">
        <f>(1000000/M160)</f>
        <v>231959.36072000186</v>
      </c>
      <c r="AO160" s="42"/>
      <c r="AV160" s="42"/>
      <c r="BC160" s="42"/>
      <c r="BF160" s="65"/>
      <c r="BY160" s="44">
        <f>Tabelle4[[#This Row],[Industry Funding from DE (IPK)]]+Tabelle4[[#This Row],[Industry Funding from BR (IPK)]]+Tabelle4[[#This Row],[Public Funding from DE (IPK)]]+Tabelle4[[#This Row],[Public Funding from BR (IPK)]]+Tabelle4[[#This Row],[In-kind Contribution (IPK)]]</f>
        <v>0</v>
      </c>
      <c r="BZ160" s="44">
        <f>Tabelle4[[#This Row],[Industry Funding from DE (IPK)]]+Tabelle4[[#This Row],[Industry Funding from BR (IPK)]]+Tabelle4[[#This Row],[Public Funding from DE (IPK)]]+Tabelle4[[#This Row],[Public Funding from BR (IPK)]]</f>
        <v>0</v>
      </c>
      <c r="CA160" s="44">
        <f>Tabelle4[[#This Row],[Industry Funding from DE (IPK)]]+Tabelle4[[#This Row],[Industry Funding from BR (IPK)]]</f>
        <v>0</v>
      </c>
      <c r="CB160" s="44">
        <f>Tabelle4[[#This Row],[Public Funding from DE (IPK)]]+Tabelle4[[#This Row],[Public Funding from BR (IPK)]]</f>
        <v>0</v>
      </c>
      <c r="CC160" s="44">
        <f>Tabelle4[[#This Row],[In-kind Contribution (IPK)]]</f>
        <v>0</v>
      </c>
      <c r="CD160" s="47" t="e">
        <f>(Tabelle4[[#This Row],[Total Industry Funding (IPK)]] + Tabelle4[[#This Row],[Total Public Funding (IPK)]])/Tabelle4[[#This Row],[Total Project Volume (IPK)]]</f>
        <v>#DIV/0!</v>
      </c>
      <c r="CE160" s="47" t="e">
        <f>Tabelle4[[#This Row],[Total Industry Funding (IPK)]] / Tabelle4[[#This Row],[Total Project Volume (IPK)]]</f>
        <v>#DIV/0!</v>
      </c>
      <c r="CF160" s="33" t="str">
        <f>Tabelle4[[#This Row],[Project Funding Classification]]</f>
        <v>Industry</v>
      </c>
      <c r="CG160" s="44">
        <f>Tabelle4[[#This Row],[Industry Funding from DE (IPK)]]+Tabelle4[[#This Row],[Public Funding from DE (IPK)]]</f>
        <v>0</v>
      </c>
      <c r="CH160" s="46">
        <f>Tabelle4[[#This Row],[Industry Funding from BR (IPK)]]+Tabelle4[[#This Row],[Public Funding from BR (IPK)]]</f>
        <v>0</v>
      </c>
      <c r="CI160" s="44">
        <f>Tabelle4[[#This Row],[Industry Funding from DE (ITA)]]+Tabelle4[[#This Row],[Industry Funding from BR (ITA)]]+Tabelle4[[#This Row],[Public Funding from DE (ITA)]]+Tabelle4[[#This Row],[Public Funding from BR (ITA)]]</f>
        <v>231959.36072000186</v>
      </c>
      <c r="CJ160" s="44">
        <f>Tabelle4[[#This Row],[Industry Funding from DE (ITA)]]+Tabelle4[[#This Row],[Industry Funding from BR (ITA)]]</f>
        <v>0</v>
      </c>
      <c r="CK160" s="44">
        <f>Tabelle4[[#This Row],[Public Funding from DE (ITA)]]+Tabelle4[[#This Row],[Public Funding from BR (ITA)]]</f>
        <v>231959.36072000186</v>
      </c>
      <c r="CL160" s="47">
        <f>Tabelle4[[#This Row],[Total Industry Funding (ITA)]]/Tabelle4[[#This Row],[Total Project Volume (ITA)]]</f>
        <v>0</v>
      </c>
      <c r="CM160" s="33" t="str">
        <f>IF(Tabelle4[[#This Row],[Funding Ratio (ITA)]]&lt;0.5,"Public Funding","Industry")</f>
        <v>Public Funding</v>
      </c>
      <c r="CN160" s="44">
        <f>Tabelle4[[#This Row],[Industry Funding from DE (ITA)]]+Tabelle4[[#This Row],[Public Funding from DE (ITA)]]</f>
        <v>0</v>
      </c>
      <c r="CO160" s="46">
        <f>Tabelle4[[#This Row],[Industry Funding from BR (ITA)]]+Tabelle4[[#This Row],[Public Funding from BR (ITA)]]</f>
        <v>231959.36072000186</v>
      </c>
      <c r="CP160" s="44">
        <f>Tabelle4[[#This Row],[Total Project Volume (IPK)]]+Tabelle4[[#This Row],[Total Project Volume (ITA)]]</f>
        <v>231959.36072000186</v>
      </c>
      <c r="CQ160" s="44">
        <f>Tabelle4[[#This Row],[Total Industry Funding (IPK)]]+Tabelle4[[#This Row],[Total Industry Funding (ITA)]]</f>
        <v>0</v>
      </c>
      <c r="CR160" s="44">
        <f>Tabelle4[[#This Row],[Industry Funding from DE (IPK)]]+Tabelle4[[#This Row],[Industry Funding from DE (ITA)]]</f>
        <v>0</v>
      </c>
      <c r="CS160" s="44">
        <f>Tabelle4[[#This Row],[Industry Funding from BR (IPK)]]+Tabelle4[[#This Row],[Industry Funding from BR (ITA)]]</f>
        <v>0</v>
      </c>
      <c r="CT160" s="44">
        <f>Tabelle4[[#This Row],[Total Public Funding (IPK)]]+Tabelle4[[#This Row],[Total Public Funding (ITA)]]</f>
        <v>231959.36072000186</v>
      </c>
      <c r="CU160" s="44">
        <f>Tabelle4[[#This Row],[Public Funding from DE (IPK)]]+Tabelle4[[#This Row],[Public Funding from DE (ITA)]]</f>
        <v>0</v>
      </c>
      <c r="CV160" s="44">
        <f>Tabelle4[[#This Row],[Public Funding from BR (IPK)]]+Tabelle4[[#This Row],[Public Funding from BR (ITA)]]</f>
        <v>231959.36072000186</v>
      </c>
      <c r="CW160" s="44">
        <f>Tabelle4[[#This Row],[Industry Funding from DE (FPC)]]+Tabelle4[[#This Row],[Public Funding from DE (FPC)]]</f>
        <v>0</v>
      </c>
      <c r="CX160" s="46">
        <f>Tabelle4[[#This Row],[Industry Funding from BR (FPC)]]+Tabelle4[[#This Row],[Public Funding from BR (FPC)]]</f>
        <v>231959.36072000186</v>
      </c>
      <c r="CY160" s="44">
        <f>Tabelle4[[#This Row],[Total Financial Budget (Other)]]+Tabelle4[[#This Row],[Total In-kind Contribution (Other)]]</f>
        <v>0</v>
      </c>
      <c r="CZ16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60" s="44">
        <f>Tabelle4[[#This Row],[In-kind Contribution (R&amp;D III)]]+Tabelle4[[#This Row],[In-kind Contribution (R&amp;D IV)]]</f>
        <v>0</v>
      </c>
      <c r="DB160" s="158">
        <f>Tabelle4[[#This Row],[Total Budget (FPC)]]+Tabelle4[[#This Row],[Total Volume (Other)]]</f>
        <v>231959.36072000186</v>
      </c>
      <c r="DC160" s="104">
        <f>Tabelle4[[#This Row],[Total Revenues (IPK)]]</f>
        <v>0</v>
      </c>
      <c r="DE160" s="44">
        <f>Tabelle4[[#This Row],[Total Revenues IPK]]*Tabelle4[[#This Row],[Probability of Success]]</f>
        <v>0</v>
      </c>
      <c r="DL160" s="44">
        <f>Tabelle4[[#This Row],[Real Budget IPK]]*Tabelle4[[#This Row],[Acquisition Factor OE810]]</f>
        <v>0</v>
      </c>
      <c r="DN160" s="46">
        <f>Tabelle4[[#This Row],[Acquisition Bonus OE810]]+Tabelle4[[#This Row],[Project Execution OE810]]</f>
        <v>0</v>
      </c>
    </row>
    <row r="161" spans="1:118" ht="27.75" x14ac:dyDescent="0.45">
      <c r="A161" s="70" t="s">
        <v>177</v>
      </c>
      <c r="B161" s="33" t="s">
        <v>384</v>
      </c>
      <c r="C161" s="33" t="s">
        <v>387</v>
      </c>
      <c r="D161" s="33" t="s">
        <v>711</v>
      </c>
      <c r="E161" s="33">
        <v>3</v>
      </c>
      <c r="F161" s="33">
        <v>0</v>
      </c>
      <c r="G161" s="33" t="s">
        <v>2</v>
      </c>
      <c r="H161" s="33" t="s">
        <v>0</v>
      </c>
      <c r="K161" s="33" t="s">
        <v>246</v>
      </c>
      <c r="L161" s="43" t="s">
        <v>309</v>
      </c>
      <c r="Q161" s="58"/>
      <c r="R161" s="60"/>
      <c r="S161" s="60">
        <v>43745</v>
      </c>
      <c r="T161" s="60"/>
      <c r="U161" s="60"/>
      <c r="Y161" s="59">
        <v>43923</v>
      </c>
      <c r="Z161" s="42" t="str">
        <f t="shared" si="25"/>
        <v>IPK</v>
      </c>
      <c r="AG161" s="42" t="str">
        <f t="shared" si="26"/>
        <v>ITA</v>
      </c>
      <c r="AH161" s="33" t="s">
        <v>386</v>
      </c>
      <c r="AI161" s="33" t="s">
        <v>331</v>
      </c>
      <c r="AJ161" s="104">
        <v>0</v>
      </c>
      <c r="AK161" s="104">
        <v>0</v>
      </c>
      <c r="AO161" s="42"/>
      <c r="AV161" s="42"/>
      <c r="BC161" s="42"/>
      <c r="BF161" s="65"/>
      <c r="BY161" s="44">
        <f>Tabelle4[[#This Row],[Industry Funding from DE (IPK)]]+Tabelle4[[#This Row],[Industry Funding from BR (IPK)]]+Tabelle4[[#This Row],[Public Funding from DE (IPK)]]+Tabelle4[[#This Row],[Public Funding from BR (IPK)]]+Tabelle4[[#This Row],[In-kind Contribution (IPK)]]</f>
        <v>0</v>
      </c>
      <c r="BZ161" s="44">
        <f>Tabelle4[[#This Row],[Industry Funding from DE (IPK)]]+Tabelle4[[#This Row],[Industry Funding from BR (IPK)]]+Tabelle4[[#This Row],[Public Funding from DE (IPK)]]+Tabelle4[[#This Row],[Public Funding from BR (IPK)]]</f>
        <v>0</v>
      </c>
      <c r="CA161" s="44">
        <f>Tabelle4[[#This Row],[Industry Funding from DE (IPK)]]+Tabelle4[[#This Row],[Industry Funding from BR (IPK)]]</f>
        <v>0</v>
      </c>
      <c r="CB161" s="44">
        <f>Tabelle4[[#This Row],[Public Funding from DE (IPK)]]+Tabelle4[[#This Row],[Public Funding from BR (IPK)]]</f>
        <v>0</v>
      </c>
      <c r="CC161" s="44">
        <f>Tabelle4[[#This Row],[In-kind Contribution (IPK)]]</f>
        <v>0</v>
      </c>
      <c r="CD161" s="47" t="e">
        <f>(Tabelle4[[#This Row],[Total Industry Funding (IPK)]] + Tabelle4[[#This Row],[Total Public Funding (IPK)]])/Tabelle4[[#This Row],[Total Project Volume (IPK)]]</f>
        <v>#DIV/0!</v>
      </c>
      <c r="CE161" s="47" t="e">
        <f>Tabelle4[[#This Row],[Total Industry Funding (IPK)]] / Tabelle4[[#This Row],[Total Project Volume (IPK)]]</f>
        <v>#DIV/0!</v>
      </c>
      <c r="CF161" s="33" t="str">
        <f>Tabelle4[[#This Row],[Project Funding Classification]]</f>
        <v>Industry</v>
      </c>
      <c r="CG161" s="44">
        <f>Tabelle4[[#This Row],[Industry Funding from DE (IPK)]]+Tabelle4[[#This Row],[Public Funding from DE (IPK)]]</f>
        <v>0</v>
      </c>
      <c r="CH161" s="46">
        <f>Tabelle4[[#This Row],[Industry Funding from BR (IPK)]]+Tabelle4[[#This Row],[Public Funding from BR (IPK)]]</f>
        <v>0</v>
      </c>
      <c r="CI161" s="44">
        <f>Tabelle4[[#This Row],[Industry Funding from DE (ITA)]]+Tabelle4[[#This Row],[Industry Funding from BR (ITA)]]+Tabelle4[[#This Row],[Public Funding from DE (ITA)]]+Tabelle4[[#This Row],[Public Funding from BR (ITA)]]</f>
        <v>0</v>
      </c>
      <c r="CJ161" s="44">
        <f>Tabelle4[[#This Row],[Industry Funding from DE (ITA)]]+Tabelle4[[#This Row],[Industry Funding from BR (ITA)]]</f>
        <v>0</v>
      </c>
      <c r="CK161" s="44">
        <f>Tabelle4[[#This Row],[Public Funding from DE (ITA)]]+Tabelle4[[#This Row],[Public Funding from BR (ITA)]]</f>
        <v>0</v>
      </c>
      <c r="CL161" s="47" t="e">
        <f>Tabelle4[[#This Row],[Total Industry Funding (ITA)]]/Tabelle4[[#This Row],[Total Project Volume (ITA)]]</f>
        <v>#DIV/0!</v>
      </c>
      <c r="CM161" s="33" t="e">
        <f>IF(Tabelle4[[#This Row],[Funding Ratio (ITA)]]&lt;0.5,"Public Funding","Industry")</f>
        <v>#DIV/0!</v>
      </c>
      <c r="CN161" s="44">
        <f>Tabelle4[[#This Row],[Industry Funding from DE (ITA)]]+Tabelle4[[#This Row],[Public Funding from DE (ITA)]]</f>
        <v>0</v>
      </c>
      <c r="CO161" s="46">
        <f>Tabelle4[[#This Row],[Industry Funding from BR (ITA)]]+Tabelle4[[#This Row],[Public Funding from BR (ITA)]]</f>
        <v>0</v>
      </c>
      <c r="CP161" s="44">
        <f>Tabelle4[[#This Row],[Total Project Volume (IPK)]]+Tabelle4[[#This Row],[Total Project Volume (ITA)]]</f>
        <v>0</v>
      </c>
      <c r="CQ161" s="44">
        <f>Tabelle4[[#This Row],[Total Industry Funding (IPK)]]+Tabelle4[[#This Row],[Total Industry Funding (ITA)]]</f>
        <v>0</v>
      </c>
      <c r="CR161" s="44">
        <f>Tabelle4[[#This Row],[Industry Funding from DE (IPK)]]+Tabelle4[[#This Row],[Industry Funding from DE (ITA)]]</f>
        <v>0</v>
      </c>
      <c r="CS161" s="44">
        <f>Tabelle4[[#This Row],[Industry Funding from BR (IPK)]]+Tabelle4[[#This Row],[Industry Funding from BR (ITA)]]</f>
        <v>0</v>
      </c>
      <c r="CT161" s="44">
        <f>Tabelle4[[#This Row],[Total Public Funding (IPK)]]+Tabelle4[[#This Row],[Total Public Funding (ITA)]]</f>
        <v>0</v>
      </c>
      <c r="CU161" s="44">
        <f>Tabelle4[[#This Row],[Public Funding from DE (IPK)]]+Tabelle4[[#This Row],[Public Funding from DE (ITA)]]</f>
        <v>0</v>
      </c>
      <c r="CV161" s="44">
        <f>Tabelle4[[#This Row],[Public Funding from BR (IPK)]]+Tabelle4[[#This Row],[Public Funding from BR (ITA)]]</f>
        <v>0</v>
      </c>
      <c r="CW161" s="44">
        <f>Tabelle4[[#This Row],[Industry Funding from DE (FPC)]]+Tabelle4[[#This Row],[Public Funding from DE (FPC)]]</f>
        <v>0</v>
      </c>
      <c r="CX161" s="46">
        <f>Tabelle4[[#This Row],[Industry Funding from BR (FPC)]]+Tabelle4[[#This Row],[Public Funding from BR (FPC)]]</f>
        <v>0</v>
      </c>
      <c r="CY161" s="44">
        <f>Tabelle4[[#This Row],[Total Financial Budget (Other)]]+Tabelle4[[#This Row],[Total In-kind Contribution (Other)]]</f>
        <v>0</v>
      </c>
      <c r="CZ16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61" s="44">
        <f>Tabelle4[[#This Row],[In-kind Contribution (R&amp;D III)]]+Tabelle4[[#This Row],[In-kind Contribution (R&amp;D IV)]]</f>
        <v>0</v>
      </c>
      <c r="DB161" s="158">
        <f>Tabelle4[[#This Row],[Total Budget (FPC)]]+Tabelle4[[#This Row],[Total Volume (Other)]]</f>
        <v>0</v>
      </c>
      <c r="DC161" s="104">
        <f>Tabelle4[[#This Row],[Total Revenues (IPK)]]</f>
        <v>0</v>
      </c>
      <c r="DE161" s="44">
        <f>Tabelle4[[#This Row],[Total Revenues IPK]]*Tabelle4[[#This Row],[Probability of Success]]</f>
        <v>0</v>
      </c>
      <c r="DL161" s="44">
        <f>Tabelle4[[#This Row],[Real Budget IPK]]*Tabelle4[[#This Row],[Acquisition Factor OE810]]</f>
        <v>0</v>
      </c>
      <c r="DN161" s="46">
        <f>Tabelle4[[#This Row],[Acquisition Bonus OE810]]+Tabelle4[[#This Row],[Project Execution OE810]]</f>
        <v>0</v>
      </c>
    </row>
    <row r="162" spans="1:118" ht="27.75" x14ac:dyDescent="0.45">
      <c r="A162" s="70" t="s">
        <v>335</v>
      </c>
      <c r="B162" s="42" t="s">
        <v>435</v>
      </c>
      <c r="C162" s="57" t="s">
        <v>336</v>
      </c>
      <c r="D162" s="57" t="s">
        <v>710</v>
      </c>
      <c r="E162" s="33">
        <v>1</v>
      </c>
      <c r="F162" s="33">
        <v>0</v>
      </c>
      <c r="G162" s="33" t="s">
        <v>2</v>
      </c>
      <c r="H162" s="33" t="s">
        <v>0</v>
      </c>
      <c r="J162" s="59">
        <v>43717</v>
      </c>
      <c r="K162" s="33" t="s">
        <v>246</v>
      </c>
      <c r="L162" s="59" t="s">
        <v>309</v>
      </c>
      <c r="Q162" s="58"/>
      <c r="R162" s="60"/>
      <c r="S162" s="60"/>
      <c r="T162" s="60"/>
      <c r="U162" s="60"/>
      <c r="Y162" s="59">
        <v>43857</v>
      </c>
      <c r="Z162" s="42" t="str">
        <f t="shared" si="25"/>
        <v>IPK</v>
      </c>
      <c r="AB162" s="104"/>
      <c r="AC162" s="104"/>
      <c r="AD162" s="104"/>
      <c r="AE162" s="104"/>
      <c r="AF162" s="104"/>
      <c r="AG162" s="42" t="str">
        <f t="shared" si="26"/>
        <v>ITA</v>
      </c>
      <c r="AH162" s="33" t="s">
        <v>337</v>
      </c>
      <c r="AI162" s="33" t="s">
        <v>337</v>
      </c>
      <c r="AJ162" s="104">
        <v>0</v>
      </c>
      <c r="AK162" s="104">
        <v>0</v>
      </c>
      <c r="AL162" s="64"/>
      <c r="AO162" s="42"/>
      <c r="AQ162" s="104"/>
      <c r="AR162" s="104"/>
      <c r="AS162" s="104"/>
      <c r="AT162" s="104"/>
      <c r="AU162" s="104"/>
      <c r="AV162" s="42"/>
      <c r="AX162" s="104"/>
      <c r="AY162" s="104"/>
      <c r="AZ162" s="104"/>
      <c r="BA162" s="104"/>
      <c r="BB162" s="104"/>
      <c r="BC162" s="42"/>
      <c r="BE162" s="104"/>
      <c r="BF162" s="101"/>
      <c r="BI162" s="104"/>
      <c r="BJ162" s="101"/>
      <c r="BM162" s="104"/>
      <c r="BN162" s="101"/>
      <c r="BQ162" s="104"/>
      <c r="BR162" s="101"/>
      <c r="BU162" s="101"/>
      <c r="BX162" s="101"/>
      <c r="BY162" s="44">
        <f>Tabelle4[[#This Row],[Industry Funding from DE (IPK)]]+Tabelle4[[#This Row],[Industry Funding from BR (IPK)]]+Tabelle4[[#This Row],[Public Funding from DE (IPK)]]+Tabelle4[[#This Row],[Public Funding from BR (IPK)]]+Tabelle4[[#This Row],[In-kind Contribution (IPK)]]</f>
        <v>0</v>
      </c>
      <c r="BZ162" s="44">
        <f>Tabelle4[[#This Row],[Industry Funding from DE (IPK)]]+Tabelle4[[#This Row],[Industry Funding from BR (IPK)]]+Tabelle4[[#This Row],[Public Funding from DE (IPK)]]+Tabelle4[[#This Row],[Public Funding from BR (IPK)]]</f>
        <v>0</v>
      </c>
      <c r="CA162" s="44">
        <f>Tabelle4[[#This Row],[Industry Funding from DE (IPK)]]+Tabelle4[[#This Row],[Industry Funding from BR (IPK)]]</f>
        <v>0</v>
      </c>
      <c r="CB162" s="44">
        <f>Tabelle4[[#This Row],[Public Funding from DE (IPK)]]+Tabelle4[[#This Row],[Public Funding from BR (IPK)]]</f>
        <v>0</v>
      </c>
      <c r="CC162" s="44">
        <f>Tabelle4[[#This Row],[In-kind Contribution (IPK)]]</f>
        <v>0</v>
      </c>
      <c r="CD162" s="47" t="e">
        <f>(Tabelle4[[#This Row],[Total Industry Funding (IPK)]] + Tabelle4[[#This Row],[Total Public Funding (IPK)]])/Tabelle4[[#This Row],[Total Project Volume (IPK)]]</f>
        <v>#DIV/0!</v>
      </c>
      <c r="CE162" s="47" t="e">
        <f>Tabelle4[[#This Row],[Total Industry Funding (IPK)]] / Tabelle4[[#This Row],[Total Project Volume (IPK)]]</f>
        <v>#DIV/0!</v>
      </c>
      <c r="CF162" s="33" t="str">
        <f>Tabelle4[[#This Row],[Project Funding Classification]]</f>
        <v>Industry</v>
      </c>
      <c r="CG162" s="44">
        <f>Tabelle4[[#This Row],[Industry Funding from DE (IPK)]]+Tabelle4[[#This Row],[Public Funding from DE (IPK)]]</f>
        <v>0</v>
      </c>
      <c r="CH162" s="46">
        <f>Tabelle4[[#This Row],[Industry Funding from BR (IPK)]]+Tabelle4[[#This Row],[Public Funding from BR (IPK)]]</f>
        <v>0</v>
      </c>
      <c r="CI162" s="44">
        <f>Tabelle4[[#This Row],[Industry Funding from DE (ITA)]]+Tabelle4[[#This Row],[Industry Funding from BR (ITA)]]+Tabelle4[[#This Row],[Public Funding from DE (ITA)]]+Tabelle4[[#This Row],[Public Funding from BR (ITA)]]</f>
        <v>0</v>
      </c>
      <c r="CJ162" s="44">
        <f>Tabelle4[[#This Row],[Industry Funding from DE (ITA)]]+Tabelle4[[#This Row],[Industry Funding from BR (ITA)]]</f>
        <v>0</v>
      </c>
      <c r="CK162" s="44">
        <f>Tabelle4[[#This Row],[Public Funding from DE (ITA)]]+Tabelle4[[#This Row],[Public Funding from BR (ITA)]]</f>
        <v>0</v>
      </c>
      <c r="CL162" s="47" t="e">
        <f>Tabelle4[[#This Row],[Total Industry Funding (ITA)]]/Tabelle4[[#This Row],[Total Project Volume (ITA)]]</f>
        <v>#DIV/0!</v>
      </c>
      <c r="CM162" s="33" t="e">
        <f>IF(Tabelle4[[#This Row],[Funding Ratio (ITA)]]&lt;0.5,"Public Funding","Industry")</f>
        <v>#DIV/0!</v>
      </c>
      <c r="CN162" s="44">
        <f>Tabelle4[[#This Row],[Industry Funding from DE (ITA)]]+Tabelle4[[#This Row],[Public Funding from DE (ITA)]]</f>
        <v>0</v>
      </c>
      <c r="CO162" s="46">
        <f>Tabelle4[[#This Row],[Industry Funding from BR (ITA)]]+Tabelle4[[#This Row],[Public Funding from BR (ITA)]]</f>
        <v>0</v>
      </c>
      <c r="CP162" s="44">
        <f>Tabelle4[[#This Row],[Total Project Volume (IPK)]]+Tabelle4[[#This Row],[Total Project Volume (ITA)]]</f>
        <v>0</v>
      </c>
      <c r="CQ162" s="44">
        <f>Tabelle4[[#This Row],[Total Industry Funding (IPK)]]+Tabelle4[[#This Row],[Total Industry Funding (ITA)]]</f>
        <v>0</v>
      </c>
      <c r="CR162" s="44">
        <f>Tabelle4[[#This Row],[Industry Funding from DE (IPK)]]+Tabelle4[[#This Row],[Industry Funding from DE (ITA)]]</f>
        <v>0</v>
      </c>
      <c r="CS162" s="44">
        <f>Tabelle4[[#This Row],[Industry Funding from BR (IPK)]]+Tabelle4[[#This Row],[Industry Funding from BR (ITA)]]</f>
        <v>0</v>
      </c>
      <c r="CT162" s="44">
        <f>Tabelle4[[#This Row],[Total Public Funding (IPK)]]+Tabelle4[[#This Row],[Total Public Funding (ITA)]]</f>
        <v>0</v>
      </c>
      <c r="CU162" s="44">
        <f>Tabelle4[[#This Row],[Public Funding from DE (IPK)]]+Tabelle4[[#This Row],[Public Funding from DE (ITA)]]</f>
        <v>0</v>
      </c>
      <c r="CV162" s="44">
        <f>Tabelle4[[#This Row],[Public Funding from BR (IPK)]]+Tabelle4[[#This Row],[Public Funding from BR (ITA)]]</f>
        <v>0</v>
      </c>
      <c r="CW162" s="44">
        <f>Tabelle4[[#This Row],[Industry Funding from DE (FPC)]]+Tabelle4[[#This Row],[Public Funding from DE (FPC)]]</f>
        <v>0</v>
      </c>
      <c r="CX162" s="46">
        <f>Tabelle4[[#This Row],[Industry Funding from BR (FPC)]]+Tabelle4[[#This Row],[Public Funding from BR (FPC)]]</f>
        <v>0</v>
      </c>
      <c r="CY162" s="44">
        <f>Tabelle4[[#This Row],[Total Financial Budget (Other)]]+Tabelle4[[#This Row],[Total In-kind Contribution (Other)]]</f>
        <v>0</v>
      </c>
      <c r="CZ16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62" s="44">
        <f>Tabelle4[[#This Row],[In-kind Contribution (R&amp;D III)]]+Tabelle4[[#This Row],[In-kind Contribution (R&amp;D IV)]]</f>
        <v>0</v>
      </c>
      <c r="DB162" s="158">
        <f>Tabelle4[[#This Row],[Total Budget (FPC)]]+Tabelle4[[#This Row],[Total Volume (Other)]]</f>
        <v>0</v>
      </c>
      <c r="DC162" s="104">
        <f>Tabelle4[[#This Row],[Total Revenues (IPK)]]</f>
        <v>0</v>
      </c>
      <c r="DE162" s="44">
        <f>Tabelle4[[#This Row],[Total Revenues IPK]]*Tabelle4[[#This Row],[Probability of Success]]</f>
        <v>0</v>
      </c>
      <c r="DL162" s="44">
        <f>Tabelle4[[#This Row],[Real Budget IPK]]*Tabelle4[[#This Row],[Acquisition Factor OE810]]</f>
        <v>0</v>
      </c>
      <c r="DN162" s="46">
        <f>Tabelle4[[#This Row],[Acquisition Bonus OE810]]+Tabelle4[[#This Row],[Project Execution OE810]]</f>
        <v>0</v>
      </c>
    </row>
    <row r="163" spans="1:118" ht="27.75" x14ac:dyDescent="0.45">
      <c r="A163" s="42" t="s">
        <v>579</v>
      </c>
      <c r="B163" s="33" t="s">
        <v>580</v>
      </c>
      <c r="C163" s="57" t="s">
        <v>138</v>
      </c>
      <c r="D163" s="57" t="s">
        <v>705</v>
      </c>
      <c r="E163" s="33">
        <v>1</v>
      </c>
      <c r="G163" s="33" t="s">
        <v>2</v>
      </c>
      <c r="H163" s="33" t="s">
        <v>0</v>
      </c>
      <c r="J163" s="59">
        <v>43800</v>
      </c>
      <c r="K163" s="33" t="s">
        <v>244</v>
      </c>
      <c r="L163" s="43" t="s">
        <v>651</v>
      </c>
      <c r="M163" s="145"/>
      <c r="N163" s="147"/>
      <c r="O163" s="122"/>
      <c r="Q163" s="58"/>
      <c r="U163" s="97"/>
      <c r="V163" s="59">
        <v>43962</v>
      </c>
      <c r="W163" s="59">
        <v>44043</v>
      </c>
      <c r="Z163" s="42" t="str">
        <f t="shared" si="25"/>
        <v>IPK</v>
      </c>
      <c r="AG163" s="42" t="str">
        <f t="shared" si="26"/>
        <v>ITA</v>
      </c>
      <c r="AH163" s="33" t="s">
        <v>395</v>
      </c>
      <c r="AI163" s="33" t="s">
        <v>331</v>
      </c>
      <c r="AK163" s="64">
        <f>(61800/4.3111)</f>
        <v>14335.088492496116</v>
      </c>
      <c r="AM163" s="64"/>
      <c r="AO163" s="42"/>
      <c r="AV163" s="42"/>
      <c r="BC163" s="42"/>
      <c r="BE163" s="64"/>
      <c r="BF163" s="65"/>
      <c r="BU163" s="67"/>
      <c r="BY163" s="44">
        <f>Tabelle4[[#This Row],[Industry Funding from DE (IPK)]]+Tabelle4[[#This Row],[Industry Funding from BR (IPK)]]+Tabelle4[[#This Row],[Public Funding from DE (IPK)]]+Tabelle4[[#This Row],[Public Funding from BR (IPK)]]+Tabelle4[[#This Row],[In-kind Contribution (IPK)]]</f>
        <v>0</v>
      </c>
      <c r="BZ163" s="44">
        <f>Tabelle4[[#This Row],[Industry Funding from DE (IPK)]]+Tabelle4[[#This Row],[Industry Funding from BR (IPK)]]+Tabelle4[[#This Row],[Public Funding from DE (IPK)]]+Tabelle4[[#This Row],[Public Funding from BR (IPK)]]</f>
        <v>0</v>
      </c>
      <c r="CA163" s="44">
        <f>Tabelle4[[#This Row],[Industry Funding from DE (IPK)]]+Tabelle4[[#This Row],[Industry Funding from BR (IPK)]]</f>
        <v>0</v>
      </c>
      <c r="CB163" s="44">
        <f>Tabelle4[[#This Row],[Public Funding from DE (IPK)]]+Tabelle4[[#This Row],[Public Funding from BR (IPK)]]</f>
        <v>0</v>
      </c>
      <c r="CC163" s="44">
        <f>Tabelle4[[#This Row],[In-kind Contribution (IPK)]]</f>
        <v>0</v>
      </c>
      <c r="CD163" s="47" t="e">
        <f>(Tabelle4[[#This Row],[Total Industry Funding (IPK)]] + Tabelle4[[#This Row],[Total Public Funding (IPK)]])/Tabelle4[[#This Row],[Total Project Volume (IPK)]]</f>
        <v>#DIV/0!</v>
      </c>
      <c r="CE163" s="47" t="e">
        <f>Tabelle4[[#This Row],[Total Industry Funding (IPK)]] / Tabelle4[[#This Row],[Total Project Volume (IPK)]]</f>
        <v>#DIV/0!</v>
      </c>
      <c r="CF163" s="33" t="str">
        <f>Tabelle4[[#This Row],[Project Funding Classification]]</f>
        <v>Industry</v>
      </c>
      <c r="CG163" s="44">
        <f>Tabelle4[[#This Row],[Industry Funding from DE (IPK)]]+Tabelle4[[#This Row],[Public Funding from DE (IPK)]]</f>
        <v>0</v>
      </c>
      <c r="CH163" s="46">
        <f>Tabelle4[[#This Row],[Industry Funding from BR (IPK)]]+Tabelle4[[#This Row],[Public Funding from BR (IPK)]]</f>
        <v>0</v>
      </c>
      <c r="CI163" s="44">
        <f>Tabelle4[[#This Row],[Industry Funding from DE (ITA)]]+Tabelle4[[#This Row],[Industry Funding from BR (ITA)]]+Tabelle4[[#This Row],[Public Funding from DE (ITA)]]+Tabelle4[[#This Row],[Public Funding from BR (ITA)]]</f>
        <v>14335.088492496116</v>
      </c>
      <c r="CJ163" s="44">
        <f>Tabelle4[[#This Row],[Industry Funding from DE (ITA)]]+Tabelle4[[#This Row],[Industry Funding from BR (ITA)]]</f>
        <v>14335.088492496116</v>
      </c>
      <c r="CK163" s="44">
        <f>Tabelle4[[#This Row],[Public Funding from DE (ITA)]]+Tabelle4[[#This Row],[Public Funding from BR (ITA)]]</f>
        <v>0</v>
      </c>
      <c r="CL163" s="47">
        <f>Tabelle4[[#This Row],[Total Industry Funding (ITA)]]/Tabelle4[[#This Row],[Total Project Volume (ITA)]]</f>
        <v>1</v>
      </c>
      <c r="CM163" s="33" t="str">
        <f>IF(Tabelle4[[#This Row],[Funding Ratio (ITA)]]&lt;0.5,"Public Funding","Industry")</f>
        <v>Industry</v>
      </c>
      <c r="CN163" s="44">
        <f>Tabelle4[[#This Row],[Industry Funding from DE (ITA)]]+Tabelle4[[#This Row],[Public Funding from DE (ITA)]]</f>
        <v>0</v>
      </c>
      <c r="CO163" s="46">
        <f>Tabelle4[[#This Row],[Industry Funding from BR (ITA)]]+Tabelle4[[#This Row],[Public Funding from BR (ITA)]]</f>
        <v>14335.088492496116</v>
      </c>
      <c r="CP163" s="44">
        <f>Tabelle4[[#This Row],[Total Project Volume (IPK)]]+Tabelle4[[#This Row],[Total Project Volume (ITA)]]</f>
        <v>14335.088492496116</v>
      </c>
      <c r="CQ163" s="44">
        <f>Tabelle4[[#This Row],[Total Industry Funding (IPK)]]+Tabelle4[[#This Row],[Total Industry Funding (ITA)]]</f>
        <v>14335.088492496116</v>
      </c>
      <c r="CR163" s="44">
        <f>Tabelle4[[#This Row],[Industry Funding from DE (IPK)]]+Tabelle4[[#This Row],[Industry Funding from DE (ITA)]]</f>
        <v>0</v>
      </c>
      <c r="CS163" s="44">
        <f>Tabelle4[[#This Row],[Industry Funding from BR (IPK)]]+Tabelle4[[#This Row],[Industry Funding from BR (ITA)]]</f>
        <v>14335.088492496116</v>
      </c>
      <c r="CT163" s="44">
        <f>Tabelle4[[#This Row],[Total Public Funding (IPK)]]+Tabelle4[[#This Row],[Total Public Funding (ITA)]]</f>
        <v>0</v>
      </c>
      <c r="CU163" s="44">
        <f>Tabelle4[[#This Row],[Public Funding from DE (IPK)]]+Tabelle4[[#This Row],[Public Funding from DE (ITA)]]</f>
        <v>0</v>
      </c>
      <c r="CV163" s="44">
        <f>Tabelle4[[#This Row],[Public Funding from BR (IPK)]]+Tabelle4[[#This Row],[Public Funding from BR (ITA)]]</f>
        <v>0</v>
      </c>
      <c r="CW163" s="44">
        <f>Tabelle4[[#This Row],[Industry Funding from DE (FPC)]]+Tabelle4[[#This Row],[Public Funding from DE (FPC)]]</f>
        <v>0</v>
      </c>
      <c r="CX163" s="46">
        <f>Tabelle4[[#This Row],[Industry Funding from BR (FPC)]]+Tabelle4[[#This Row],[Public Funding from BR (FPC)]]</f>
        <v>14335.088492496116</v>
      </c>
      <c r="CY163" s="44">
        <f>Tabelle4[[#This Row],[Total Financial Budget (Other)]]+Tabelle4[[#This Row],[Total In-kind Contribution (Other)]]</f>
        <v>0</v>
      </c>
      <c r="CZ16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63" s="44">
        <f>Tabelle4[[#This Row],[In-kind Contribution (R&amp;D III)]]+Tabelle4[[#This Row],[In-kind Contribution (R&amp;D IV)]]</f>
        <v>0</v>
      </c>
      <c r="DB163" s="158">
        <f>Tabelle4[[#This Row],[Total Budget (FPC)]]+Tabelle4[[#This Row],[Total Volume (Other)]]</f>
        <v>14335.088492496116</v>
      </c>
      <c r="DC163" s="104">
        <f>Tabelle4[[#This Row],[Total Revenues (IPK)]]</f>
        <v>0</v>
      </c>
      <c r="DE163" s="44">
        <f>Tabelle4[[#This Row],[Total Revenues IPK]]*Tabelle4[[#This Row],[Probability of Success]]</f>
        <v>0</v>
      </c>
      <c r="DL163" s="44">
        <f>Tabelle4[[#This Row],[Real Budget IPK]]*Tabelle4[[#This Row],[Acquisition Factor OE810]]</f>
        <v>0</v>
      </c>
      <c r="DN163" s="46">
        <f>Tabelle4[[#This Row],[Acquisition Bonus OE810]]+Tabelle4[[#This Row],[Project Execution OE810]]</f>
        <v>0</v>
      </c>
    </row>
    <row r="164" spans="1:118" ht="41.65" x14ac:dyDescent="0.45">
      <c r="A164" s="70" t="s">
        <v>400</v>
      </c>
      <c r="B164" s="33" t="s">
        <v>694</v>
      </c>
      <c r="C164" s="33" t="s">
        <v>863</v>
      </c>
      <c r="D164" s="33" t="s">
        <v>709</v>
      </c>
      <c r="E164" s="33">
        <v>5</v>
      </c>
      <c r="F164" s="33">
        <v>0</v>
      </c>
      <c r="G164" s="33" t="s">
        <v>2</v>
      </c>
      <c r="H164" s="33" t="s">
        <v>96</v>
      </c>
      <c r="I164" s="33" t="s">
        <v>862</v>
      </c>
      <c r="J164" s="59">
        <v>43717</v>
      </c>
      <c r="K164" s="33" t="s">
        <v>243</v>
      </c>
      <c r="L164" s="43" t="s">
        <v>308</v>
      </c>
      <c r="M164" s="144">
        <v>5.48</v>
      </c>
      <c r="N164" s="33" t="s">
        <v>671</v>
      </c>
      <c r="Q164" s="33">
        <v>30</v>
      </c>
      <c r="S164" s="59">
        <v>43717</v>
      </c>
      <c r="U164" s="59">
        <v>43767</v>
      </c>
      <c r="V164" s="59">
        <v>44211</v>
      </c>
      <c r="Y164" s="59">
        <v>44293</v>
      </c>
      <c r="Z164" s="42" t="str">
        <f t="shared" si="25"/>
        <v>IPK</v>
      </c>
      <c r="AG164" s="42" t="str">
        <f t="shared" si="26"/>
        <v>ITA</v>
      </c>
      <c r="AH164" s="33" t="s">
        <v>438</v>
      </c>
      <c r="AI164" s="33" t="s">
        <v>438</v>
      </c>
      <c r="AJ164" s="104">
        <v>0</v>
      </c>
      <c r="AM164" s="104">
        <f>1892397.27/Tabelle4[[#This Row],[EUR exchange rate against BRL]]</f>
        <v>345327.96897810214</v>
      </c>
      <c r="AO164" s="42"/>
      <c r="AV164" s="42"/>
      <c r="BC164" s="42" t="s">
        <v>525</v>
      </c>
      <c r="BD164" s="33" t="s">
        <v>526</v>
      </c>
      <c r="BF164" s="65"/>
      <c r="BY164" s="44">
        <f>Tabelle4[[#This Row],[Industry Funding from DE (IPK)]]+Tabelle4[[#This Row],[Industry Funding from BR (IPK)]]+Tabelle4[[#This Row],[Public Funding from DE (IPK)]]+Tabelle4[[#This Row],[Public Funding from BR (IPK)]]+Tabelle4[[#This Row],[In-kind Contribution (IPK)]]</f>
        <v>0</v>
      </c>
      <c r="BZ164" s="44">
        <f>Tabelle4[[#This Row],[Industry Funding from DE (IPK)]]+Tabelle4[[#This Row],[Industry Funding from BR (IPK)]]+Tabelle4[[#This Row],[Public Funding from DE (IPK)]]+Tabelle4[[#This Row],[Public Funding from BR (IPK)]]</f>
        <v>0</v>
      </c>
      <c r="CA164" s="44">
        <f>Tabelle4[[#This Row],[Industry Funding from DE (IPK)]]+Tabelle4[[#This Row],[Industry Funding from BR (IPK)]]</f>
        <v>0</v>
      </c>
      <c r="CB164" s="44">
        <f>Tabelle4[[#This Row],[Public Funding from DE (IPK)]]+Tabelle4[[#This Row],[Public Funding from BR (IPK)]]</f>
        <v>0</v>
      </c>
      <c r="CC164" s="44">
        <f>Tabelle4[[#This Row],[In-kind Contribution (IPK)]]</f>
        <v>0</v>
      </c>
      <c r="CD164" s="47" t="e">
        <f>(Tabelle4[[#This Row],[Total Industry Funding (IPK)]] + Tabelle4[[#This Row],[Total Public Funding (IPK)]])/Tabelle4[[#This Row],[Total Project Volume (IPK)]]</f>
        <v>#DIV/0!</v>
      </c>
      <c r="CE164" s="47" t="e">
        <f>Tabelle4[[#This Row],[Total Industry Funding (IPK)]] / Tabelle4[[#This Row],[Total Project Volume (IPK)]]</f>
        <v>#DIV/0!</v>
      </c>
      <c r="CF164" s="33" t="str">
        <f>Tabelle4[[#This Row],[Project Funding Classification]]</f>
        <v>Public Funding</v>
      </c>
      <c r="CG164" s="44">
        <f>Tabelle4[[#This Row],[Industry Funding from DE (IPK)]]+Tabelle4[[#This Row],[Public Funding from DE (IPK)]]</f>
        <v>0</v>
      </c>
      <c r="CH164" s="46">
        <f>Tabelle4[[#This Row],[Industry Funding from BR (IPK)]]+Tabelle4[[#This Row],[Public Funding from BR (IPK)]]</f>
        <v>0</v>
      </c>
      <c r="CI164" s="44">
        <f>Tabelle4[[#This Row],[Industry Funding from DE (ITA)]]+Tabelle4[[#This Row],[Industry Funding from BR (ITA)]]+Tabelle4[[#This Row],[Public Funding from DE (ITA)]]+Tabelle4[[#This Row],[Public Funding from BR (ITA)]]</f>
        <v>345327.96897810214</v>
      </c>
      <c r="CJ164" s="44">
        <f>Tabelle4[[#This Row],[Industry Funding from DE (ITA)]]+Tabelle4[[#This Row],[Industry Funding from BR (ITA)]]</f>
        <v>0</v>
      </c>
      <c r="CK164" s="44">
        <f>Tabelle4[[#This Row],[Public Funding from DE (ITA)]]+Tabelle4[[#This Row],[Public Funding from BR (ITA)]]</f>
        <v>345327.96897810214</v>
      </c>
      <c r="CL164" s="47">
        <f>Tabelle4[[#This Row],[Total Industry Funding (ITA)]]/Tabelle4[[#This Row],[Total Project Volume (ITA)]]</f>
        <v>0</v>
      </c>
      <c r="CM164" s="33" t="str">
        <f>IF(Tabelle4[[#This Row],[Funding Ratio (ITA)]]&lt;0.5,"Public Funding","Industry")</f>
        <v>Public Funding</v>
      </c>
      <c r="CN164" s="44">
        <f>Tabelle4[[#This Row],[Industry Funding from DE (ITA)]]+Tabelle4[[#This Row],[Public Funding from DE (ITA)]]</f>
        <v>0</v>
      </c>
      <c r="CO164" s="46">
        <f>Tabelle4[[#This Row],[Industry Funding from BR (ITA)]]+Tabelle4[[#This Row],[Public Funding from BR (ITA)]]</f>
        <v>345327.96897810214</v>
      </c>
      <c r="CP164" s="44">
        <f>Tabelle4[[#This Row],[Total Project Volume (IPK)]]+Tabelle4[[#This Row],[Total Project Volume (ITA)]]</f>
        <v>345327.96897810214</v>
      </c>
      <c r="CQ164" s="44">
        <f>Tabelle4[[#This Row],[Total Industry Funding (IPK)]]+Tabelle4[[#This Row],[Total Industry Funding (ITA)]]</f>
        <v>0</v>
      </c>
      <c r="CR164" s="44">
        <f>Tabelle4[[#This Row],[Industry Funding from DE (IPK)]]+Tabelle4[[#This Row],[Industry Funding from DE (ITA)]]</f>
        <v>0</v>
      </c>
      <c r="CS164" s="44">
        <f>Tabelle4[[#This Row],[Industry Funding from BR (IPK)]]+Tabelle4[[#This Row],[Industry Funding from BR (ITA)]]</f>
        <v>0</v>
      </c>
      <c r="CT164" s="44">
        <f>Tabelle4[[#This Row],[Total Public Funding (IPK)]]+Tabelle4[[#This Row],[Total Public Funding (ITA)]]</f>
        <v>345327.96897810214</v>
      </c>
      <c r="CU164" s="44">
        <f>Tabelle4[[#This Row],[Public Funding from DE (IPK)]]+Tabelle4[[#This Row],[Public Funding from DE (ITA)]]</f>
        <v>0</v>
      </c>
      <c r="CV164" s="44">
        <f>Tabelle4[[#This Row],[Public Funding from BR (IPK)]]+Tabelle4[[#This Row],[Public Funding from BR (ITA)]]</f>
        <v>345327.96897810214</v>
      </c>
      <c r="CW164" s="44">
        <f>Tabelle4[[#This Row],[Industry Funding from DE (FPC)]]+Tabelle4[[#This Row],[Public Funding from DE (FPC)]]</f>
        <v>0</v>
      </c>
      <c r="CX164" s="46">
        <f>Tabelle4[[#This Row],[Industry Funding from BR (FPC)]]+Tabelle4[[#This Row],[Public Funding from BR (FPC)]]</f>
        <v>345327.96897810214</v>
      </c>
      <c r="CY164" s="44">
        <f>Tabelle4[[#This Row],[Total Financial Budget (Other)]]+Tabelle4[[#This Row],[Total In-kind Contribution (Other)]]</f>
        <v>0</v>
      </c>
      <c r="CZ16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64" s="44">
        <f>Tabelle4[[#This Row],[In-kind Contribution (R&amp;D III)]]+Tabelle4[[#This Row],[In-kind Contribution (R&amp;D IV)]]</f>
        <v>0</v>
      </c>
      <c r="DB164" s="158">
        <f>Tabelle4[[#This Row],[Total Budget (FPC)]]+Tabelle4[[#This Row],[Total Volume (Other)]]</f>
        <v>345327.96897810214</v>
      </c>
      <c r="DC164" s="104">
        <f>Tabelle4[[#This Row],[Total Revenues (IPK)]]</f>
        <v>0</v>
      </c>
      <c r="DE164" s="44">
        <f>Tabelle4[[#This Row],[Total Revenues IPK]]*Tabelle4[[#This Row],[Probability of Success]]</f>
        <v>0</v>
      </c>
      <c r="DL164" s="44">
        <f>Tabelle4[[#This Row],[Real Budget IPK]]*Tabelle4[[#This Row],[Acquisition Factor OE810]]</f>
        <v>0</v>
      </c>
      <c r="DN164" s="46">
        <f>Tabelle4[[#This Row],[Acquisition Bonus OE810]]+Tabelle4[[#This Row],[Project Execution OE810]]</f>
        <v>0</v>
      </c>
    </row>
    <row r="165" spans="1:118" ht="27.75" x14ac:dyDescent="0.45">
      <c r="A165" s="70" t="s">
        <v>318</v>
      </c>
      <c r="B165" s="33" t="s">
        <v>317</v>
      </c>
      <c r="C165" s="57" t="s">
        <v>166</v>
      </c>
      <c r="D165" s="57" t="s">
        <v>708</v>
      </c>
      <c r="E165" s="33">
        <v>1</v>
      </c>
      <c r="F165" s="33">
        <v>0</v>
      </c>
      <c r="G165" s="33" t="s">
        <v>2</v>
      </c>
      <c r="H165" s="33" t="s">
        <v>0</v>
      </c>
      <c r="K165" s="33" t="s">
        <v>246</v>
      </c>
      <c r="L165" s="43" t="s">
        <v>309</v>
      </c>
      <c r="Q165" s="58">
        <v>24</v>
      </c>
      <c r="R165" s="60"/>
      <c r="S165" s="60"/>
      <c r="T165" s="60"/>
      <c r="U165" s="60"/>
      <c r="Y165" s="59">
        <v>43878</v>
      </c>
      <c r="Z165" s="42" t="s">
        <v>1</v>
      </c>
      <c r="AG165" s="42" t="s">
        <v>2</v>
      </c>
      <c r="AH165" s="33" t="s">
        <v>315</v>
      </c>
      <c r="AI165" s="33" t="s">
        <v>316</v>
      </c>
      <c r="AK165" s="64">
        <f>(1200000/4.3111)</f>
        <v>278351.23286400223</v>
      </c>
      <c r="AL165" s="64"/>
      <c r="AO165" s="42"/>
      <c r="AV165" s="42"/>
      <c r="BC165" s="42" t="s">
        <v>166</v>
      </c>
      <c r="BE165" s="64">
        <f>(1200000/4.3111)</f>
        <v>278351.23286400223</v>
      </c>
      <c r="BF165" s="65"/>
      <c r="BY165" s="44">
        <f>Tabelle4[[#This Row],[Industry Funding from DE (IPK)]]+Tabelle4[[#This Row],[Industry Funding from BR (IPK)]]+Tabelle4[[#This Row],[Public Funding from DE (IPK)]]+Tabelle4[[#This Row],[Public Funding from BR (IPK)]]+Tabelle4[[#This Row],[In-kind Contribution (IPK)]]</f>
        <v>0</v>
      </c>
      <c r="BZ165" s="44">
        <f>Tabelle4[[#This Row],[Industry Funding from DE (IPK)]]+Tabelle4[[#This Row],[Industry Funding from BR (IPK)]]+Tabelle4[[#This Row],[Public Funding from DE (IPK)]]+Tabelle4[[#This Row],[Public Funding from BR (IPK)]]</f>
        <v>0</v>
      </c>
      <c r="CA165" s="44">
        <f>Tabelle4[[#This Row],[Industry Funding from DE (IPK)]]+Tabelle4[[#This Row],[Industry Funding from BR (IPK)]]</f>
        <v>0</v>
      </c>
      <c r="CB165" s="44">
        <f>Tabelle4[[#This Row],[Public Funding from DE (IPK)]]+Tabelle4[[#This Row],[Public Funding from BR (IPK)]]</f>
        <v>0</v>
      </c>
      <c r="CC165" s="44">
        <f>Tabelle4[[#This Row],[In-kind Contribution (IPK)]]</f>
        <v>0</v>
      </c>
      <c r="CD165" s="47" t="e">
        <f>(Tabelle4[[#This Row],[Total Industry Funding (IPK)]] + Tabelle4[[#This Row],[Total Public Funding (IPK)]])/Tabelle4[[#This Row],[Total Project Volume (IPK)]]</f>
        <v>#DIV/0!</v>
      </c>
      <c r="CE165" s="47" t="e">
        <f>Tabelle4[[#This Row],[Total Industry Funding (IPK)]] / Tabelle4[[#This Row],[Total Project Volume (IPK)]]</f>
        <v>#DIV/0!</v>
      </c>
      <c r="CF165" s="33" t="str">
        <f>Tabelle4[[#This Row],[Project Funding Classification]]</f>
        <v>Industry</v>
      </c>
      <c r="CG165" s="44">
        <f>Tabelle4[[#This Row],[Industry Funding from DE (IPK)]]+Tabelle4[[#This Row],[Public Funding from DE (IPK)]]</f>
        <v>0</v>
      </c>
      <c r="CH165" s="46">
        <f>Tabelle4[[#This Row],[Industry Funding from BR (IPK)]]+Tabelle4[[#This Row],[Public Funding from BR (IPK)]]</f>
        <v>0</v>
      </c>
      <c r="CI165" s="44">
        <f>Tabelle4[[#This Row],[Industry Funding from DE (ITA)]]+Tabelle4[[#This Row],[Industry Funding from BR (ITA)]]+Tabelle4[[#This Row],[Public Funding from DE (ITA)]]+Tabelle4[[#This Row],[Public Funding from BR (ITA)]]</f>
        <v>278351.23286400223</v>
      </c>
      <c r="CJ165" s="44">
        <f>Tabelle4[[#This Row],[Industry Funding from DE (ITA)]]+Tabelle4[[#This Row],[Industry Funding from BR (ITA)]]</f>
        <v>278351.23286400223</v>
      </c>
      <c r="CK165" s="44">
        <f>Tabelle4[[#This Row],[Public Funding from DE (ITA)]]+Tabelle4[[#This Row],[Public Funding from BR (ITA)]]</f>
        <v>0</v>
      </c>
      <c r="CL165" s="47">
        <f>Tabelle4[[#This Row],[Total Industry Funding (ITA)]]/Tabelle4[[#This Row],[Total Project Volume (ITA)]]</f>
        <v>1</v>
      </c>
      <c r="CM165" s="33" t="str">
        <f>IF(Tabelle4[[#This Row],[Funding Ratio (ITA)]]&lt;0.5,"Public Funding","Industry")</f>
        <v>Industry</v>
      </c>
      <c r="CN165" s="44">
        <f>Tabelle4[[#This Row],[Industry Funding from DE (ITA)]]+Tabelle4[[#This Row],[Public Funding from DE (ITA)]]</f>
        <v>0</v>
      </c>
      <c r="CO165" s="46">
        <f>Tabelle4[[#This Row],[Industry Funding from BR (ITA)]]+Tabelle4[[#This Row],[Public Funding from BR (ITA)]]</f>
        <v>278351.23286400223</v>
      </c>
      <c r="CP165" s="44">
        <f>Tabelle4[[#This Row],[Total Project Volume (IPK)]]+Tabelle4[[#This Row],[Total Project Volume (ITA)]]</f>
        <v>278351.23286400223</v>
      </c>
      <c r="CQ165" s="44">
        <f>Tabelle4[[#This Row],[Total Industry Funding (IPK)]]+Tabelle4[[#This Row],[Total Industry Funding (ITA)]]</f>
        <v>278351.23286400223</v>
      </c>
      <c r="CR165" s="44">
        <f>Tabelle4[[#This Row],[Industry Funding from DE (IPK)]]+Tabelle4[[#This Row],[Industry Funding from DE (ITA)]]</f>
        <v>0</v>
      </c>
      <c r="CS165" s="44">
        <f>Tabelle4[[#This Row],[Industry Funding from BR (IPK)]]+Tabelle4[[#This Row],[Industry Funding from BR (ITA)]]</f>
        <v>278351.23286400223</v>
      </c>
      <c r="CT165" s="44">
        <f>Tabelle4[[#This Row],[Total Public Funding (IPK)]]+Tabelle4[[#This Row],[Total Public Funding (ITA)]]</f>
        <v>0</v>
      </c>
      <c r="CU165" s="44">
        <f>Tabelle4[[#This Row],[Public Funding from DE (IPK)]]+Tabelle4[[#This Row],[Public Funding from DE (ITA)]]</f>
        <v>0</v>
      </c>
      <c r="CV165" s="44">
        <f>Tabelle4[[#This Row],[Public Funding from BR (IPK)]]+Tabelle4[[#This Row],[Public Funding from BR (ITA)]]</f>
        <v>0</v>
      </c>
      <c r="CW165" s="44">
        <f>Tabelle4[[#This Row],[Industry Funding from DE (FPC)]]+Tabelle4[[#This Row],[Public Funding from DE (FPC)]]</f>
        <v>0</v>
      </c>
      <c r="CX165" s="46">
        <f>Tabelle4[[#This Row],[Industry Funding from BR (FPC)]]+Tabelle4[[#This Row],[Public Funding from BR (FPC)]]</f>
        <v>278351.23286400223</v>
      </c>
      <c r="CY165" s="44">
        <f>Tabelle4[[#This Row],[Total Financial Budget (Other)]]+Tabelle4[[#This Row],[Total In-kind Contribution (Other)]]</f>
        <v>0</v>
      </c>
      <c r="CZ16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65" s="44">
        <f>Tabelle4[[#This Row],[In-kind Contribution (R&amp;D III)]]+Tabelle4[[#This Row],[In-kind Contribution (R&amp;D IV)]]</f>
        <v>0</v>
      </c>
      <c r="DB165" s="158">
        <f>Tabelle4[[#This Row],[Total Budget (FPC)]]+Tabelle4[[#This Row],[Total Volume (Other)]]</f>
        <v>278351.23286400223</v>
      </c>
      <c r="DC165" s="104">
        <f>Tabelle4[[#This Row],[Total Revenues (IPK)]]</f>
        <v>0</v>
      </c>
      <c r="DE165" s="44">
        <f>Tabelle4[[#This Row],[Total Revenues IPK]]*Tabelle4[[#This Row],[Probability of Success]]</f>
        <v>0</v>
      </c>
      <c r="DL165" s="44">
        <f>Tabelle4[[#This Row],[Real Budget IPK]]*Tabelle4[[#This Row],[Acquisition Factor OE810]]</f>
        <v>0</v>
      </c>
      <c r="DN165" s="46">
        <f>Tabelle4[[#This Row],[Acquisition Bonus OE810]]+Tabelle4[[#This Row],[Project Execution OE810]]</f>
        <v>0</v>
      </c>
    </row>
    <row r="166" spans="1:118" x14ac:dyDescent="0.45">
      <c r="A166" s="42" t="s">
        <v>176</v>
      </c>
      <c r="C166" s="33" t="s">
        <v>177</v>
      </c>
      <c r="D166" s="33" t="s">
        <v>711</v>
      </c>
      <c r="G166" s="33" t="s">
        <v>97</v>
      </c>
      <c r="H166" s="33" t="s">
        <v>0</v>
      </c>
      <c r="J166" s="59">
        <v>43470</v>
      </c>
      <c r="K166" s="33" t="s">
        <v>245</v>
      </c>
      <c r="L166" s="33" t="s">
        <v>651</v>
      </c>
      <c r="Q166" s="33">
        <v>12</v>
      </c>
      <c r="V166" s="59">
        <v>43760</v>
      </c>
      <c r="W166" s="59">
        <v>43810</v>
      </c>
      <c r="X166" s="59">
        <v>44530</v>
      </c>
      <c r="Z166" s="42" t="str">
        <f>"IPK"</f>
        <v>IPK</v>
      </c>
      <c r="AA166" s="33" t="s">
        <v>141</v>
      </c>
      <c r="AC166" s="61">
        <v>20625</v>
      </c>
      <c r="AG166" s="42" t="str">
        <f>"ITA"</f>
        <v>ITA</v>
      </c>
      <c r="AH166" s="33" t="s">
        <v>130</v>
      </c>
      <c r="AI166" s="33" t="s">
        <v>130</v>
      </c>
      <c r="AM166" s="64">
        <f>(1100000/4.3111)</f>
        <v>255155.29679200205</v>
      </c>
      <c r="AO166" s="42"/>
      <c r="AV166" s="42"/>
      <c r="BC166" s="42" t="s">
        <v>177</v>
      </c>
      <c r="BD166" s="33" t="s">
        <v>474</v>
      </c>
      <c r="BE166" s="61">
        <v>422202</v>
      </c>
      <c r="BF166" s="65"/>
      <c r="BY166" s="44">
        <f>Tabelle4[[#This Row],[Industry Funding from DE (IPK)]]+Tabelle4[[#This Row],[Industry Funding from BR (IPK)]]+Tabelle4[[#This Row],[Public Funding from DE (IPK)]]+Tabelle4[[#This Row],[Public Funding from BR (IPK)]]+Tabelle4[[#This Row],[In-kind Contribution (IPK)]]</f>
        <v>20625</v>
      </c>
      <c r="BZ166" s="44">
        <f>Tabelle4[[#This Row],[Industry Funding from DE (IPK)]]+Tabelle4[[#This Row],[Industry Funding from BR (IPK)]]+Tabelle4[[#This Row],[Public Funding from DE (IPK)]]+Tabelle4[[#This Row],[Public Funding from BR (IPK)]]</f>
        <v>20625</v>
      </c>
      <c r="CA166" s="44">
        <f>Tabelle4[[#This Row],[Industry Funding from DE (IPK)]]+Tabelle4[[#This Row],[Industry Funding from BR (IPK)]]</f>
        <v>20625</v>
      </c>
      <c r="CB166" s="44">
        <f>Tabelle4[[#This Row],[Public Funding from DE (IPK)]]+Tabelle4[[#This Row],[Public Funding from BR (IPK)]]</f>
        <v>0</v>
      </c>
      <c r="CC166" s="44">
        <f>Tabelle4[[#This Row],[In-kind Contribution (IPK)]]</f>
        <v>0</v>
      </c>
      <c r="CD166" s="47">
        <f>(Tabelle4[[#This Row],[Total Industry Funding (IPK)]] + Tabelle4[[#This Row],[Total Public Funding (IPK)]])/Tabelle4[[#This Row],[Total Project Volume (IPK)]]</f>
        <v>1</v>
      </c>
      <c r="CE166" s="47">
        <f>Tabelle4[[#This Row],[Total Industry Funding (IPK)]] / Tabelle4[[#This Row],[Total Project Volume (IPK)]]</f>
        <v>1</v>
      </c>
      <c r="CF166" s="33" t="str">
        <f>Tabelle4[[#This Row],[Project Funding Classification]]</f>
        <v>Industry</v>
      </c>
      <c r="CG166" s="44">
        <f>Tabelle4[[#This Row],[Industry Funding from DE (IPK)]]+Tabelle4[[#This Row],[Public Funding from DE (IPK)]]</f>
        <v>0</v>
      </c>
      <c r="CH166" s="46">
        <f>Tabelle4[[#This Row],[Industry Funding from BR (IPK)]]+Tabelle4[[#This Row],[Public Funding from BR (IPK)]]</f>
        <v>20625</v>
      </c>
      <c r="CI166" s="44">
        <f>Tabelle4[[#This Row],[Industry Funding from DE (ITA)]]+Tabelle4[[#This Row],[Industry Funding from BR (ITA)]]+Tabelle4[[#This Row],[Public Funding from DE (ITA)]]+Tabelle4[[#This Row],[Public Funding from BR (ITA)]]</f>
        <v>255155.29679200205</v>
      </c>
      <c r="CJ166" s="44">
        <f>Tabelle4[[#This Row],[Industry Funding from DE (ITA)]]+Tabelle4[[#This Row],[Industry Funding from BR (ITA)]]</f>
        <v>0</v>
      </c>
      <c r="CK166" s="44">
        <f>Tabelle4[[#This Row],[Public Funding from DE (ITA)]]+Tabelle4[[#This Row],[Public Funding from BR (ITA)]]</f>
        <v>255155.29679200205</v>
      </c>
      <c r="CL166" s="47">
        <f>Tabelle4[[#This Row],[Total Industry Funding (ITA)]]/Tabelle4[[#This Row],[Total Project Volume (ITA)]]</f>
        <v>0</v>
      </c>
      <c r="CM166" s="33" t="str">
        <f>IF(Tabelle4[[#This Row],[Funding Ratio (ITA)]]&lt;0.5,"Public Funding","Industry")</f>
        <v>Public Funding</v>
      </c>
      <c r="CN166" s="44">
        <f>Tabelle4[[#This Row],[Industry Funding from DE (ITA)]]+Tabelle4[[#This Row],[Public Funding from DE (ITA)]]</f>
        <v>0</v>
      </c>
      <c r="CO166" s="46">
        <f>Tabelle4[[#This Row],[Industry Funding from BR (ITA)]]+Tabelle4[[#This Row],[Public Funding from BR (ITA)]]</f>
        <v>255155.29679200205</v>
      </c>
      <c r="CP166" s="44">
        <f>Tabelle4[[#This Row],[Total Project Volume (IPK)]]+Tabelle4[[#This Row],[Total Project Volume (ITA)]]</f>
        <v>275780.29679200205</v>
      </c>
      <c r="CQ166" s="44">
        <f>Tabelle4[[#This Row],[Total Industry Funding (IPK)]]+Tabelle4[[#This Row],[Total Industry Funding (ITA)]]</f>
        <v>20625</v>
      </c>
      <c r="CR166" s="44">
        <f>Tabelle4[[#This Row],[Industry Funding from DE (IPK)]]+Tabelle4[[#This Row],[Industry Funding from DE (ITA)]]</f>
        <v>0</v>
      </c>
      <c r="CS166" s="44">
        <f>Tabelle4[[#This Row],[Industry Funding from BR (IPK)]]+Tabelle4[[#This Row],[Industry Funding from BR (ITA)]]</f>
        <v>20625</v>
      </c>
      <c r="CT166" s="44">
        <f>Tabelle4[[#This Row],[Total Public Funding (IPK)]]+Tabelle4[[#This Row],[Total Public Funding (ITA)]]</f>
        <v>255155.29679200205</v>
      </c>
      <c r="CU166" s="44">
        <f>Tabelle4[[#This Row],[Public Funding from DE (IPK)]]+Tabelle4[[#This Row],[Public Funding from DE (ITA)]]</f>
        <v>0</v>
      </c>
      <c r="CV166" s="44">
        <f>Tabelle4[[#This Row],[Public Funding from BR (IPK)]]+Tabelle4[[#This Row],[Public Funding from BR (ITA)]]</f>
        <v>255155.29679200205</v>
      </c>
      <c r="CW166" s="44">
        <f>Tabelle4[[#This Row],[Industry Funding from DE (FPC)]]+Tabelle4[[#This Row],[Public Funding from DE (FPC)]]</f>
        <v>0</v>
      </c>
      <c r="CX166" s="46">
        <f>Tabelle4[[#This Row],[Industry Funding from BR (FPC)]]+Tabelle4[[#This Row],[Public Funding from BR (FPC)]]</f>
        <v>275780.29679200205</v>
      </c>
      <c r="CY166" s="44">
        <f>Tabelle4[[#This Row],[Total Financial Budget (Other)]]+Tabelle4[[#This Row],[Total In-kind Contribution (Other)]]</f>
        <v>0</v>
      </c>
      <c r="CZ16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66" s="44">
        <f>Tabelle4[[#This Row],[In-kind Contribution (R&amp;D III)]]+Tabelle4[[#This Row],[In-kind Contribution (R&amp;D IV)]]</f>
        <v>0</v>
      </c>
      <c r="DB166" s="158">
        <f>Tabelle4[[#This Row],[Total Budget (FPC)]]+Tabelle4[[#This Row],[Total Volume (Other)]]</f>
        <v>275780.29679200205</v>
      </c>
      <c r="DC166" s="104">
        <f>Tabelle4[[#This Row],[Total Revenues (IPK)]]</f>
        <v>20625</v>
      </c>
      <c r="DD166" s="47">
        <v>1</v>
      </c>
      <c r="DE166" s="44">
        <f>Tabelle4[[#This Row],[Total Revenues IPK]]*Tabelle4[[#This Row],[Probability of Success]]</f>
        <v>20625</v>
      </c>
      <c r="DK166" s="47">
        <v>0.2</v>
      </c>
      <c r="DL166" s="44">
        <f>Tabelle4[[#This Row],[Real Budget IPK]]*Tabelle4[[#This Row],[Acquisition Factor OE810]]</f>
        <v>4125</v>
      </c>
      <c r="DM166" s="44">
        <v>2000</v>
      </c>
      <c r="DN166" s="46">
        <f>Tabelle4[[#This Row],[Acquisition Bonus OE810]]+Tabelle4[[#This Row],[Project Execution OE810]]</f>
        <v>6125</v>
      </c>
    </row>
    <row r="167" spans="1:118" ht="27.75" x14ac:dyDescent="0.45">
      <c r="A167" s="70" t="s">
        <v>168</v>
      </c>
      <c r="B167" s="48"/>
      <c r="C167" s="49" t="s">
        <v>169</v>
      </c>
      <c r="D167" s="49" t="s">
        <v>709</v>
      </c>
      <c r="E167" s="49"/>
      <c r="F167" s="49"/>
      <c r="G167" s="49" t="s">
        <v>2</v>
      </c>
      <c r="H167" s="49" t="s">
        <v>0</v>
      </c>
      <c r="I167" s="49"/>
      <c r="J167" s="50"/>
      <c r="K167" s="49" t="s">
        <v>244</v>
      </c>
      <c r="L167" s="49" t="s">
        <v>651</v>
      </c>
      <c r="M167" s="146"/>
      <c r="N167" s="49"/>
      <c r="O167" s="50"/>
      <c r="P167" s="50"/>
      <c r="Q167" s="49">
        <v>13</v>
      </c>
      <c r="R167" s="50"/>
      <c r="S167" s="50"/>
      <c r="T167" s="50"/>
      <c r="U167" s="50"/>
      <c r="V167" s="50">
        <v>43745</v>
      </c>
      <c r="W167" s="50">
        <v>43762</v>
      </c>
      <c r="X167" s="50"/>
      <c r="Y167" s="50"/>
      <c r="Z167" s="48" t="str">
        <f>"IPK"</f>
        <v>IPK</v>
      </c>
      <c r="AA167" s="49"/>
      <c r="AB167" s="105"/>
      <c r="AC167" s="105"/>
      <c r="AD167" s="105"/>
      <c r="AE167" s="105"/>
      <c r="AF167" s="105"/>
      <c r="AG167" s="48" t="str">
        <f>"ITA"</f>
        <v>ITA</v>
      </c>
      <c r="AH167" s="33" t="s">
        <v>439</v>
      </c>
      <c r="AI167" s="33" t="s">
        <v>320</v>
      </c>
      <c r="AM167" s="104">
        <v>33333</v>
      </c>
      <c r="AO167" s="48"/>
      <c r="AP167" s="49"/>
      <c r="AQ167" s="105"/>
      <c r="AR167" s="105"/>
      <c r="AS167" s="105"/>
      <c r="AT167" s="105"/>
      <c r="AU167" s="105"/>
      <c r="AV167" s="48"/>
      <c r="AW167" s="49"/>
      <c r="AX167" s="105"/>
      <c r="AY167" s="105"/>
      <c r="AZ167" s="105"/>
      <c r="BA167" s="105"/>
      <c r="BB167" s="105"/>
      <c r="BC167" s="48" t="s">
        <v>169</v>
      </c>
      <c r="BD167" s="49"/>
      <c r="BE167" s="105">
        <v>33333</v>
      </c>
      <c r="BF167" s="102"/>
      <c r="BG167" s="49"/>
      <c r="BH167" s="49"/>
      <c r="BI167" s="105"/>
      <c r="BJ167" s="102"/>
      <c r="BK167" s="49"/>
      <c r="BL167" s="49"/>
      <c r="BM167" s="105"/>
      <c r="BN167" s="102"/>
      <c r="BO167" s="49"/>
      <c r="BP167" s="49"/>
      <c r="BQ167" s="105"/>
      <c r="BR167" s="102"/>
      <c r="BS167" s="49"/>
      <c r="BT167" s="49"/>
      <c r="BU167" s="102"/>
      <c r="BV167" s="49"/>
      <c r="BW167" s="49"/>
      <c r="BX167" s="102"/>
      <c r="BY167" s="51">
        <f>Tabelle4[[#This Row],[Industry Funding from DE (IPK)]]+Tabelle4[[#This Row],[Industry Funding from BR (IPK)]]+Tabelle4[[#This Row],[Public Funding from DE (IPK)]]+Tabelle4[[#This Row],[Public Funding from BR (IPK)]]+Tabelle4[[#This Row],[In-kind Contribution (IPK)]]</f>
        <v>0</v>
      </c>
      <c r="BZ167" s="51">
        <f>Tabelle4[[#This Row],[Industry Funding from DE (IPK)]]+Tabelle4[[#This Row],[Industry Funding from BR (IPK)]]+Tabelle4[[#This Row],[Public Funding from DE (IPK)]]+Tabelle4[[#This Row],[Public Funding from BR (IPK)]]</f>
        <v>0</v>
      </c>
      <c r="CA167" s="51">
        <f>Tabelle4[[#This Row],[Industry Funding from DE (IPK)]]+Tabelle4[[#This Row],[Industry Funding from BR (IPK)]]</f>
        <v>0</v>
      </c>
      <c r="CB167" s="51">
        <f>Tabelle4[[#This Row],[Public Funding from DE (IPK)]]+Tabelle4[[#This Row],[Public Funding from BR (IPK)]]</f>
        <v>0</v>
      </c>
      <c r="CC167" s="51">
        <f>Tabelle4[[#This Row],[In-kind Contribution (IPK)]]</f>
        <v>0</v>
      </c>
      <c r="CD167" s="53" t="e">
        <f>(Tabelle4[[#This Row],[Total Industry Funding (IPK)]] + Tabelle4[[#This Row],[Total Public Funding (IPK)]])/Tabelle4[[#This Row],[Total Project Volume (IPK)]]</f>
        <v>#DIV/0!</v>
      </c>
      <c r="CE167" s="53" t="e">
        <f>Tabelle4[[#This Row],[Total Industry Funding (IPK)]] / Tabelle4[[#This Row],[Total Project Volume (IPK)]]</f>
        <v>#DIV/0!</v>
      </c>
      <c r="CF167" s="49" t="str">
        <f>Tabelle4[[#This Row],[Project Funding Classification]]</f>
        <v>Industry</v>
      </c>
      <c r="CG167" s="51">
        <f>Tabelle4[[#This Row],[Industry Funding from DE (IPK)]]+Tabelle4[[#This Row],[Public Funding from DE (IPK)]]</f>
        <v>0</v>
      </c>
      <c r="CH167" s="52">
        <f>Tabelle4[[#This Row],[Industry Funding from BR (IPK)]]+Tabelle4[[#This Row],[Public Funding from BR (IPK)]]</f>
        <v>0</v>
      </c>
      <c r="CI167" s="51">
        <f>Tabelle4[[#This Row],[Industry Funding from DE (ITA)]]+Tabelle4[[#This Row],[Industry Funding from BR (ITA)]]+Tabelle4[[#This Row],[Public Funding from DE (ITA)]]+Tabelle4[[#This Row],[Public Funding from BR (ITA)]]</f>
        <v>33333</v>
      </c>
      <c r="CJ167" s="51">
        <f>Tabelle4[[#This Row],[Industry Funding from DE (ITA)]]+Tabelle4[[#This Row],[Industry Funding from BR (ITA)]]</f>
        <v>0</v>
      </c>
      <c r="CK167" s="51">
        <f>Tabelle4[[#This Row],[Public Funding from DE (ITA)]]+Tabelle4[[#This Row],[Public Funding from BR (ITA)]]</f>
        <v>33333</v>
      </c>
      <c r="CL167" s="53">
        <f>Tabelle4[[#This Row],[Total Industry Funding (ITA)]]/Tabelle4[[#This Row],[Total Project Volume (ITA)]]</f>
        <v>0</v>
      </c>
      <c r="CM167" s="49" t="str">
        <f>IF(Tabelle4[[#This Row],[Funding Ratio (ITA)]]&lt;0.5,"Public Funding","Industry")</f>
        <v>Public Funding</v>
      </c>
      <c r="CN167" s="51">
        <f>Tabelle4[[#This Row],[Industry Funding from DE (ITA)]]+Tabelle4[[#This Row],[Public Funding from DE (ITA)]]</f>
        <v>0</v>
      </c>
      <c r="CO167" s="52">
        <f>Tabelle4[[#This Row],[Industry Funding from BR (ITA)]]+Tabelle4[[#This Row],[Public Funding from BR (ITA)]]</f>
        <v>33333</v>
      </c>
      <c r="CP167" s="51">
        <f>Tabelle4[[#This Row],[Total Project Volume (IPK)]]+Tabelle4[[#This Row],[Total Project Volume (ITA)]]</f>
        <v>33333</v>
      </c>
      <c r="CQ167" s="51">
        <f>Tabelle4[[#This Row],[Total Industry Funding (IPK)]]+Tabelle4[[#This Row],[Total Industry Funding (ITA)]]</f>
        <v>0</v>
      </c>
      <c r="CR167" s="51">
        <f>Tabelle4[[#This Row],[Industry Funding from DE (IPK)]]+Tabelle4[[#This Row],[Industry Funding from DE (ITA)]]</f>
        <v>0</v>
      </c>
      <c r="CS167" s="51">
        <f>Tabelle4[[#This Row],[Industry Funding from BR (IPK)]]+Tabelle4[[#This Row],[Industry Funding from BR (ITA)]]</f>
        <v>0</v>
      </c>
      <c r="CT167" s="51">
        <f>Tabelle4[[#This Row],[Total Public Funding (IPK)]]+Tabelle4[[#This Row],[Total Public Funding (ITA)]]</f>
        <v>33333</v>
      </c>
      <c r="CU167" s="51">
        <f>Tabelle4[[#This Row],[Public Funding from DE (IPK)]]+Tabelle4[[#This Row],[Public Funding from DE (ITA)]]</f>
        <v>0</v>
      </c>
      <c r="CV167" s="51">
        <f>Tabelle4[[#This Row],[Public Funding from BR (IPK)]]+Tabelle4[[#This Row],[Public Funding from BR (ITA)]]</f>
        <v>33333</v>
      </c>
      <c r="CW167" s="51">
        <f>Tabelle4[[#This Row],[Industry Funding from DE (FPC)]]+Tabelle4[[#This Row],[Public Funding from DE (FPC)]]</f>
        <v>0</v>
      </c>
      <c r="CX167" s="52">
        <f>Tabelle4[[#This Row],[Industry Funding from BR (FPC)]]+Tabelle4[[#This Row],[Public Funding from BR (FPC)]]</f>
        <v>33333</v>
      </c>
      <c r="CY167" s="44">
        <f>Tabelle4[[#This Row],[Total Financial Budget (Other)]]+Tabelle4[[#This Row],[Total In-kind Contribution (Other)]]</f>
        <v>0</v>
      </c>
      <c r="CZ167"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67" s="44">
        <f>Tabelle4[[#This Row],[In-kind Contribution (R&amp;D III)]]+Tabelle4[[#This Row],[In-kind Contribution (R&amp;D IV)]]</f>
        <v>0</v>
      </c>
      <c r="DB167" s="158">
        <f>Tabelle4[[#This Row],[Total Budget (FPC)]]+Tabelle4[[#This Row],[Total Volume (Other)]]</f>
        <v>33333</v>
      </c>
      <c r="DC167" s="105">
        <f>Tabelle4[[#This Row],[Total Revenues (IPK)]]</f>
        <v>0</v>
      </c>
      <c r="DD167" s="53"/>
      <c r="DE167" s="51">
        <f>Tabelle4[[#This Row],[Total Revenues IPK]]*Tabelle4[[#This Row],[Probability of Success]]</f>
        <v>0</v>
      </c>
      <c r="DF167" s="51"/>
      <c r="DG167" s="51"/>
      <c r="DH167" s="51"/>
      <c r="DI167" s="51"/>
      <c r="DJ167" s="51"/>
      <c r="DK167" s="53"/>
      <c r="DL167" s="51">
        <f>Tabelle4[[#This Row],[Real Budget IPK]]*Tabelle4[[#This Row],[Acquisition Factor OE810]]</f>
        <v>0</v>
      </c>
      <c r="DM167" s="51">
        <v>0</v>
      </c>
      <c r="DN167" s="52">
        <f>Tabelle4[[#This Row],[Acquisition Bonus OE810]]+Tabelle4[[#This Row],[Project Execution OE810]]</f>
        <v>0</v>
      </c>
    </row>
    <row r="168" spans="1:118" ht="41.65" x14ac:dyDescent="0.45">
      <c r="A168" s="70" t="s">
        <v>359</v>
      </c>
      <c r="B168" s="33" t="s">
        <v>360</v>
      </c>
      <c r="C168" s="57" t="s">
        <v>359</v>
      </c>
      <c r="D168" s="57" t="s">
        <v>709</v>
      </c>
      <c r="E168" s="33">
        <v>1</v>
      </c>
      <c r="F168" s="33">
        <v>0</v>
      </c>
      <c r="G168" s="33" t="s">
        <v>2</v>
      </c>
      <c r="H168" s="33" t="s">
        <v>0</v>
      </c>
      <c r="J168" s="59">
        <v>43717</v>
      </c>
      <c r="K168" s="33" t="s">
        <v>246</v>
      </c>
      <c r="L168" s="59" t="s">
        <v>309</v>
      </c>
      <c r="Q168" s="58"/>
      <c r="R168" s="60"/>
      <c r="S168" s="60">
        <v>43717</v>
      </c>
      <c r="T168" s="60"/>
      <c r="U168" s="60"/>
      <c r="Z168" s="42" t="s">
        <v>1</v>
      </c>
      <c r="AG168" s="42" t="s">
        <v>2</v>
      </c>
      <c r="AH168" s="33" t="s">
        <v>437</v>
      </c>
      <c r="AI168" s="33" t="s">
        <v>130</v>
      </c>
      <c r="AJ168" s="104">
        <v>0</v>
      </c>
      <c r="AK168" s="104">
        <v>0</v>
      </c>
      <c r="AL168" s="64"/>
      <c r="AO168" s="42"/>
      <c r="AV168" s="42"/>
      <c r="BC168" s="42"/>
      <c r="BF168" s="65"/>
      <c r="BY168" s="44">
        <f>Tabelle4[[#This Row],[Industry Funding from DE (IPK)]]+Tabelle4[[#This Row],[Industry Funding from BR (IPK)]]+Tabelle4[[#This Row],[Public Funding from DE (IPK)]]+Tabelle4[[#This Row],[Public Funding from BR (IPK)]]+Tabelle4[[#This Row],[In-kind Contribution (IPK)]]</f>
        <v>0</v>
      </c>
      <c r="BZ168" s="44">
        <f>Tabelle4[[#This Row],[Industry Funding from DE (IPK)]]+Tabelle4[[#This Row],[Industry Funding from BR (IPK)]]+Tabelle4[[#This Row],[Public Funding from DE (IPK)]]+Tabelle4[[#This Row],[Public Funding from BR (IPK)]]</f>
        <v>0</v>
      </c>
      <c r="CA168" s="44">
        <f>Tabelle4[[#This Row],[Industry Funding from DE (IPK)]]+Tabelle4[[#This Row],[Industry Funding from BR (IPK)]]</f>
        <v>0</v>
      </c>
      <c r="CB168" s="44">
        <f>Tabelle4[[#This Row],[Public Funding from DE (IPK)]]+Tabelle4[[#This Row],[Public Funding from BR (IPK)]]</f>
        <v>0</v>
      </c>
      <c r="CC168" s="44">
        <f>Tabelle4[[#This Row],[In-kind Contribution (IPK)]]</f>
        <v>0</v>
      </c>
      <c r="CD168" s="47" t="e">
        <f>(Tabelle4[[#This Row],[Total Industry Funding (IPK)]] + Tabelle4[[#This Row],[Total Public Funding (IPK)]])/Tabelle4[[#This Row],[Total Project Volume (IPK)]]</f>
        <v>#DIV/0!</v>
      </c>
      <c r="CE168" s="47" t="e">
        <f>Tabelle4[[#This Row],[Total Industry Funding (IPK)]] / Tabelle4[[#This Row],[Total Project Volume (IPK)]]</f>
        <v>#DIV/0!</v>
      </c>
      <c r="CF168" s="33" t="str">
        <f>Tabelle4[[#This Row],[Project Funding Classification]]</f>
        <v>Industry</v>
      </c>
      <c r="CG168" s="44">
        <f>Tabelle4[[#This Row],[Industry Funding from DE (IPK)]]+Tabelle4[[#This Row],[Public Funding from DE (IPK)]]</f>
        <v>0</v>
      </c>
      <c r="CH168" s="46">
        <f>Tabelle4[[#This Row],[Industry Funding from BR (IPK)]]+Tabelle4[[#This Row],[Public Funding from BR (IPK)]]</f>
        <v>0</v>
      </c>
      <c r="CI168" s="44">
        <f>Tabelle4[[#This Row],[Industry Funding from DE (ITA)]]+Tabelle4[[#This Row],[Industry Funding from BR (ITA)]]+Tabelle4[[#This Row],[Public Funding from DE (ITA)]]+Tabelle4[[#This Row],[Public Funding from BR (ITA)]]</f>
        <v>0</v>
      </c>
      <c r="CJ168" s="44">
        <f>Tabelle4[[#This Row],[Industry Funding from DE (ITA)]]+Tabelle4[[#This Row],[Industry Funding from BR (ITA)]]</f>
        <v>0</v>
      </c>
      <c r="CK168" s="44">
        <f>Tabelle4[[#This Row],[Public Funding from DE (ITA)]]+Tabelle4[[#This Row],[Public Funding from BR (ITA)]]</f>
        <v>0</v>
      </c>
      <c r="CL168" s="47" t="e">
        <f>Tabelle4[[#This Row],[Total Industry Funding (ITA)]]/Tabelle4[[#This Row],[Total Project Volume (ITA)]]</f>
        <v>#DIV/0!</v>
      </c>
      <c r="CM168" s="33" t="e">
        <f>IF(Tabelle4[[#This Row],[Funding Ratio (ITA)]]&lt;0.5,"Public Funding","Industry")</f>
        <v>#DIV/0!</v>
      </c>
      <c r="CN168" s="44">
        <f>Tabelle4[[#This Row],[Industry Funding from DE (ITA)]]+Tabelle4[[#This Row],[Public Funding from DE (ITA)]]</f>
        <v>0</v>
      </c>
      <c r="CO168" s="46">
        <f>Tabelle4[[#This Row],[Industry Funding from BR (ITA)]]+Tabelle4[[#This Row],[Public Funding from BR (ITA)]]</f>
        <v>0</v>
      </c>
      <c r="CP168" s="44">
        <f>Tabelle4[[#This Row],[Total Project Volume (IPK)]]+Tabelle4[[#This Row],[Total Project Volume (ITA)]]</f>
        <v>0</v>
      </c>
      <c r="CQ168" s="44">
        <f>Tabelle4[[#This Row],[Total Industry Funding (IPK)]]+Tabelle4[[#This Row],[Total Industry Funding (ITA)]]</f>
        <v>0</v>
      </c>
      <c r="CR168" s="44">
        <f>Tabelle4[[#This Row],[Industry Funding from DE (IPK)]]+Tabelle4[[#This Row],[Industry Funding from DE (ITA)]]</f>
        <v>0</v>
      </c>
      <c r="CS168" s="44">
        <f>Tabelle4[[#This Row],[Industry Funding from BR (IPK)]]+Tabelle4[[#This Row],[Industry Funding from BR (ITA)]]</f>
        <v>0</v>
      </c>
      <c r="CT168" s="44">
        <f>Tabelle4[[#This Row],[Total Public Funding (IPK)]]+Tabelle4[[#This Row],[Total Public Funding (ITA)]]</f>
        <v>0</v>
      </c>
      <c r="CU168" s="44">
        <f>Tabelle4[[#This Row],[Public Funding from DE (IPK)]]+Tabelle4[[#This Row],[Public Funding from DE (ITA)]]</f>
        <v>0</v>
      </c>
      <c r="CV168" s="44">
        <f>Tabelle4[[#This Row],[Public Funding from BR (IPK)]]+Tabelle4[[#This Row],[Public Funding from BR (ITA)]]</f>
        <v>0</v>
      </c>
      <c r="CW168" s="44">
        <f>Tabelle4[[#This Row],[Industry Funding from DE (FPC)]]+Tabelle4[[#This Row],[Public Funding from DE (FPC)]]</f>
        <v>0</v>
      </c>
      <c r="CX168" s="46">
        <f>Tabelle4[[#This Row],[Industry Funding from BR (FPC)]]+Tabelle4[[#This Row],[Public Funding from BR (FPC)]]</f>
        <v>0</v>
      </c>
      <c r="CY168" s="44">
        <f>Tabelle4[[#This Row],[Total Financial Budget (Other)]]+Tabelle4[[#This Row],[Total In-kind Contribution (Other)]]</f>
        <v>0</v>
      </c>
      <c r="CZ16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68" s="44">
        <f>Tabelle4[[#This Row],[In-kind Contribution (R&amp;D III)]]+Tabelle4[[#This Row],[In-kind Contribution (R&amp;D IV)]]</f>
        <v>0</v>
      </c>
      <c r="DB168" s="158">
        <f>Tabelle4[[#This Row],[Total Budget (FPC)]]+Tabelle4[[#This Row],[Total Volume (Other)]]</f>
        <v>0</v>
      </c>
      <c r="DC168" s="104">
        <f>Tabelle4[[#This Row],[Total Revenues (IPK)]]</f>
        <v>0</v>
      </c>
      <c r="DE168" s="44">
        <f>Tabelle4[[#This Row],[Total Revenues IPK]]*Tabelle4[[#This Row],[Probability of Success]]</f>
        <v>0</v>
      </c>
      <c r="DL168" s="44">
        <f>Tabelle4[[#This Row],[Real Budget IPK]]*Tabelle4[[#This Row],[Acquisition Factor OE810]]</f>
        <v>0</v>
      </c>
      <c r="DN168" s="46">
        <f>Tabelle4[[#This Row],[Acquisition Bonus OE810]]+Tabelle4[[#This Row],[Project Execution OE810]]</f>
        <v>0</v>
      </c>
    </row>
    <row r="169" spans="1:118" ht="55.5" x14ac:dyDescent="0.45">
      <c r="A169" s="70" t="s">
        <v>381</v>
      </c>
      <c r="B169" s="33" t="s">
        <v>382</v>
      </c>
      <c r="C169" s="33" t="s">
        <v>383</v>
      </c>
      <c r="D169" s="33" t="s">
        <v>709</v>
      </c>
      <c r="E169" s="33">
        <v>4</v>
      </c>
      <c r="F169" s="33">
        <v>0</v>
      </c>
      <c r="G169" s="33" t="s">
        <v>2</v>
      </c>
      <c r="H169" s="33" t="s">
        <v>0</v>
      </c>
      <c r="I169" s="33" t="s">
        <v>528</v>
      </c>
      <c r="K169" s="33" t="s">
        <v>244</v>
      </c>
      <c r="L169" s="59" t="s">
        <v>651</v>
      </c>
      <c r="M169" s="144">
        <v>6.65</v>
      </c>
      <c r="N169" s="33" t="s">
        <v>645</v>
      </c>
      <c r="Q169" s="58">
        <v>17</v>
      </c>
      <c r="R169" s="60"/>
      <c r="S169" s="60"/>
      <c r="T169" s="60"/>
      <c r="U169" s="60"/>
      <c r="V169" s="59">
        <v>43717</v>
      </c>
      <c r="W169" s="71">
        <v>44125</v>
      </c>
      <c r="Z169" s="42" t="str">
        <f t="shared" ref="Z169:Z189" si="27">"IPK"</f>
        <v>IPK</v>
      </c>
      <c r="AB169" s="104"/>
      <c r="AC169" s="104"/>
      <c r="AD169" s="104"/>
      <c r="AE169" s="104"/>
      <c r="AF169" s="104"/>
      <c r="AG169" s="42" t="str">
        <f t="shared" ref="AG169:AG189" si="28">"ITA"</f>
        <v>ITA</v>
      </c>
      <c r="AH169" s="33" t="s">
        <v>337</v>
      </c>
      <c r="AI169" s="33" t="s">
        <v>337</v>
      </c>
      <c r="AK169" s="104">
        <f>(300000/M169)</f>
        <v>45112.781954887214</v>
      </c>
      <c r="AO169" s="42"/>
      <c r="AQ169" s="104"/>
      <c r="AR169" s="104"/>
      <c r="AS169" s="104"/>
      <c r="AT169" s="104"/>
      <c r="AU169" s="104"/>
      <c r="AV169" s="42"/>
      <c r="AX169" s="104"/>
      <c r="AY169" s="104"/>
      <c r="AZ169" s="104"/>
      <c r="BA169" s="104"/>
      <c r="BB169" s="104"/>
      <c r="BC169" s="42" t="s">
        <v>446</v>
      </c>
      <c r="BE169" s="104">
        <f>(300000/M169)</f>
        <v>45112.781954887214</v>
      </c>
      <c r="BF169" s="101"/>
      <c r="BG169" s="117" t="s">
        <v>426</v>
      </c>
      <c r="BI169" s="104"/>
      <c r="BJ169" s="101"/>
      <c r="BK169" s="117" t="s">
        <v>427</v>
      </c>
      <c r="BM169" s="104"/>
      <c r="BN169" s="101"/>
      <c r="BO169" s="117" t="s">
        <v>428</v>
      </c>
      <c r="BQ169" s="104"/>
      <c r="BR169" s="101"/>
      <c r="BU169" s="101"/>
      <c r="BX169" s="101"/>
      <c r="BY169" s="44">
        <f>Tabelle4[[#This Row],[Industry Funding from DE (IPK)]]+Tabelle4[[#This Row],[Industry Funding from BR (IPK)]]+Tabelle4[[#This Row],[Public Funding from DE (IPK)]]+Tabelle4[[#This Row],[Public Funding from BR (IPK)]]+Tabelle4[[#This Row],[In-kind Contribution (IPK)]]</f>
        <v>0</v>
      </c>
      <c r="BZ169" s="44">
        <f>Tabelle4[[#This Row],[Industry Funding from DE (IPK)]]+Tabelle4[[#This Row],[Industry Funding from BR (IPK)]]+Tabelle4[[#This Row],[Public Funding from DE (IPK)]]+Tabelle4[[#This Row],[Public Funding from BR (IPK)]]</f>
        <v>0</v>
      </c>
      <c r="CA169" s="44">
        <f>Tabelle4[[#This Row],[Industry Funding from DE (IPK)]]+Tabelle4[[#This Row],[Industry Funding from BR (IPK)]]</f>
        <v>0</v>
      </c>
      <c r="CB169" s="44">
        <f>Tabelle4[[#This Row],[Public Funding from DE (IPK)]]+Tabelle4[[#This Row],[Public Funding from BR (IPK)]]</f>
        <v>0</v>
      </c>
      <c r="CC169" s="44">
        <f>Tabelle4[[#This Row],[In-kind Contribution (IPK)]]</f>
        <v>0</v>
      </c>
      <c r="CD169" s="47" t="e">
        <f>(Tabelle4[[#This Row],[Total Industry Funding (IPK)]] + Tabelle4[[#This Row],[Total Public Funding (IPK)]])/Tabelle4[[#This Row],[Total Project Volume (IPK)]]</f>
        <v>#DIV/0!</v>
      </c>
      <c r="CE169" s="47" t="e">
        <f>Tabelle4[[#This Row],[Total Industry Funding (IPK)]] / Tabelle4[[#This Row],[Total Project Volume (IPK)]]</f>
        <v>#DIV/0!</v>
      </c>
      <c r="CF169" s="33" t="str">
        <f>Tabelle4[[#This Row],[Project Funding Classification]]</f>
        <v>Industry</v>
      </c>
      <c r="CG169" s="44">
        <f>Tabelle4[[#This Row],[Industry Funding from DE (IPK)]]+Tabelle4[[#This Row],[Public Funding from DE (IPK)]]</f>
        <v>0</v>
      </c>
      <c r="CH169" s="46">
        <f>Tabelle4[[#This Row],[Industry Funding from BR (IPK)]]+Tabelle4[[#This Row],[Public Funding from BR (IPK)]]</f>
        <v>0</v>
      </c>
      <c r="CI169" s="44">
        <f>Tabelle4[[#This Row],[Industry Funding from DE (ITA)]]+Tabelle4[[#This Row],[Industry Funding from BR (ITA)]]+Tabelle4[[#This Row],[Public Funding from DE (ITA)]]+Tabelle4[[#This Row],[Public Funding from BR (ITA)]]</f>
        <v>45112.781954887214</v>
      </c>
      <c r="CJ169" s="44">
        <f>Tabelle4[[#This Row],[Industry Funding from DE (ITA)]]+Tabelle4[[#This Row],[Industry Funding from BR (ITA)]]</f>
        <v>45112.781954887214</v>
      </c>
      <c r="CK169" s="44">
        <f>Tabelle4[[#This Row],[Public Funding from DE (ITA)]]+Tabelle4[[#This Row],[Public Funding from BR (ITA)]]</f>
        <v>0</v>
      </c>
      <c r="CL169" s="47">
        <f>Tabelle4[[#This Row],[Total Industry Funding (ITA)]]/Tabelle4[[#This Row],[Total Project Volume (ITA)]]</f>
        <v>1</v>
      </c>
      <c r="CM169" s="33" t="str">
        <f>IF(Tabelle4[[#This Row],[Funding Ratio (ITA)]]&lt;0.5,"Public Funding","Industry")</f>
        <v>Industry</v>
      </c>
      <c r="CN169" s="44">
        <f>Tabelle4[[#This Row],[Industry Funding from DE (ITA)]]+Tabelle4[[#This Row],[Public Funding from DE (ITA)]]</f>
        <v>0</v>
      </c>
      <c r="CO169" s="46">
        <f>Tabelle4[[#This Row],[Industry Funding from BR (ITA)]]+Tabelle4[[#This Row],[Public Funding from BR (ITA)]]</f>
        <v>45112.781954887214</v>
      </c>
      <c r="CP169" s="44">
        <f>Tabelle4[[#This Row],[Total Project Volume (IPK)]]+Tabelle4[[#This Row],[Total Project Volume (ITA)]]</f>
        <v>45112.781954887214</v>
      </c>
      <c r="CQ169" s="44">
        <f>Tabelle4[[#This Row],[Total Industry Funding (IPK)]]+Tabelle4[[#This Row],[Total Industry Funding (ITA)]]</f>
        <v>45112.781954887214</v>
      </c>
      <c r="CR169" s="44">
        <f>Tabelle4[[#This Row],[Industry Funding from DE (IPK)]]+Tabelle4[[#This Row],[Industry Funding from DE (ITA)]]</f>
        <v>0</v>
      </c>
      <c r="CS169" s="44">
        <f>Tabelle4[[#This Row],[Industry Funding from BR (IPK)]]+Tabelle4[[#This Row],[Industry Funding from BR (ITA)]]</f>
        <v>45112.781954887214</v>
      </c>
      <c r="CT169" s="44">
        <f>Tabelle4[[#This Row],[Total Public Funding (IPK)]]+Tabelle4[[#This Row],[Total Public Funding (ITA)]]</f>
        <v>0</v>
      </c>
      <c r="CU169" s="44">
        <f>Tabelle4[[#This Row],[Public Funding from DE (IPK)]]+Tabelle4[[#This Row],[Public Funding from DE (ITA)]]</f>
        <v>0</v>
      </c>
      <c r="CV169" s="44">
        <f>Tabelle4[[#This Row],[Public Funding from BR (IPK)]]+Tabelle4[[#This Row],[Public Funding from BR (ITA)]]</f>
        <v>0</v>
      </c>
      <c r="CW169" s="44">
        <f>Tabelle4[[#This Row],[Industry Funding from DE (FPC)]]+Tabelle4[[#This Row],[Public Funding from DE (FPC)]]</f>
        <v>0</v>
      </c>
      <c r="CX169" s="46">
        <f>Tabelle4[[#This Row],[Industry Funding from BR (FPC)]]+Tabelle4[[#This Row],[Public Funding from BR (FPC)]]</f>
        <v>45112.781954887214</v>
      </c>
      <c r="CY169" s="44">
        <f>Tabelle4[[#This Row],[Total Financial Budget (Other)]]+Tabelle4[[#This Row],[Total In-kind Contribution (Other)]]</f>
        <v>0</v>
      </c>
      <c r="CZ16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69" s="44">
        <f>Tabelle4[[#This Row],[In-kind Contribution (R&amp;D III)]]+Tabelle4[[#This Row],[In-kind Contribution (R&amp;D IV)]]</f>
        <v>0</v>
      </c>
      <c r="DB169" s="158">
        <f>Tabelle4[[#This Row],[Total Budget (FPC)]]+Tabelle4[[#This Row],[Total Volume (Other)]]</f>
        <v>45112.781954887214</v>
      </c>
      <c r="DC169" s="104">
        <f>Tabelle4[[#This Row],[Total Revenues (IPK)]]</f>
        <v>0</v>
      </c>
      <c r="DE169" s="44">
        <f>Tabelle4[[#This Row],[Total Revenues IPK]]*Tabelle4[[#This Row],[Probability of Success]]</f>
        <v>0</v>
      </c>
      <c r="DL169" s="44">
        <f>Tabelle4[[#This Row],[Real Budget IPK]]*Tabelle4[[#This Row],[Acquisition Factor OE810]]</f>
        <v>0</v>
      </c>
      <c r="DN169" s="46">
        <f>Tabelle4[[#This Row],[Acquisition Bonus OE810]]+Tabelle4[[#This Row],[Project Execution OE810]]</f>
        <v>0</v>
      </c>
    </row>
    <row r="170" spans="1:118" x14ac:dyDescent="0.45">
      <c r="A170" s="42" t="s">
        <v>162</v>
      </c>
      <c r="C170" s="33" t="s">
        <v>163</v>
      </c>
      <c r="D170" s="33" t="s">
        <v>711</v>
      </c>
      <c r="G170" s="33" t="s">
        <v>1</v>
      </c>
      <c r="H170" s="33" t="s">
        <v>96</v>
      </c>
      <c r="K170" s="33" t="s">
        <v>245</v>
      </c>
      <c r="Q170" s="33">
        <v>6</v>
      </c>
      <c r="U170" s="59">
        <v>43556</v>
      </c>
      <c r="V170" s="59">
        <v>43635</v>
      </c>
      <c r="W170" s="59">
        <v>44105</v>
      </c>
      <c r="X170" s="59">
        <v>44530</v>
      </c>
      <c r="Z170" s="42" t="str">
        <f t="shared" si="27"/>
        <v>IPK</v>
      </c>
      <c r="AA170" s="33" t="s">
        <v>141</v>
      </c>
      <c r="AC170" s="61">
        <v>75000</v>
      </c>
      <c r="AG170" s="42" t="str">
        <f t="shared" si="28"/>
        <v>ITA</v>
      </c>
      <c r="AO170" s="42"/>
      <c r="AV170" s="42"/>
      <c r="BC170" s="42"/>
      <c r="BF170" s="65"/>
      <c r="BS170" s="33" t="s">
        <v>622</v>
      </c>
      <c r="BT170" s="33" t="s">
        <v>568</v>
      </c>
      <c r="BU170" s="65">
        <v>75000</v>
      </c>
      <c r="BY170" s="44">
        <f>Tabelle4[[#This Row],[Industry Funding from DE (IPK)]]+Tabelle4[[#This Row],[Industry Funding from BR (IPK)]]+Tabelle4[[#This Row],[Public Funding from DE (IPK)]]+Tabelle4[[#This Row],[Public Funding from BR (IPK)]]+Tabelle4[[#This Row],[In-kind Contribution (IPK)]]</f>
        <v>75000</v>
      </c>
      <c r="BZ170" s="44">
        <f>Tabelle4[[#This Row],[Industry Funding from DE (IPK)]]+Tabelle4[[#This Row],[Industry Funding from BR (IPK)]]+Tabelle4[[#This Row],[Public Funding from DE (IPK)]]+Tabelle4[[#This Row],[Public Funding from BR (IPK)]]</f>
        <v>75000</v>
      </c>
      <c r="CA170" s="44">
        <f>Tabelle4[[#This Row],[Industry Funding from DE (IPK)]]+Tabelle4[[#This Row],[Industry Funding from BR (IPK)]]</f>
        <v>75000</v>
      </c>
      <c r="CB170" s="44">
        <f>Tabelle4[[#This Row],[Public Funding from DE (IPK)]]+Tabelle4[[#This Row],[Public Funding from BR (IPK)]]</f>
        <v>0</v>
      </c>
      <c r="CC170" s="44">
        <f>Tabelle4[[#This Row],[In-kind Contribution (IPK)]]</f>
        <v>0</v>
      </c>
      <c r="CD170" s="47">
        <f>(Tabelle4[[#This Row],[Total Industry Funding (IPK)]] + Tabelle4[[#This Row],[Total Public Funding (IPK)]])/Tabelle4[[#This Row],[Total Project Volume (IPK)]]</f>
        <v>1</v>
      </c>
      <c r="CE170" s="47">
        <f>Tabelle4[[#This Row],[Total Industry Funding (IPK)]] / Tabelle4[[#This Row],[Total Project Volume (IPK)]]</f>
        <v>1</v>
      </c>
      <c r="CF170" s="33" t="str">
        <f>Tabelle4[[#This Row],[Project Funding Classification]]</f>
        <v>Public Funding</v>
      </c>
      <c r="CG170" s="44">
        <f>Tabelle4[[#This Row],[Industry Funding from DE (IPK)]]+Tabelle4[[#This Row],[Public Funding from DE (IPK)]]</f>
        <v>0</v>
      </c>
      <c r="CH170" s="46">
        <f>Tabelle4[[#This Row],[Industry Funding from BR (IPK)]]+Tabelle4[[#This Row],[Public Funding from BR (IPK)]]</f>
        <v>75000</v>
      </c>
      <c r="CI170" s="44">
        <f>Tabelle4[[#This Row],[Industry Funding from DE (ITA)]]+Tabelle4[[#This Row],[Industry Funding from BR (ITA)]]+Tabelle4[[#This Row],[Public Funding from DE (ITA)]]+Tabelle4[[#This Row],[Public Funding from BR (ITA)]]</f>
        <v>0</v>
      </c>
      <c r="CJ170" s="44">
        <f>Tabelle4[[#This Row],[Industry Funding from DE (ITA)]]+Tabelle4[[#This Row],[Industry Funding from BR (ITA)]]</f>
        <v>0</v>
      </c>
      <c r="CK170" s="44">
        <f>Tabelle4[[#This Row],[Public Funding from DE (ITA)]]+Tabelle4[[#This Row],[Public Funding from BR (ITA)]]</f>
        <v>0</v>
      </c>
      <c r="CL170" s="47" t="e">
        <f>Tabelle4[[#This Row],[Total Industry Funding (ITA)]]/Tabelle4[[#This Row],[Total Project Volume (ITA)]]</f>
        <v>#DIV/0!</v>
      </c>
      <c r="CM170" s="33" t="e">
        <f>IF(Tabelle4[[#This Row],[Funding Ratio (ITA)]]&lt;0.5,"Public Funding","Industry")</f>
        <v>#DIV/0!</v>
      </c>
      <c r="CN170" s="44">
        <f>Tabelle4[[#This Row],[Industry Funding from DE (ITA)]]+Tabelle4[[#This Row],[Public Funding from DE (ITA)]]</f>
        <v>0</v>
      </c>
      <c r="CO170" s="46">
        <f>Tabelle4[[#This Row],[Industry Funding from BR (ITA)]]+Tabelle4[[#This Row],[Public Funding from BR (ITA)]]</f>
        <v>0</v>
      </c>
      <c r="CP170" s="44">
        <f>Tabelle4[[#This Row],[Total Project Volume (IPK)]]+Tabelle4[[#This Row],[Total Project Volume (ITA)]]</f>
        <v>75000</v>
      </c>
      <c r="CQ170" s="44">
        <f>Tabelle4[[#This Row],[Total Industry Funding (IPK)]]+Tabelle4[[#This Row],[Total Industry Funding (ITA)]]</f>
        <v>75000</v>
      </c>
      <c r="CR170" s="44">
        <f>Tabelle4[[#This Row],[Industry Funding from DE (IPK)]]+Tabelle4[[#This Row],[Industry Funding from DE (ITA)]]</f>
        <v>0</v>
      </c>
      <c r="CS170" s="44">
        <f>Tabelle4[[#This Row],[Industry Funding from BR (IPK)]]+Tabelle4[[#This Row],[Industry Funding from BR (ITA)]]</f>
        <v>75000</v>
      </c>
      <c r="CT170" s="44">
        <f>Tabelle4[[#This Row],[Total Public Funding (IPK)]]+Tabelle4[[#This Row],[Total Public Funding (ITA)]]</f>
        <v>0</v>
      </c>
      <c r="CU170" s="44">
        <f>Tabelle4[[#This Row],[Public Funding from DE (IPK)]]+Tabelle4[[#This Row],[Public Funding from DE (ITA)]]</f>
        <v>0</v>
      </c>
      <c r="CV170" s="44">
        <f>Tabelle4[[#This Row],[Public Funding from BR (IPK)]]+Tabelle4[[#This Row],[Public Funding from BR (ITA)]]</f>
        <v>0</v>
      </c>
      <c r="CW170" s="44">
        <f>Tabelle4[[#This Row],[Industry Funding from DE (FPC)]]+Tabelle4[[#This Row],[Public Funding from DE (FPC)]]</f>
        <v>0</v>
      </c>
      <c r="CX170" s="46">
        <f>Tabelle4[[#This Row],[Industry Funding from BR (FPC)]]+Tabelle4[[#This Row],[Public Funding from BR (FPC)]]</f>
        <v>75000</v>
      </c>
      <c r="CY170" s="44">
        <f>Tabelle4[[#This Row],[Total Financial Budget (Other)]]+Tabelle4[[#This Row],[Total In-kind Contribution (Other)]]</f>
        <v>0</v>
      </c>
      <c r="CZ17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70" s="44">
        <f>Tabelle4[[#This Row],[In-kind Contribution (R&amp;D III)]]+Tabelle4[[#This Row],[In-kind Contribution (R&amp;D IV)]]</f>
        <v>0</v>
      </c>
      <c r="DB170" s="158">
        <f>Tabelle4[[#This Row],[Total Budget (FPC)]]+Tabelle4[[#This Row],[Total Volume (Other)]]</f>
        <v>75000</v>
      </c>
      <c r="DC170" s="104">
        <f>Tabelle4[[#This Row],[Total Revenues (IPK)]]</f>
        <v>75000</v>
      </c>
      <c r="DD170" s="47">
        <v>1</v>
      </c>
      <c r="DE170" s="44">
        <f>Tabelle4[[#This Row],[Total Revenues IPK]]*Tabelle4[[#This Row],[Probability of Success]]</f>
        <v>75000</v>
      </c>
      <c r="DK170" s="47">
        <v>0.2</v>
      </c>
      <c r="DL170" s="44">
        <f>Tabelle4[[#This Row],[Real Budget IPK]]*Tabelle4[[#This Row],[Acquisition Factor OE810]]</f>
        <v>15000</v>
      </c>
      <c r="DM170" s="44">
        <v>0</v>
      </c>
      <c r="DN170" s="46">
        <f>Tabelle4[[#This Row],[Acquisition Bonus OE810]]+Tabelle4[[#This Row],[Project Execution OE810]]</f>
        <v>15000</v>
      </c>
    </row>
    <row r="171" spans="1:118" ht="27.75" x14ac:dyDescent="0.45">
      <c r="A171" s="42" t="s">
        <v>575</v>
      </c>
      <c r="B171" s="33" t="s">
        <v>576</v>
      </c>
      <c r="C171" s="57" t="s">
        <v>577</v>
      </c>
      <c r="D171" s="57" t="s">
        <v>711</v>
      </c>
      <c r="E171" s="33">
        <v>2</v>
      </c>
      <c r="F171" s="33">
        <v>1</v>
      </c>
      <c r="G171" s="33" t="s">
        <v>1</v>
      </c>
      <c r="H171" s="33" t="s">
        <v>0</v>
      </c>
      <c r="J171" s="59">
        <v>43960</v>
      </c>
      <c r="K171" s="33" t="s">
        <v>246</v>
      </c>
      <c r="L171" s="59"/>
      <c r="Q171" s="58">
        <v>6</v>
      </c>
      <c r="U171" s="97">
        <v>43959</v>
      </c>
      <c r="Y171" s="59">
        <v>44132</v>
      </c>
      <c r="Z171" s="42" t="str">
        <f t="shared" si="27"/>
        <v>IPK</v>
      </c>
      <c r="AA171" s="33" t="s">
        <v>141</v>
      </c>
      <c r="AB171" s="61">
        <v>200000</v>
      </c>
      <c r="AG171" s="42" t="str">
        <f t="shared" si="28"/>
        <v>ITA</v>
      </c>
      <c r="AK171" s="64"/>
      <c r="AM171" s="64"/>
      <c r="AO171" s="42"/>
      <c r="AV171" s="42"/>
      <c r="BC171" s="42" t="s">
        <v>577</v>
      </c>
      <c r="BE171" s="64">
        <v>200000</v>
      </c>
      <c r="BF171" s="65"/>
      <c r="BU171" s="67"/>
      <c r="BY171" s="44">
        <f>Tabelle4[[#This Row],[Industry Funding from DE (IPK)]]+Tabelle4[[#This Row],[Industry Funding from BR (IPK)]]+Tabelle4[[#This Row],[Public Funding from DE (IPK)]]+Tabelle4[[#This Row],[Public Funding from BR (IPK)]]+Tabelle4[[#This Row],[In-kind Contribution (IPK)]]</f>
        <v>200000</v>
      </c>
      <c r="BZ171" s="44">
        <f>Tabelle4[[#This Row],[Industry Funding from DE (IPK)]]+Tabelle4[[#This Row],[Industry Funding from BR (IPK)]]+Tabelle4[[#This Row],[Public Funding from DE (IPK)]]+Tabelle4[[#This Row],[Public Funding from BR (IPK)]]</f>
        <v>200000</v>
      </c>
      <c r="CA171" s="44">
        <f>Tabelle4[[#This Row],[Industry Funding from DE (IPK)]]+Tabelle4[[#This Row],[Industry Funding from BR (IPK)]]</f>
        <v>200000</v>
      </c>
      <c r="CB171" s="44">
        <f>Tabelle4[[#This Row],[Public Funding from DE (IPK)]]+Tabelle4[[#This Row],[Public Funding from BR (IPK)]]</f>
        <v>0</v>
      </c>
      <c r="CC171" s="44">
        <f>Tabelle4[[#This Row],[In-kind Contribution (IPK)]]</f>
        <v>0</v>
      </c>
      <c r="CD171" s="47">
        <f>(Tabelle4[[#This Row],[Total Industry Funding (IPK)]] + Tabelle4[[#This Row],[Total Public Funding (IPK)]])/Tabelle4[[#This Row],[Total Project Volume (IPK)]]</f>
        <v>1</v>
      </c>
      <c r="CE171" s="47">
        <f>Tabelle4[[#This Row],[Total Industry Funding (IPK)]] / Tabelle4[[#This Row],[Total Project Volume (IPK)]]</f>
        <v>1</v>
      </c>
      <c r="CF171" s="33" t="str">
        <f>Tabelle4[[#This Row],[Project Funding Classification]]</f>
        <v>Industry</v>
      </c>
      <c r="CG171" s="44">
        <f>Tabelle4[[#This Row],[Industry Funding from DE (IPK)]]+Tabelle4[[#This Row],[Public Funding from DE (IPK)]]</f>
        <v>200000</v>
      </c>
      <c r="CH171" s="46">
        <f>Tabelle4[[#This Row],[Industry Funding from BR (IPK)]]+Tabelle4[[#This Row],[Public Funding from BR (IPK)]]</f>
        <v>0</v>
      </c>
      <c r="CI171" s="44">
        <f>Tabelle4[[#This Row],[Industry Funding from DE (ITA)]]+Tabelle4[[#This Row],[Industry Funding from BR (ITA)]]+Tabelle4[[#This Row],[Public Funding from DE (ITA)]]+Tabelle4[[#This Row],[Public Funding from BR (ITA)]]</f>
        <v>0</v>
      </c>
      <c r="CJ171" s="44">
        <f>Tabelle4[[#This Row],[Industry Funding from DE (ITA)]]+Tabelle4[[#This Row],[Industry Funding from BR (ITA)]]</f>
        <v>0</v>
      </c>
      <c r="CK171" s="44">
        <f>Tabelle4[[#This Row],[Public Funding from DE (ITA)]]+Tabelle4[[#This Row],[Public Funding from BR (ITA)]]</f>
        <v>0</v>
      </c>
      <c r="CL171" s="47" t="e">
        <f>Tabelle4[[#This Row],[Total Industry Funding (ITA)]]/Tabelle4[[#This Row],[Total Project Volume (ITA)]]</f>
        <v>#DIV/0!</v>
      </c>
      <c r="CM171" s="33" t="e">
        <f>IF(Tabelle4[[#This Row],[Funding Ratio (ITA)]]&lt;0.5,"Public Funding","Industry")</f>
        <v>#DIV/0!</v>
      </c>
      <c r="CN171" s="44">
        <f>Tabelle4[[#This Row],[Industry Funding from DE (ITA)]]+Tabelle4[[#This Row],[Public Funding from DE (ITA)]]</f>
        <v>0</v>
      </c>
      <c r="CO171" s="46">
        <f>Tabelle4[[#This Row],[Industry Funding from BR (ITA)]]+Tabelle4[[#This Row],[Public Funding from BR (ITA)]]</f>
        <v>0</v>
      </c>
      <c r="CP171" s="44">
        <f>Tabelle4[[#This Row],[Total Project Volume (IPK)]]+Tabelle4[[#This Row],[Total Project Volume (ITA)]]</f>
        <v>200000</v>
      </c>
      <c r="CQ171" s="44">
        <f>Tabelle4[[#This Row],[Total Industry Funding (IPK)]]+Tabelle4[[#This Row],[Total Industry Funding (ITA)]]</f>
        <v>200000</v>
      </c>
      <c r="CR171" s="44">
        <f>Tabelle4[[#This Row],[Industry Funding from DE (IPK)]]+Tabelle4[[#This Row],[Industry Funding from DE (ITA)]]</f>
        <v>200000</v>
      </c>
      <c r="CS171" s="44">
        <f>Tabelle4[[#This Row],[Industry Funding from BR (IPK)]]+Tabelle4[[#This Row],[Industry Funding from BR (ITA)]]</f>
        <v>0</v>
      </c>
      <c r="CT171" s="44">
        <f>Tabelle4[[#This Row],[Total Public Funding (IPK)]]+Tabelle4[[#This Row],[Total Public Funding (ITA)]]</f>
        <v>0</v>
      </c>
      <c r="CU171" s="44">
        <f>Tabelle4[[#This Row],[Public Funding from DE (IPK)]]+Tabelle4[[#This Row],[Public Funding from DE (ITA)]]</f>
        <v>0</v>
      </c>
      <c r="CV171" s="44">
        <f>Tabelle4[[#This Row],[Public Funding from BR (IPK)]]+Tabelle4[[#This Row],[Public Funding from BR (ITA)]]</f>
        <v>0</v>
      </c>
      <c r="CW171" s="44">
        <f>Tabelle4[[#This Row],[Industry Funding from DE (FPC)]]+Tabelle4[[#This Row],[Public Funding from DE (FPC)]]</f>
        <v>200000</v>
      </c>
      <c r="CX171" s="46">
        <f>Tabelle4[[#This Row],[Industry Funding from BR (FPC)]]+Tabelle4[[#This Row],[Public Funding from BR (FPC)]]</f>
        <v>0</v>
      </c>
      <c r="CY171" s="44">
        <f>Tabelle4[[#This Row],[Total Financial Budget (Other)]]+Tabelle4[[#This Row],[Total In-kind Contribution (Other)]]</f>
        <v>0</v>
      </c>
      <c r="CZ17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71" s="44">
        <f>Tabelle4[[#This Row],[In-kind Contribution (R&amp;D III)]]+Tabelle4[[#This Row],[In-kind Contribution (R&amp;D IV)]]</f>
        <v>0</v>
      </c>
      <c r="DB171" s="158">
        <f>Tabelle4[[#This Row],[Total Budget (FPC)]]+Tabelle4[[#This Row],[Total Volume (Other)]]</f>
        <v>200000</v>
      </c>
      <c r="DC171" s="104">
        <f>Tabelle4[[#This Row],[Total Revenues (IPK)]]</f>
        <v>200000</v>
      </c>
      <c r="DD171" s="47">
        <v>0</v>
      </c>
      <c r="DE171" s="44">
        <f>Tabelle4[[#This Row],[Total Revenues IPK]]*Tabelle4[[#This Row],[Probability of Success]]</f>
        <v>0</v>
      </c>
      <c r="DK171" s="47">
        <v>0.2</v>
      </c>
      <c r="DL171" s="44">
        <f>Tabelle4[[#This Row],[Real Budget IPK]]*Tabelle4[[#This Row],[Acquisition Factor OE810]]</f>
        <v>0</v>
      </c>
      <c r="DN171" s="46">
        <f>Tabelle4[[#This Row],[Acquisition Bonus OE810]]+Tabelle4[[#This Row],[Project Execution OE810]]</f>
        <v>0</v>
      </c>
    </row>
    <row r="172" spans="1:118" ht="41.65" x14ac:dyDescent="0.45">
      <c r="A172" s="70" t="s">
        <v>620</v>
      </c>
      <c r="B172" s="33" t="s">
        <v>618</v>
      </c>
      <c r="C172" s="57" t="s">
        <v>619</v>
      </c>
      <c r="D172" s="57" t="s">
        <v>711</v>
      </c>
      <c r="E172" s="33">
        <v>1</v>
      </c>
      <c r="G172" s="33" t="s">
        <v>1</v>
      </c>
      <c r="H172" s="33" t="s">
        <v>0</v>
      </c>
      <c r="J172" s="59">
        <v>43160</v>
      </c>
      <c r="K172" s="33" t="s">
        <v>246</v>
      </c>
      <c r="L172" s="59"/>
      <c r="Q172" s="58"/>
      <c r="S172" s="59">
        <v>43160</v>
      </c>
      <c r="U172" s="59">
        <v>43892</v>
      </c>
      <c r="Y172" s="59">
        <v>44343</v>
      </c>
      <c r="Z172" s="42" t="str">
        <f t="shared" si="27"/>
        <v>IPK</v>
      </c>
      <c r="AA172" s="33" t="s">
        <v>141</v>
      </c>
      <c r="AC172" s="61">
        <v>100000</v>
      </c>
      <c r="AG172" s="42" t="str">
        <f t="shared" si="28"/>
        <v>ITA</v>
      </c>
      <c r="AK172" s="64"/>
      <c r="AL172" s="64"/>
      <c r="AM172" s="64"/>
      <c r="AO172" s="42"/>
      <c r="AV172" s="42"/>
      <c r="BC172" s="42" t="s">
        <v>619</v>
      </c>
      <c r="BD172" s="33" t="s">
        <v>621</v>
      </c>
      <c r="BE172" s="64">
        <v>100000</v>
      </c>
      <c r="BF172" s="65"/>
      <c r="BI172" s="64"/>
      <c r="BO172" s="114"/>
      <c r="BP172" s="114"/>
      <c r="BW172" s="114"/>
      <c r="BY172" s="44">
        <f>Tabelle4[[#This Row],[Industry Funding from DE (IPK)]]+Tabelle4[[#This Row],[Industry Funding from BR (IPK)]]+Tabelle4[[#This Row],[Public Funding from DE (IPK)]]+Tabelle4[[#This Row],[Public Funding from BR (IPK)]]+Tabelle4[[#This Row],[In-kind Contribution (IPK)]]</f>
        <v>100000</v>
      </c>
      <c r="BZ172" s="44">
        <f>Tabelle4[[#This Row],[Industry Funding from DE (IPK)]]+Tabelle4[[#This Row],[Industry Funding from BR (IPK)]]+Tabelle4[[#This Row],[Public Funding from DE (IPK)]]+Tabelle4[[#This Row],[Public Funding from BR (IPK)]]</f>
        <v>100000</v>
      </c>
      <c r="CA172" s="44">
        <f>Tabelle4[[#This Row],[Industry Funding from DE (IPK)]]+Tabelle4[[#This Row],[Industry Funding from BR (IPK)]]</f>
        <v>100000</v>
      </c>
      <c r="CB172" s="44">
        <f>Tabelle4[[#This Row],[Public Funding from DE (IPK)]]+Tabelle4[[#This Row],[Public Funding from BR (IPK)]]</f>
        <v>0</v>
      </c>
      <c r="CC172" s="44">
        <f>Tabelle4[[#This Row],[In-kind Contribution (IPK)]]</f>
        <v>0</v>
      </c>
      <c r="CD172" s="47">
        <f>(Tabelle4[[#This Row],[Total Industry Funding (IPK)]] + Tabelle4[[#This Row],[Total Public Funding (IPK)]])/Tabelle4[[#This Row],[Total Project Volume (IPK)]]</f>
        <v>1</v>
      </c>
      <c r="CE172" s="47">
        <f>Tabelle4[[#This Row],[Total Industry Funding (IPK)]] / Tabelle4[[#This Row],[Total Project Volume (IPK)]]</f>
        <v>1</v>
      </c>
      <c r="CF172" s="33" t="str">
        <f>Tabelle4[[#This Row],[Project Funding Classification]]</f>
        <v>Industry</v>
      </c>
      <c r="CG172" s="44">
        <f>Tabelle4[[#This Row],[Industry Funding from DE (IPK)]]+Tabelle4[[#This Row],[Public Funding from DE (IPK)]]</f>
        <v>0</v>
      </c>
      <c r="CH172" s="46">
        <f>Tabelle4[[#This Row],[Industry Funding from BR (IPK)]]+Tabelle4[[#This Row],[Public Funding from BR (IPK)]]</f>
        <v>100000</v>
      </c>
      <c r="CI172" s="44">
        <f>Tabelle4[[#This Row],[Industry Funding from DE (ITA)]]+Tabelle4[[#This Row],[Industry Funding from BR (ITA)]]+Tabelle4[[#This Row],[Public Funding from DE (ITA)]]+Tabelle4[[#This Row],[Public Funding from BR (ITA)]]</f>
        <v>0</v>
      </c>
      <c r="CJ172" s="44">
        <f>Tabelle4[[#This Row],[Industry Funding from DE (ITA)]]+Tabelle4[[#This Row],[Industry Funding from BR (ITA)]]</f>
        <v>0</v>
      </c>
      <c r="CK172" s="44">
        <f>Tabelle4[[#This Row],[Public Funding from DE (ITA)]]+Tabelle4[[#This Row],[Public Funding from BR (ITA)]]</f>
        <v>0</v>
      </c>
      <c r="CL172" s="47" t="e">
        <f>Tabelle4[[#This Row],[Total Industry Funding (ITA)]]/Tabelle4[[#This Row],[Total Project Volume (ITA)]]</f>
        <v>#DIV/0!</v>
      </c>
      <c r="CM172" s="33" t="e">
        <f>IF(Tabelle4[[#This Row],[Funding Ratio (ITA)]]&lt;0.5,"Public Funding","Industry")</f>
        <v>#DIV/0!</v>
      </c>
      <c r="CN172" s="44">
        <f>Tabelle4[[#This Row],[Industry Funding from DE (ITA)]]+Tabelle4[[#This Row],[Public Funding from DE (ITA)]]</f>
        <v>0</v>
      </c>
      <c r="CO172" s="111">
        <f>Tabelle4[[#This Row],[Industry Funding from BR (ITA)]]+Tabelle4[[#This Row],[Public Funding from BR (ITA)]]</f>
        <v>0</v>
      </c>
      <c r="CP172" s="44">
        <f>Tabelle4[[#This Row],[Total Project Volume (IPK)]]+Tabelle4[[#This Row],[Total Project Volume (ITA)]]</f>
        <v>100000</v>
      </c>
      <c r="CQ172" s="44">
        <f>Tabelle4[[#This Row],[Total Industry Funding (IPK)]]+Tabelle4[[#This Row],[Total Industry Funding (ITA)]]</f>
        <v>100000</v>
      </c>
      <c r="CR172" s="44">
        <f>Tabelle4[[#This Row],[Industry Funding from DE (IPK)]]+Tabelle4[[#This Row],[Industry Funding from DE (ITA)]]</f>
        <v>0</v>
      </c>
      <c r="CS172" s="44">
        <f>Tabelle4[[#This Row],[Industry Funding from BR (IPK)]]+Tabelle4[[#This Row],[Industry Funding from BR (ITA)]]</f>
        <v>100000</v>
      </c>
      <c r="CT172" s="44">
        <f>Tabelle4[[#This Row],[Total Public Funding (IPK)]]+Tabelle4[[#This Row],[Total Public Funding (ITA)]]</f>
        <v>0</v>
      </c>
      <c r="CU172" s="44">
        <f>Tabelle4[[#This Row],[Public Funding from DE (IPK)]]+Tabelle4[[#This Row],[Public Funding from DE (ITA)]]</f>
        <v>0</v>
      </c>
      <c r="CV172" s="44">
        <f>Tabelle4[[#This Row],[Public Funding from BR (IPK)]]+Tabelle4[[#This Row],[Public Funding from BR (ITA)]]</f>
        <v>0</v>
      </c>
      <c r="CW172" s="44">
        <f>Tabelle4[[#This Row],[Industry Funding from DE (FPC)]]+Tabelle4[[#This Row],[Public Funding from DE (FPC)]]</f>
        <v>0</v>
      </c>
      <c r="CX172" s="46">
        <f>Tabelle4[[#This Row],[Industry Funding from BR (FPC)]]+Tabelle4[[#This Row],[Public Funding from BR (FPC)]]</f>
        <v>100000</v>
      </c>
      <c r="CY172" s="44">
        <f>Tabelle4[[#This Row],[Total Financial Budget (Other)]]+Tabelle4[[#This Row],[Total In-kind Contribution (Other)]]</f>
        <v>0</v>
      </c>
      <c r="CZ17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72" s="44">
        <f>Tabelle4[[#This Row],[In-kind Contribution (R&amp;D III)]]+Tabelle4[[#This Row],[In-kind Contribution (R&amp;D IV)]]</f>
        <v>0</v>
      </c>
      <c r="DB172" s="158">
        <f>Tabelle4[[#This Row],[Total Budget (FPC)]]+Tabelle4[[#This Row],[Total Volume (Other)]]</f>
        <v>100000</v>
      </c>
      <c r="DC172" s="104">
        <f>Tabelle4[[#This Row],[Total Revenues (IPK)]]</f>
        <v>100000</v>
      </c>
      <c r="DD172" s="47">
        <v>0.1</v>
      </c>
      <c r="DE172" s="44">
        <f>Tabelle4[[#This Row],[Total Revenues IPK]]*Tabelle4[[#This Row],[Probability of Success]]</f>
        <v>10000</v>
      </c>
      <c r="DL172" s="44">
        <f>Tabelle4[[#This Row],[Real Budget IPK]]*Tabelle4[[#This Row],[Acquisition Factor OE810]]</f>
        <v>0</v>
      </c>
      <c r="DN172" s="46">
        <f>Tabelle4[[#This Row],[Acquisition Bonus OE810]]+Tabelle4[[#This Row],[Project Execution OE810]]</f>
        <v>0</v>
      </c>
    </row>
    <row r="173" spans="1:118" ht="31.5" customHeight="1" x14ac:dyDescent="0.45">
      <c r="A173" s="48" t="s">
        <v>202</v>
      </c>
      <c r="B173" s="49"/>
      <c r="C173" s="49" t="s">
        <v>115</v>
      </c>
      <c r="D173" s="49" t="s">
        <v>711</v>
      </c>
      <c r="E173" s="49"/>
      <c r="F173" s="49"/>
      <c r="G173" s="49" t="s">
        <v>1</v>
      </c>
      <c r="H173" s="49" t="s">
        <v>0</v>
      </c>
      <c r="I173" s="49"/>
      <c r="J173" s="50"/>
      <c r="K173" s="49" t="s">
        <v>246</v>
      </c>
      <c r="L173" s="49"/>
      <c r="M173" s="146"/>
      <c r="N173" s="49"/>
      <c r="O173" s="50"/>
      <c r="P173" s="50"/>
      <c r="Q173" s="49"/>
      <c r="R173" s="50"/>
      <c r="S173" s="50"/>
      <c r="T173" s="50"/>
      <c r="U173" s="50"/>
      <c r="V173" s="50"/>
      <c r="W173" s="50"/>
      <c r="X173" s="50"/>
      <c r="Y173" s="50"/>
      <c r="Z173" s="48" t="str">
        <f t="shared" si="27"/>
        <v>IPK</v>
      </c>
      <c r="AA173" s="49"/>
      <c r="AB173" s="62"/>
      <c r="AC173" s="62">
        <v>58500</v>
      </c>
      <c r="AD173" s="62"/>
      <c r="AE173" s="62"/>
      <c r="AF173" s="62"/>
      <c r="AG173" s="48" t="str">
        <f t="shared" si="28"/>
        <v>ITA</v>
      </c>
      <c r="AH173" s="49"/>
      <c r="AI173" s="49"/>
      <c r="AO173" s="48"/>
      <c r="AP173" s="49"/>
      <c r="AQ173" s="62"/>
      <c r="AR173" s="62"/>
      <c r="AS173" s="62"/>
      <c r="AT173" s="62"/>
      <c r="AU173" s="62"/>
      <c r="AV173" s="48"/>
      <c r="AW173" s="49"/>
      <c r="AX173" s="62"/>
      <c r="AY173" s="62"/>
      <c r="AZ173" s="62"/>
      <c r="BA173" s="62"/>
      <c r="BB173" s="62"/>
      <c r="BC173" s="48" t="s">
        <v>115</v>
      </c>
      <c r="BD173" s="49"/>
      <c r="BE173" s="62">
        <v>58500</v>
      </c>
      <c r="BF173" s="66"/>
      <c r="BG173" s="49"/>
      <c r="BH173" s="49"/>
      <c r="BI173" s="62"/>
      <c r="BJ173" s="66"/>
      <c r="BK173" s="49"/>
      <c r="BL173" s="49"/>
      <c r="BM173" s="62"/>
      <c r="BN173" s="66"/>
      <c r="BO173" s="49"/>
      <c r="BP173" s="49"/>
      <c r="BQ173" s="62"/>
      <c r="BR173" s="66"/>
      <c r="BS173" s="49"/>
      <c r="BT173" s="49"/>
      <c r="BU173" s="66"/>
      <c r="BV173" s="49"/>
      <c r="BW173" s="49"/>
      <c r="BX173" s="66"/>
      <c r="BY173" s="51">
        <f>Tabelle4[[#This Row],[Industry Funding from DE (IPK)]]+Tabelle4[[#This Row],[Industry Funding from BR (IPK)]]+Tabelle4[[#This Row],[Public Funding from DE (IPK)]]+Tabelle4[[#This Row],[Public Funding from BR (IPK)]]+Tabelle4[[#This Row],[In-kind Contribution (IPK)]]</f>
        <v>58500</v>
      </c>
      <c r="BZ173" s="51">
        <f>Tabelle4[[#This Row],[Industry Funding from DE (IPK)]]+Tabelle4[[#This Row],[Industry Funding from BR (IPK)]]+Tabelle4[[#This Row],[Public Funding from DE (IPK)]]+Tabelle4[[#This Row],[Public Funding from BR (IPK)]]</f>
        <v>58500</v>
      </c>
      <c r="CA173" s="51">
        <f>Tabelle4[[#This Row],[Industry Funding from DE (IPK)]]+Tabelle4[[#This Row],[Industry Funding from BR (IPK)]]</f>
        <v>58500</v>
      </c>
      <c r="CB173" s="51">
        <f>Tabelle4[[#This Row],[Public Funding from DE (IPK)]]+Tabelle4[[#This Row],[Public Funding from BR (IPK)]]</f>
        <v>0</v>
      </c>
      <c r="CC173" s="51">
        <f>Tabelle4[[#This Row],[In-kind Contribution (IPK)]]</f>
        <v>0</v>
      </c>
      <c r="CD173" s="53">
        <f>(Tabelle4[[#This Row],[Total Industry Funding (IPK)]] + Tabelle4[[#This Row],[Total Public Funding (IPK)]])/Tabelle4[[#This Row],[Total Project Volume (IPK)]]</f>
        <v>1</v>
      </c>
      <c r="CE173" s="53">
        <f>Tabelle4[[#This Row],[Total Industry Funding (IPK)]] / Tabelle4[[#This Row],[Total Project Volume (IPK)]]</f>
        <v>1</v>
      </c>
      <c r="CF173" s="49" t="str">
        <f>Tabelle4[[#This Row],[Project Funding Classification]]</f>
        <v>Industry</v>
      </c>
      <c r="CG173" s="51">
        <f>Tabelle4[[#This Row],[Industry Funding from DE (IPK)]]+Tabelle4[[#This Row],[Public Funding from DE (IPK)]]</f>
        <v>0</v>
      </c>
      <c r="CH173" s="52">
        <f>Tabelle4[[#This Row],[Industry Funding from BR (IPK)]]+Tabelle4[[#This Row],[Public Funding from BR (IPK)]]</f>
        <v>58500</v>
      </c>
      <c r="CI173" s="51">
        <f>Tabelle4[[#This Row],[Industry Funding from DE (ITA)]]+Tabelle4[[#This Row],[Industry Funding from BR (ITA)]]+Tabelle4[[#This Row],[Public Funding from DE (ITA)]]+Tabelle4[[#This Row],[Public Funding from BR (ITA)]]</f>
        <v>0</v>
      </c>
      <c r="CJ173" s="51">
        <f>Tabelle4[[#This Row],[Industry Funding from DE (ITA)]]+Tabelle4[[#This Row],[Industry Funding from BR (ITA)]]</f>
        <v>0</v>
      </c>
      <c r="CK173" s="51">
        <f>Tabelle4[[#This Row],[Public Funding from DE (ITA)]]+Tabelle4[[#This Row],[Public Funding from BR (ITA)]]</f>
        <v>0</v>
      </c>
      <c r="CL173" s="53" t="e">
        <f>Tabelle4[[#This Row],[Total Industry Funding (ITA)]]/Tabelle4[[#This Row],[Total Project Volume (ITA)]]</f>
        <v>#DIV/0!</v>
      </c>
      <c r="CM173" s="49" t="e">
        <f>IF(Tabelle4[[#This Row],[Funding Ratio (ITA)]]&lt;0.5,"Public Funding","Industry")</f>
        <v>#DIV/0!</v>
      </c>
      <c r="CN173" s="51">
        <f>Tabelle4[[#This Row],[Industry Funding from DE (ITA)]]+Tabelle4[[#This Row],[Public Funding from DE (ITA)]]</f>
        <v>0</v>
      </c>
      <c r="CO173" s="52">
        <f>Tabelle4[[#This Row],[Industry Funding from BR (ITA)]]+Tabelle4[[#This Row],[Public Funding from BR (ITA)]]</f>
        <v>0</v>
      </c>
      <c r="CP173" s="51">
        <f>Tabelle4[[#This Row],[Total Project Volume (IPK)]]+Tabelle4[[#This Row],[Total Project Volume (ITA)]]</f>
        <v>58500</v>
      </c>
      <c r="CQ173" s="51">
        <f>Tabelle4[[#This Row],[Total Industry Funding (IPK)]]+Tabelle4[[#This Row],[Total Industry Funding (ITA)]]</f>
        <v>58500</v>
      </c>
      <c r="CR173" s="51">
        <f>Tabelle4[[#This Row],[Industry Funding from DE (IPK)]]+Tabelle4[[#This Row],[Industry Funding from DE (ITA)]]</f>
        <v>0</v>
      </c>
      <c r="CS173" s="51">
        <f>Tabelle4[[#This Row],[Industry Funding from BR (IPK)]]+Tabelle4[[#This Row],[Industry Funding from BR (ITA)]]</f>
        <v>58500</v>
      </c>
      <c r="CT173" s="51">
        <f>Tabelle4[[#This Row],[Total Public Funding (IPK)]]+Tabelle4[[#This Row],[Total Public Funding (ITA)]]</f>
        <v>0</v>
      </c>
      <c r="CU173" s="51">
        <f>Tabelle4[[#This Row],[Public Funding from DE (IPK)]]+Tabelle4[[#This Row],[Public Funding from DE (ITA)]]</f>
        <v>0</v>
      </c>
      <c r="CV173" s="51">
        <f>Tabelle4[[#This Row],[Public Funding from BR (IPK)]]+Tabelle4[[#This Row],[Public Funding from BR (ITA)]]</f>
        <v>0</v>
      </c>
      <c r="CW173" s="51">
        <f>Tabelle4[[#This Row],[Industry Funding from DE (FPC)]]+Tabelle4[[#This Row],[Public Funding from DE (FPC)]]</f>
        <v>0</v>
      </c>
      <c r="CX173" s="52">
        <f>Tabelle4[[#This Row],[Industry Funding from BR (FPC)]]+Tabelle4[[#This Row],[Public Funding from BR (FPC)]]</f>
        <v>58500</v>
      </c>
      <c r="CY173" s="44">
        <f>Tabelle4[[#This Row],[Total Financial Budget (Other)]]+Tabelle4[[#This Row],[Total In-kind Contribution (Other)]]</f>
        <v>0</v>
      </c>
      <c r="CZ173"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73" s="44">
        <f>Tabelle4[[#This Row],[In-kind Contribution (R&amp;D III)]]+Tabelle4[[#This Row],[In-kind Contribution (R&amp;D IV)]]</f>
        <v>0</v>
      </c>
      <c r="DB173" s="158">
        <f>Tabelle4[[#This Row],[Total Budget (FPC)]]+Tabelle4[[#This Row],[Total Volume (Other)]]</f>
        <v>58500</v>
      </c>
      <c r="DC173" s="105">
        <f>Tabelle4[[#This Row],[Total Revenues (IPK)]]</f>
        <v>58500</v>
      </c>
      <c r="DD173" s="53">
        <v>0</v>
      </c>
      <c r="DE173" s="51">
        <f>Tabelle4[[#This Row],[Total Revenues IPK]]*Tabelle4[[#This Row],[Probability of Success]]</f>
        <v>0</v>
      </c>
      <c r="DF173" s="51"/>
      <c r="DG173" s="51"/>
      <c r="DH173" s="51"/>
      <c r="DI173" s="51"/>
      <c r="DJ173" s="51"/>
      <c r="DK173" s="53"/>
      <c r="DL173" s="51">
        <f>Tabelle4[[#This Row],[Real Budget IPK]]*Tabelle4[[#This Row],[Acquisition Factor OE810]]</f>
        <v>0</v>
      </c>
      <c r="DM173" s="51">
        <v>0</v>
      </c>
      <c r="DN173" s="52">
        <f>Tabelle4[[#This Row],[Acquisition Bonus OE810]]+Tabelle4[[#This Row],[Project Execution OE810]]</f>
        <v>0</v>
      </c>
    </row>
    <row r="174" spans="1:118" ht="55.5" x14ac:dyDescent="0.45">
      <c r="A174" s="42" t="s">
        <v>469</v>
      </c>
      <c r="C174" s="33" t="s">
        <v>470</v>
      </c>
      <c r="D174" s="33" t="s">
        <v>711</v>
      </c>
      <c r="E174" s="33">
        <v>1</v>
      </c>
      <c r="F174" s="33">
        <v>0</v>
      </c>
      <c r="G174" s="33" t="s">
        <v>1</v>
      </c>
      <c r="H174" s="33" t="s">
        <v>96</v>
      </c>
      <c r="I174" s="33" t="s">
        <v>567</v>
      </c>
      <c r="J174" s="59">
        <v>43748</v>
      </c>
      <c r="K174" s="33" t="s">
        <v>246</v>
      </c>
      <c r="Q174" s="33">
        <v>10</v>
      </c>
      <c r="S174" s="59">
        <v>43748</v>
      </c>
      <c r="U174" s="59">
        <v>43809</v>
      </c>
      <c r="Y174" s="59">
        <v>44343</v>
      </c>
      <c r="Z174" s="42" t="str">
        <f t="shared" si="27"/>
        <v>IPK</v>
      </c>
      <c r="AA174" s="33" t="s">
        <v>141</v>
      </c>
      <c r="AC174" s="61">
        <v>250000</v>
      </c>
      <c r="AG174" s="42" t="str">
        <f t="shared" si="28"/>
        <v>ITA</v>
      </c>
      <c r="AJ174" s="64"/>
      <c r="AK174" s="64"/>
      <c r="AO174" s="42"/>
      <c r="AV174" s="42"/>
      <c r="BC174" s="42"/>
      <c r="BF174" s="65"/>
      <c r="BS174" s="33" t="s">
        <v>470</v>
      </c>
      <c r="BT174" s="33" t="s">
        <v>497</v>
      </c>
      <c r="BU174" s="65">
        <v>150000</v>
      </c>
      <c r="BY174" s="44">
        <f>Tabelle4[[#This Row],[Industry Funding from DE (IPK)]]+Tabelle4[[#This Row],[Industry Funding from BR (IPK)]]+Tabelle4[[#This Row],[Public Funding from DE (IPK)]]+Tabelle4[[#This Row],[Public Funding from BR (IPK)]]+Tabelle4[[#This Row],[In-kind Contribution (IPK)]]</f>
        <v>250000</v>
      </c>
      <c r="BZ174" s="44">
        <f>Tabelle4[[#This Row],[Industry Funding from DE (IPK)]]+Tabelle4[[#This Row],[Industry Funding from BR (IPK)]]+Tabelle4[[#This Row],[Public Funding from DE (IPK)]]+Tabelle4[[#This Row],[Public Funding from BR (IPK)]]</f>
        <v>250000</v>
      </c>
      <c r="CA174" s="44">
        <f>Tabelle4[[#This Row],[Industry Funding from DE (IPK)]]+Tabelle4[[#This Row],[Industry Funding from BR (IPK)]]</f>
        <v>250000</v>
      </c>
      <c r="CB174" s="44">
        <f>Tabelle4[[#This Row],[Public Funding from DE (IPK)]]+Tabelle4[[#This Row],[Public Funding from BR (IPK)]]</f>
        <v>0</v>
      </c>
      <c r="CC174" s="44">
        <f>Tabelle4[[#This Row],[In-kind Contribution (IPK)]]</f>
        <v>0</v>
      </c>
      <c r="CD174" s="47">
        <f>(Tabelle4[[#This Row],[Total Industry Funding (IPK)]] + Tabelle4[[#This Row],[Total Public Funding (IPK)]])/Tabelle4[[#This Row],[Total Project Volume (IPK)]]</f>
        <v>1</v>
      </c>
      <c r="CE174" s="47">
        <f>Tabelle4[[#This Row],[Total Industry Funding (IPK)]] / Tabelle4[[#This Row],[Total Project Volume (IPK)]]</f>
        <v>1</v>
      </c>
      <c r="CF174" s="33" t="str">
        <f>Tabelle4[[#This Row],[Project Funding Classification]]</f>
        <v>Public Funding</v>
      </c>
      <c r="CG174" s="44">
        <f>Tabelle4[[#This Row],[Industry Funding from DE (IPK)]]+Tabelle4[[#This Row],[Public Funding from DE (IPK)]]</f>
        <v>0</v>
      </c>
      <c r="CH174" s="46">
        <f>Tabelle4[[#This Row],[Industry Funding from BR (IPK)]]+Tabelle4[[#This Row],[Public Funding from BR (IPK)]]</f>
        <v>250000</v>
      </c>
      <c r="CI174" s="44">
        <f>Tabelle4[[#This Row],[Industry Funding from DE (ITA)]]+Tabelle4[[#This Row],[Industry Funding from BR (ITA)]]+Tabelle4[[#This Row],[Public Funding from DE (ITA)]]+Tabelle4[[#This Row],[Public Funding from BR (ITA)]]</f>
        <v>0</v>
      </c>
      <c r="CJ174" s="44">
        <f>Tabelle4[[#This Row],[Industry Funding from DE (ITA)]]+Tabelle4[[#This Row],[Industry Funding from BR (ITA)]]</f>
        <v>0</v>
      </c>
      <c r="CK174" s="44">
        <f>Tabelle4[[#This Row],[Public Funding from DE (ITA)]]+Tabelle4[[#This Row],[Public Funding from BR (ITA)]]</f>
        <v>0</v>
      </c>
      <c r="CL174" s="47" t="e">
        <f>Tabelle4[[#This Row],[Total Industry Funding (ITA)]]/Tabelle4[[#This Row],[Total Project Volume (ITA)]]</f>
        <v>#DIV/0!</v>
      </c>
      <c r="CM174" s="33" t="e">
        <f>IF(Tabelle4[[#This Row],[Funding Ratio (ITA)]]&lt;0.5,"Public Funding","Industry")</f>
        <v>#DIV/0!</v>
      </c>
      <c r="CN174" s="44">
        <f>Tabelle4[[#This Row],[Industry Funding from DE (ITA)]]+Tabelle4[[#This Row],[Public Funding from DE (ITA)]]</f>
        <v>0</v>
      </c>
      <c r="CO174" s="46">
        <f>Tabelle4[[#This Row],[Industry Funding from BR (ITA)]]+Tabelle4[[#This Row],[Public Funding from BR (ITA)]]</f>
        <v>0</v>
      </c>
      <c r="CP174" s="44">
        <f>Tabelle4[[#This Row],[Total Project Volume (IPK)]]+Tabelle4[[#This Row],[Total Project Volume (ITA)]]</f>
        <v>250000</v>
      </c>
      <c r="CQ174" s="44">
        <f>Tabelle4[[#This Row],[Total Industry Funding (IPK)]]+Tabelle4[[#This Row],[Total Industry Funding (ITA)]]</f>
        <v>250000</v>
      </c>
      <c r="CR174" s="44">
        <f>Tabelle4[[#This Row],[Industry Funding from DE (IPK)]]+Tabelle4[[#This Row],[Industry Funding from DE (ITA)]]</f>
        <v>0</v>
      </c>
      <c r="CS174" s="44">
        <f>Tabelle4[[#This Row],[Industry Funding from BR (IPK)]]+Tabelle4[[#This Row],[Industry Funding from BR (ITA)]]</f>
        <v>250000</v>
      </c>
      <c r="CT174" s="44">
        <f>Tabelle4[[#This Row],[Total Public Funding (IPK)]]+Tabelle4[[#This Row],[Total Public Funding (ITA)]]</f>
        <v>0</v>
      </c>
      <c r="CU174" s="44">
        <f>Tabelle4[[#This Row],[Public Funding from DE (IPK)]]+Tabelle4[[#This Row],[Public Funding from DE (ITA)]]</f>
        <v>0</v>
      </c>
      <c r="CV174" s="44">
        <f>Tabelle4[[#This Row],[Public Funding from BR (IPK)]]+Tabelle4[[#This Row],[Public Funding from BR (ITA)]]</f>
        <v>0</v>
      </c>
      <c r="CW174" s="44">
        <f>Tabelle4[[#This Row],[Industry Funding from DE (FPC)]]+Tabelle4[[#This Row],[Public Funding from DE (FPC)]]</f>
        <v>0</v>
      </c>
      <c r="CX174" s="46">
        <f>Tabelle4[[#This Row],[Industry Funding from BR (FPC)]]+Tabelle4[[#This Row],[Public Funding from BR (FPC)]]</f>
        <v>250000</v>
      </c>
      <c r="CY174" s="44">
        <f>Tabelle4[[#This Row],[Total Financial Budget (Other)]]+Tabelle4[[#This Row],[Total In-kind Contribution (Other)]]</f>
        <v>0</v>
      </c>
      <c r="CZ17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74" s="44">
        <f>Tabelle4[[#This Row],[In-kind Contribution (R&amp;D III)]]+Tabelle4[[#This Row],[In-kind Contribution (R&amp;D IV)]]</f>
        <v>0</v>
      </c>
      <c r="DB174" s="158">
        <f>Tabelle4[[#This Row],[Total Budget (FPC)]]+Tabelle4[[#This Row],[Total Volume (Other)]]</f>
        <v>250000</v>
      </c>
      <c r="DC174" s="104">
        <f>Tabelle4[[#This Row],[Total Revenues (IPK)]]</f>
        <v>250000</v>
      </c>
      <c r="DD174" s="47">
        <v>0.1</v>
      </c>
      <c r="DE174" s="44">
        <f>Tabelle4[[#This Row],[Total Revenues IPK]]*Tabelle4[[#This Row],[Probability of Success]]</f>
        <v>25000</v>
      </c>
      <c r="DK174" s="47">
        <v>0.2</v>
      </c>
      <c r="DL174" s="44">
        <f>Tabelle4[[#This Row],[Real Budget IPK]]*Tabelle4[[#This Row],[Acquisition Factor OE810]]</f>
        <v>5000</v>
      </c>
      <c r="DN174" s="46">
        <f>Tabelle4[[#This Row],[Acquisition Bonus OE810]]+Tabelle4[[#This Row],[Project Execution OE810]]</f>
        <v>5000</v>
      </c>
    </row>
    <row r="175" spans="1:118" ht="27.75" x14ac:dyDescent="0.45">
      <c r="A175" s="70" t="s">
        <v>122</v>
      </c>
      <c r="C175" s="33" t="s">
        <v>123</v>
      </c>
      <c r="D175" s="33" t="s">
        <v>706</v>
      </c>
      <c r="G175" s="33" t="s">
        <v>2</v>
      </c>
      <c r="H175" s="33" t="s">
        <v>0</v>
      </c>
      <c r="K175" s="33" t="s">
        <v>245</v>
      </c>
      <c r="L175" s="33" t="s">
        <v>651</v>
      </c>
      <c r="Q175" s="33">
        <v>12</v>
      </c>
      <c r="X175" s="59">
        <v>44043</v>
      </c>
      <c r="Z175" s="42" t="str">
        <f t="shared" si="27"/>
        <v>IPK</v>
      </c>
      <c r="AA175" s="33" t="s">
        <v>116</v>
      </c>
      <c r="AB175" s="61">
        <v>0</v>
      </c>
      <c r="AC175" s="61">
        <v>0</v>
      </c>
      <c r="AD175" s="61">
        <v>0</v>
      </c>
      <c r="AE175" s="61">
        <v>0</v>
      </c>
      <c r="AF175" s="61">
        <v>0</v>
      </c>
      <c r="AG175" s="42" t="str">
        <f t="shared" si="28"/>
        <v>ITA</v>
      </c>
      <c r="AH175" s="33" t="s">
        <v>442</v>
      </c>
      <c r="AI175" s="33" t="s">
        <v>346</v>
      </c>
      <c r="AJ175" s="104">
        <v>0</v>
      </c>
      <c r="AL175" s="104">
        <v>0</v>
      </c>
      <c r="AM175" s="104">
        <v>88095</v>
      </c>
      <c r="AN175" s="104">
        <v>0</v>
      </c>
      <c r="AO175" s="42" t="s">
        <v>116</v>
      </c>
      <c r="AP175" s="33" t="s">
        <v>116</v>
      </c>
      <c r="AQ175" s="61">
        <v>0</v>
      </c>
      <c r="AR175" s="61">
        <v>0</v>
      </c>
      <c r="AS175" s="61">
        <v>0</v>
      </c>
      <c r="AT175" s="61">
        <v>0</v>
      </c>
      <c r="AU175" s="61">
        <v>0</v>
      </c>
      <c r="AV175" s="42" t="s">
        <v>116</v>
      </c>
      <c r="AW175" s="33" t="s">
        <v>116</v>
      </c>
      <c r="AX175" s="61">
        <v>0</v>
      </c>
      <c r="AY175" s="61">
        <v>0</v>
      </c>
      <c r="AZ175" s="61">
        <v>0</v>
      </c>
      <c r="BA175" s="61">
        <v>0</v>
      </c>
      <c r="BB175" s="61">
        <v>0</v>
      </c>
      <c r="BC175" s="42" t="s">
        <v>123</v>
      </c>
      <c r="BD175" s="33" t="s">
        <v>124</v>
      </c>
      <c r="BE175" s="61">
        <v>88095</v>
      </c>
      <c r="BF175" s="65">
        <v>0</v>
      </c>
      <c r="BG175" s="33" t="s">
        <v>116</v>
      </c>
      <c r="BH175" s="33" t="s">
        <v>116</v>
      </c>
      <c r="BI175" s="61">
        <v>0</v>
      </c>
      <c r="BJ175" s="65">
        <v>0</v>
      </c>
      <c r="BK175" s="33" t="s">
        <v>116</v>
      </c>
      <c r="BL175" s="33" t="s">
        <v>116</v>
      </c>
      <c r="BM175" s="61">
        <v>0</v>
      </c>
      <c r="BN175" s="65">
        <v>0</v>
      </c>
      <c r="BO175" s="33" t="s">
        <v>116</v>
      </c>
      <c r="BP175" s="33" t="s">
        <v>116</v>
      </c>
      <c r="BQ175" s="61">
        <v>0</v>
      </c>
      <c r="BR175" s="65">
        <v>0</v>
      </c>
      <c r="BS175" s="33" t="s">
        <v>116</v>
      </c>
      <c r="BT175" s="33" t="s">
        <v>116</v>
      </c>
      <c r="BU175" s="65">
        <v>0</v>
      </c>
      <c r="BV175" s="33" t="s">
        <v>116</v>
      </c>
      <c r="BW175" s="33" t="s">
        <v>116</v>
      </c>
      <c r="BX175" s="65">
        <v>0</v>
      </c>
      <c r="BY175" s="44">
        <f>Tabelle4[[#This Row],[Industry Funding from DE (IPK)]]+Tabelle4[[#This Row],[Industry Funding from BR (IPK)]]+Tabelle4[[#This Row],[Public Funding from DE (IPK)]]+Tabelle4[[#This Row],[Public Funding from BR (IPK)]]+Tabelle4[[#This Row],[In-kind Contribution (IPK)]]</f>
        <v>0</v>
      </c>
      <c r="BZ175" s="44">
        <f>Tabelle4[[#This Row],[Industry Funding from DE (IPK)]]+Tabelle4[[#This Row],[Industry Funding from BR (IPK)]]+Tabelle4[[#This Row],[Public Funding from DE (IPK)]]+Tabelle4[[#This Row],[Public Funding from BR (IPK)]]</f>
        <v>0</v>
      </c>
      <c r="CA175" s="44">
        <f>Tabelle4[[#This Row],[Industry Funding from DE (IPK)]]+Tabelle4[[#This Row],[Industry Funding from BR (IPK)]]</f>
        <v>0</v>
      </c>
      <c r="CB175" s="44">
        <f>Tabelle4[[#This Row],[Public Funding from DE (IPK)]]+Tabelle4[[#This Row],[Public Funding from BR (IPK)]]</f>
        <v>0</v>
      </c>
      <c r="CC175" s="44">
        <f>Tabelle4[[#This Row],[In-kind Contribution (IPK)]]</f>
        <v>0</v>
      </c>
      <c r="CD175" s="47" t="e">
        <f>(Tabelle4[[#This Row],[Total Industry Funding (IPK)]] + Tabelle4[[#This Row],[Total Public Funding (IPK)]])/Tabelle4[[#This Row],[Total Project Volume (IPK)]]</f>
        <v>#DIV/0!</v>
      </c>
      <c r="CE175" s="47" t="e">
        <f>Tabelle4[[#This Row],[Total Industry Funding (IPK)]] / Tabelle4[[#This Row],[Total Project Volume (IPK)]]</f>
        <v>#DIV/0!</v>
      </c>
      <c r="CF175" s="33" t="str">
        <f>Tabelle4[[#This Row],[Project Funding Classification]]</f>
        <v>Industry</v>
      </c>
      <c r="CG175" s="44">
        <f>Tabelle4[[#This Row],[Industry Funding from DE (IPK)]]+Tabelle4[[#This Row],[Public Funding from DE (IPK)]]</f>
        <v>0</v>
      </c>
      <c r="CH175" s="46">
        <f>Tabelle4[[#This Row],[Industry Funding from BR (IPK)]]+Tabelle4[[#This Row],[Public Funding from BR (IPK)]]</f>
        <v>0</v>
      </c>
      <c r="CI175" s="44">
        <f>Tabelle4[[#This Row],[Industry Funding from DE (ITA)]]+Tabelle4[[#This Row],[Industry Funding from BR (ITA)]]+Tabelle4[[#This Row],[Public Funding from DE (ITA)]]+Tabelle4[[#This Row],[Public Funding from BR (ITA)]]</f>
        <v>88095</v>
      </c>
      <c r="CJ175" s="44">
        <f>Tabelle4[[#This Row],[Industry Funding from DE (ITA)]]+Tabelle4[[#This Row],[Industry Funding from BR (ITA)]]</f>
        <v>0</v>
      </c>
      <c r="CK175" s="44">
        <f>Tabelle4[[#This Row],[Public Funding from DE (ITA)]]+Tabelle4[[#This Row],[Public Funding from BR (ITA)]]</f>
        <v>88095</v>
      </c>
      <c r="CL175" s="47">
        <f>Tabelle4[[#This Row],[Total Industry Funding (ITA)]]/Tabelle4[[#This Row],[Total Project Volume (ITA)]]</f>
        <v>0</v>
      </c>
      <c r="CM175" s="33" t="str">
        <f>IF(Tabelle4[[#This Row],[Funding Ratio (ITA)]]&lt;0.5,"Public Funding","Industry")</f>
        <v>Public Funding</v>
      </c>
      <c r="CN175" s="44">
        <f>Tabelle4[[#This Row],[Industry Funding from DE (ITA)]]+Tabelle4[[#This Row],[Public Funding from DE (ITA)]]</f>
        <v>0</v>
      </c>
      <c r="CO175" s="46">
        <f>Tabelle4[[#This Row],[Industry Funding from BR (ITA)]]+Tabelle4[[#This Row],[Public Funding from BR (ITA)]]</f>
        <v>88095</v>
      </c>
      <c r="CP175" s="44">
        <f>Tabelle4[[#This Row],[Total Project Volume (IPK)]]+Tabelle4[[#This Row],[Total Project Volume (ITA)]]</f>
        <v>88095</v>
      </c>
      <c r="CQ175" s="44">
        <f>Tabelle4[[#This Row],[Total Industry Funding (IPK)]]+Tabelle4[[#This Row],[Total Industry Funding (ITA)]]</f>
        <v>0</v>
      </c>
      <c r="CR175" s="44">
        <f>Tabelle4[[#This Row],[Industry Funding from DE (IPK)]]+Tabelle4[[#This Row],[Industry Funding from DE (ITA)]]</f>
        <v>0</v>
      </c>
      <c r="CS175" s="44">
        <f>Tabelle4[[#This Row],[Industry Funding from BR (IPK)]]+Tabelle4[[#This Row],[Industry Funding from BR (ITA)]]</f>
        <v>0</v>
      </c>
      <c r="CT175" s="44">
        <f>Tabelle4[[#This Row],[Total Public Funding (IPK)]]+Tabelle4[[#This Row],[Total Public Funding (ITA)]]</f>
        <v>88095</v>
      </c>
      <c r="CU175" s="44">
        <f>Tabelle4[[#This Row],[Public Funding from DE (IPK)]]+Tabelle4[[#This Row],[Public Funding from DE (ITA)]]</f>
        <v>0</v>
      </c>
      <c r="CV175" s="44">
        <f>Tabelle4[[#This Row],[Public Funding from BR (IPK)]]+Tabelle4[[#This Row],[Public Funding from BR (ITA)]]</f>
        <v>88095</v>
      </c>
      <c r="CW175" s="44">
        <f>Tabelle4[[#This Row],[Industry Funding from DE (FPC)]]+Tabelle4[[#This Row],[Public Funding from DE (FPC)]]</f>
        <v>0</v>
      </c>
      <c r="CX175" s="46">
        <f>Tabelle4[[#This Row],[Industry Funding from BR (FPC)]]+Tabelle4[[#This Row],[Public Funding from BR (FPC)]]</f>
        <v>88095</v>
      </c>
      <c r="CY175" s="44">
        <f>Tabelle4[[#This Row],[Total Financial Budget (Other)]]+Tabelle4[[#This Row],[Total In-kind Contribution (Other)]]</f>
        <v>0</v>
      </c>
      <c r="CZ17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75" s="44">
        <f>Tabelle4[[#This Row],[In-kind Contribution (R&amp;D III)]]+Tabelle4[[#This Row],[In-kind Contribution (R&amp;D IV)]]</f>
        <v>0</v>
      </c>
      <c r="DB175" s="158">
        <f>Tabelle4[[#This Row],[Total Budget (FPC)]]+Tabelle4[[#This Row],[Total Volume (Other)]]</f>
        <v>88095</v>
      </c>
      <c r="DC175" s="104">
        <f>Tabelle4[[#This Row],[Total Revenues (IPK)]]</f>
        <v>0</v>
      </c>
      <c r="DD175" s="47">
        <v>0</v>
      </c>
      <c r="DE175" s="44">
        <f>Tabelle4[[#This Row],[Total Revenues IPK]]*Tabelle4[[#This Row],[Probability of Success]]</f>
        <v>0</v>
      </c>
      <c r="DK175" s="47">
        <v>0</v>
      </c>
      <c r="DL175" s="44">
        <f>Tabelle4[[#This Row],[Real Budget IPK]]*Tabelle4[[#This Row],[Acquisition Factor OE810]]</f>
        <v>0</v>
      </c>
      <c r="DM175" s="44">
        <v>0</v>
      </c>
      <c r="DN175" s="46">
        <f>Tabelle4[[#This Row],[Acquisition Bonus OE810]]+Tabelle4[[#This Row],[Project Execution OE810]]</f>
        <v>0</v>
      </c>
    </row>
    <row r="176" spans="1:118" ht="27.75" x14ac:dyDescent="0.45">
      <c r="A176" s="70" t="s">
        <v>431</v>
      </c>
      <c r="C176" s="33" t="s">
        <v>123</v>
      </c>
      <c r="D176" s="33" t="s">
        <v>706</v>
      </c>
      <c r="G176" s="33" t="s">
        <v>2</v>
      </c>
      <c r="H176" s="33" t="s">
        <v>0</v>
      </c>
      <c r="K176" s="33" t="s">
        <v>245</v>
      </c>
      <c r="L176" s="33" t="s">
        <v>651</v>
      </c>
      <c r="X176" s="59">
        <v>44188</v>
      </c>
      <c r="Z176" s="42" t="str">
        <f t="shared" si="27"/>
        <v>IPK</v>
      </c>
      <c r="AG176" s="42" t="str">
        <f t="shared" si="28"/>
        <v>ITA</v>
      </c>
      <c r="AH176" s="33" t="s">
        <v>442</v>
      </c>
      <c r="AI176" s="33" t="s">
        <v>346</v>
      </c>
      <c r="AM176" s="104">
        <v>516190</v>
      </c>
      <c r="AO176" s="42"/>
      <c r="AV176" s="42"/>
      <c r="BC176" s="42" t="s">
        <v>123</v>
      </c>
      <c r="BE176" s="61">
        <v>516190</v>
      </c>
      <c r="BF176" s="65"/>
      <c r="BY176" s="44">
        <f>Tabelle4[[#This Row],[Industry Funding from DE (IPK)]]+Tabelle4[[#This Row],[Industry Funding from BR (IPK)]]+Tabelle4[[#This Row],[Public Funding from DE (IPK)]]+Tabelle4[[#This Row],[Public Funding from BR (IPK)]]+Tabelle4[[#This Row],[In-kind Contribution (IPK)]]</f>
        <v>0</v>
      </c>
      <c r="BZ176" s="44">
        <f>Tabelle4[[#This Row],[Industry Funding from DE (IPK)]]+Tabelle4[[#This Row],[Industry Funding from BR (IPK)]]+Tabelle4[[#This Row],[Public Funding from DE (IPK)]]+Tabelle4[[#This Row],[Public Funding from BR (IPK)]]</f>
        <v>0</v>
      </c>
      <c r="CA176" s="44">
        <f>Tabelle4[[#This Row],[Industry Funding from DE (IPK)]]+Tabelle4[[#This Row],[Industry Funding from BR (IPK)]]</f>
        <v>0</v>
      </c>
      <c r="CB176" s="44">
        <f>Tabelle4[[#This Row],[Public Funding from DE (IPK)]]+Tabelle4[[#This Row],[Public Funding from BR (IPK)]]</f>
        <v>0</v>
      </c>
      <c r="CC176" s="44">
        <f>Tabelle4[[#This Row],[In-kind Contribution (IPK)]]</f>
        <v>0</v>
      </c>
      <c r="CD176" s="47" t="e">
        <f>(Tabelle4[[#This Row],[Total Industry Funding (IPK)]] + Tabelle4[[#This Row],[Total Public Funding (IPK)]])/Tabelle4[[#This Row],[Total Project Volume (IPK)]]</f>
        <v>#DIV/0!</v>
      </c>
      <c r="CE176" s="47" t="e">
        <f>Tabelle4[[#This Row],[Total Industry Funding (IPK)]] / Tabelle4[[#This Row],[Total Project Volume (IPK)]]</f>
        <v>#DIV/0!</v>
      </c>
      <c r="CF176" s="33" t="str">
        <f>Tabelle4[[#This Row],[Project Funding Classification]]</f>
        <v>Industry</v>
      </c>
      <c r="CG176" s="44">
        <f>Tabelle4[[#This Row],[Industry Funding from DE (IPK)]]+Tabelle4[[#This Row],[Public Funding from DE (IPK)]]</f>
        <v>0</v>
      </c>
      <c r="CH176" s="46">
        <f>Tabelle4[[#This Row],[Industry Funding from BR (IPK)]]+Tabelle4[[#This Row],[Public Funding from BR (IPK)]]</f>
        <v>0</v>
      </c>
      <c r="CI176" s="44">
        <f>Tabelle4[[#This Row],[Industry Funding from DE (ITA)]]+Tabelle4[[#This Row],[Industry Funding from BR (ITA)]]+Tabelle4[[#This Row],[Public Funding from DE (ITA)]]+Tabelle4[[#This Row],[Public Funding from BR (ITA)]]</f>
        <v>516190</v>
      </c>
      <c r="CJ176" s="44">
        <f>Tabelle4[[#This Row],[Industry Funding from DE (ITA)]]+Tabelle4[[#This Row],[Industry Funding from BR (ITA)]]</f>
        <v>0</v>
      </c>
      <c r="CK176" s="44">
        <f>Tabelle4[[#This Row],[Public Funding from DE (ITA)]]+Tabelle4[[#This Row],[Public Funding from BR (ITA)]]</f>
        <v>516190</v>
      </c>
      <c r="CL176" s="47">
        <f>Tabelle4[[#This Row],[Total Industry Funding (ITA)]]/Tabelle4[[#This Row],[Total Project Volume (ITA)]]</f>
        <v>0</v>
      </c>
      <c r="CM176" s="33" t="str">
        <f>IF(Tabelle4[[#This Row],[Funding Ratio (ITA)]]&lt;0.5,"Public Funding","Industry")</f>
        <v>Public Funding</v>
      </c>
      <c r="CN176" s="44">
        <f>Tabelle4[[#This Row],[Industry Funding from DE (ITA)]]+Tabelle4[[#This Row],[Public Funding from DE (ITA)]]</f>
        <v>0</v>
      </c>
      <c r="CO176" s="46">
        <f>Tabelle4[[#This Row],[Industry Funding from BR (ITA)]]+Tabelle4[[#This Row],[Public Funding from BR (ITA)]]</f>
        <v>516190</v>
      </c>
      <c r="CP176" s="44">
        <f>Tabelle4[[#This Row],[Total Project Volume (IPK)]]+Tabelle4[[#This Row],[Total Project Volume (ITA)]]</f>
        <v>516190</v>
      </c>
      <c r="CQ176" s="44">
        <f>Tabelle4[[#This Row],[Total Industry Funding (IPK)]]+Tabelle4[[#This Row],[Total Industry Funding (ITA)]]</f>
        <v>0</v>
      </c>
      <c r="CR176" s="44">
        <f>Tabelle4[[#This Row],[Industry Funding from DE (IPK)]]+Tabelle4[[#This Row],[Industry Funding from DE (ITA)]]</f>
        <v>0</v>
      </c>
      <c r="CS176" s="44">
        <f>Tabelle4[[#This Row],[Industry Funding from BR (IPK)]]+Tabelle4[[#This Row],[Industry Funding from BR (ITA)]]</f>
        <v>0</v>
      </c>
      <c r="CT176" s="44">
        <f>Tabelle4[[#This Row],[Total Public Funding (IPK)]]+Tabelle4[[#This Row],[Total Public Funding (ITA)]]</f>
        <v>516190</v>
      </c>
      <c r="CU176" s="44">
        <f>Tabelle4[[#This Row],[Public Funding from DE (IPK)]]+Tabelle4[[#This Row],[Public Funding from DE (ITA)]]</f>
        <v>0</v>
      </c>
      <c r="CV176" s="44">
        <f>Tabelle4[[#This Row],[Public Funding from BR (IPK)]]+Tabelle4[[#This Row],[Public Funding from BR (ITA)]]</f>
        <v>516190</v>
      </c>
      <c r="CW176" s="44">
        <f>Tabelle4[[#This Row],[Industry Funding from DE (FPC)]]+Tabelle4[[#This Row],[Public Funding from DE (FPC)]]</f>
        <v>0</v>
      </c>
      <c r="CX176" s="46">
        <f>Tabelle4[[#This Row],[Industry Funding from BR (FPC)]]+Tabelle4[[#This Row],[Public Funding from BR (FPC)]]</f>
        <v>516190</v>
      </c>
      <c r="CY176" s="44">
        <f>Tabelle4[[#This Row],[Total Financial Budget (Other)]]+Tabelle4[[#This Row],[Total In-kind Contribution (Other)]]</f>
        <v>0</v>
      </c>
      <c r="CZ17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76" s="44">
        <f>Tabelle4[[#This Row],[In-kind Contribution (R&amp;D III)]]+Tabelle4[[#This Row],[In-kind Contribution (R&amp;D IV)]]</f>
        <v>0</v>
      </c>
      <c r="DB176" s="158">
        <f>Tabelle4[[#This Row],[Total Budget (FPC)]]+Tabelle4[[#This Row],[Total Volume (Other)]]</f>
        <v>516190</v>
      </c>
      <c r="DC176" s="104">
        <f>Tabelle4[[#This Row],[Total Revenues (IPK)]]</f>
        <v>0</v>
      </c>
      <c r="DE176" s="44">
        <f>Tabelle4[[#This Row],[Total Revenues IPK]]*Tabelle4[[#This Row],[Probability of Success]]</f>
        <v>0</v>
      </c>
      <c r="DL176" s="44">
        <f>Tabelle4[[#This Row],[Real Budget IPK]]*Tabelle4[[#This Row],[Acquisition Factor OE810]]</f>
        <v>0</v>
      </c>
      <c r="DM176" s="44">
        <v>0</v>
      </c>
      <c r="DN176" s="46">
        <f>Tabelle4[[#This Row],[Acquisition Bonus OE810]]+Tabelle4[[#This Row],[Project Execution OE810]]</f>
        <v>0</v>
      </c>
    </row>
    <row r="177" spans="1:118" ht="27.75" x14ac:dyDescent="0.45">
      <c r="A177" s="42" t="s">
        <v>652</v>
      </c>
      <c r="B177" s="33" t="s">
        <v>322</v>
      </c>
      <c r="C177" s="33" t="s">
        <v>465</v>
      </c>
      <c r="D177" s="33" t="s">
        <v>706</v>
      </c>
      <c r="E177" s="33">
        <v>1</v>
      </c>
      <c r="G177" s="33" t="s">
        <v>2</v>
      </c>
      <c r="H177" s="33" t="s">
        <v>0</v>
      </c>
      <c r="K177" s="33" t="s">
        <v>246</v>
      </c>
      <c r="L177" s="33" t="s">
        <v>309</v>
      </c>
      <c r="S177" s="59">
        <v>43767</v>
      </c>
      <c r="Y177" s="59">
        <v>44049</v>
      </c>
      <c r="Z177" s="42" t="str">
        <f t="shared" si="27"/>
        <v>IPK</v>
      </c>
      <c r="AB177" s="104"/>
      <c r="AC177" s="104"/>
      <c r="AD177" s="104"/>
      <c r="AE177" s="104"/>
      <c r="AF177" s="104"/>
      <c r="AG177" s="42" t="str">
        <f t="shared" si="28"/>
        <v>ITA</v>
      </c>
      <c r="AH177" s="33" t="s">
        <v>466</v>
      </c>
      <c r="AI177" s="33" t="s">
        <v>346</v>
      </c>
      <c r="AJ177" s="64"/>
      <c r="AK177" s="64"/>
      <c r="AO177" s="42"/>
      <c r="AQ177" s="104"/>
      <c r="AR177" s="104"/>
      <c r="AS177" s="104"/>
      <c r="AT177" s="104"/>
      <c r="AU177" s="104"/>
      <c r="AV177" s="42"/>
      <c r="AX177" s="104"/>
      <c r="AY177" s="104"/>
      <c r="AZ177" s="104"/>
      <c r="BA177" s="104"/>
      <c r="BB177" s="104"/>
      <c r="BC177" s="42"/>
      <c r="BE177" s="104"/>
      <c r="BF177" s="101"/>
      <c r="BI177" s="104"/>
      <c r="BJ177" s="101"/>
      <c r="BM177" s="104"/>
      <c r="BN177" s="101"/>
      <c r="BQ177" s="104"/>
      <c r="BR177" s="101"/>
      <c r="BU177" s="101"/>
      <c r="BX177" s="101"/>
      <c r="BY177" s="44">
        <f>Tabelle4[[#This Row],[Industry Funding from DE (IPK)]]+Tabelle4[[#This Row],[Industry Funding from BR (IPK)]]+Tabelle4[[#This Row],[Public Funding from DE (IPK)]]+Tabelle4[[#This Row],[Public Funding from BR (IPK)]]+Tabelle4[[#This Row],[In-kind Contribution (IPK)]]</f>
        <v>0</v>
      </c>
      <c r="BZ177" s="44">
        <f>Tabelle4[[#This Row],[Industry Funding from DE (IPK)]]+Tabelle4[[#This Row],[Industry Funding from BR (IPK)]]+Tabelle4[[#This Row],[Public Funding from DE (IPK)]]+Tabelle4[[#This Row],[Public Funding from BR (IPK)]]</f>
        <v>0</v>
      </c>
      <c r="CA177" s="44">
        <f>Tabelle4[[#This Row],[Industry Funding from DE (IPK)]]+Tabelle4[[#This Row],[Industry Funding from BR (IPK)]]</f>
        <v>0</v>
      </c>
      <c r="CB177" s="44">
        <f>Tabelle4[[#This Row],[Public Funding from DE (IPK)]]+Tabelle4[[#This Row],[Public Funding from BR (IPK)]]</f>
        <v>0</v>
      </c>
      <c r="CC177" s="44">
        <f>Tabelle4[[#This Row],[In-kind Contribution (IPK)]]</f>
        <v>0</v>
      </c>
      <c r="CD177" s="47" t="e">
        <f>(Tabelle4[[#This Row],[Total Industry Funding (IPK)]] + Tabelle4[[#This Row],[Total Public Funding (IPK)]])/Tabelle4[[#This Row],[Total Project Volume (IPK)]]</f>
        <v>#DIV/0!</v>
      </c>
      <c r="CE177" s="47" t="e">
        <f>Tabelle4[[#This Row],[Total Industry Funding (IPK)]] / Tabelle4[[#This Row],[Total Project Volume (IPK)]]</f>
        <v>#DIV/0!</v>
      </c>
      <c r="CF177" s="33" t="str">
        <f>Tabelle4[[#This Row],[Project Funding Classification]]</f>
        <v>Industry</v>
      </c>
      <c r="CG177" s="44">
        <f>Tabelle4[[#This Row],[Industry Funding from DE (IPK)]]+Tabelle4[[#This Row],[Public Funding from DE (IPK)]]</f>
        <v>0</v>
      </c>
      <c r="CH177" s="46">
        <f>Tabelle4[[#This Row],[Industry Funding from BR (IPK)]]+Tabelle4[[#This Row],[Public Funding from BR (IPK)]]</f>
        <v>0</v>
      </c>
      <c r="CI177" s="44">
        <f>Tabelle4[[#This Row],[Industry Funding from DE (ITA)]]+Tabelle4[[#This Row],[Industry Funding from BR (ITA)]]+Tabelle4[[#This Row],[Public Funding from DE (ITA)]]+Tabelle4[[#This Row],[Public Funding from BR (ITA)]]</f>
        <v>0</v>
      </c>
      <c r="CJ177" s="44">
        <f>Tabelle4[[#This Row],[Industry Funding from DE (ITA)]]+Tabelle4[[#This Row],[Industry Funding from BR (ITA)]]</f>
        <v>0</v>
      </c>
      <c r="CK177" s="44">
        <f>Tabelle4[[#This Row],[Public Funding from DE (ITA)]]+Tabelle4[[#This Row],[Public Funding from BR (ITA)]]</f>
        <v>0</v>
      </c>
      <c r="CL177" s="47" t="e">
        <f>Tabelle4[[#This Row],[Total Industry Funding (ITA)]]/Tabelle4[[#This Row],[Total Project Volume (ITA)]]</f>
        <v>#DIV/0!</v>
      </c>
      <c r="CM177" s="33" t="e">
        <f>IF(Tabelle4[[#This Row],[Funding Ratio (ITA)]]&lt;0.5,"Public Funding","Industry")</f>
        <v>#DIV/0!</v>
      </c>
      <c r="CN177" s="44">
        <f>Tabelle4[[#This Row],[Industry Funding from DE (ITA)]]+Tabelle4[[#This Row],[Public Funding from DE (ITA)]]</f>
        <v>0</v>
      </c>
      <c r="CO177" s="46">
        <f>Tabelle4[[#This Row],[Industry Funding from BR (ITA)]]+Tabelle4[[#This Row],[Public Funding from BR (ITA)]]</f>
        <v>0</v>
      </c>
      <c r="CP177" s="44">
        <f>Tabelle4[[#This Row],[Total Project Volume (IPK)]]+Tabelle4[[#This Row],[Total Project Volume (ITA)]]</f>
        <v>0</v>
      </c>
      <c r="CQ177" s="44">
        <f>Tabelle4[[#This Row],[Total Industry Funding (IPK)]]+Tabelle4[[#This Row],[Total Industry Funding (ITA)]]</f>
        <v>0</v>
      </c>
      <c r="CR177" s="44">
        <f>Tabelle4[[#This Row],[Industry Funding from DE (IPK)]]+Tabelle4[[#This Row],[Industry Funding from DE (ITA)]]</f>
        <v>0</v>
      </c>
      <c r="CS177" s="44">
        <f>Tabelle4[[#This Row],[Industry Funding from BR (IPK)]]+Tabelle4[[#This Row],[Industry Funding from BR (ITA)]]</f>
        <v>0</v>
      </c>
      <c r="CT177" s="44">
        <f>Tabelle4[[#This Row],[Total Public Funding (IPK)]]+Tabelle4[[#This Row],[Total Public Funding (ITA)]]</f>
        <v>0</v>
      </c>
      <c r="CU177" s="44">
        <f>Tabelle4[[#This Row],[Public Funding from DE (IPK)]]+Tabelle4[[#This Row],[Public Funding from DE (ITA)]]</f>
        <v>0</v>
      </c>
      <c r="CV177" s="44">
        <f>Tabelle4[[#This Row],[Public Funding from BR (IPK)]]+Tabelle4[[#This Row],[Public Funding from BR (ITA)]]</f>
        <v>0</v>
      </c>
      <c r="CW177" s="44">
        <f>Tabelle4[[#This Row],[Industry Funding from DE (FPC)]]+Tabelle4[[#This Row],[Public Funding from DE (FPC)]]</f>
        <v>0</v>
      </c>
      <c r="CX177" s="46">
        <f>Tabelle4[[#This Row],[Industry Funding from BR (FPC)]]+Tabelle4[[#This Row],[Public Funding from BR (FPC)]]</f>
        <v>0</v>
      </c>
      <c r="CY177" s="44">
        <f>Tabelle4[[#This Row],[Total Financial Budget (Other)]]+Tabelle4[[#This Row],[Total In-kind Contribution (Other)]]</f>
        <v>0</v>
      </c>
      <c r="CZ17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77" s="44">
        <f>Tabelle4[[#This Row],[In-kind Contribution (R&amp;D III)]]+Tabelle4[[#This Row],[In-kind Contribution (R&amp;D IV)]]</f>
        <v>0</v>
      </c>
      <c r="DB177" s="158">
        <f>Tabelle4[[#This Row],[Total Budget (FPC)]]+Tabelle4[[#This Row],[Total Volume (Other)]]</f>
        <v>0</v>
      </c>
      <c r="DC177" s="104">
        <f>Tabelle4[[#This Row],[Total Revenues (IPK)]]</f>
        <v>0</v>
      </c>
      <c r="DE177" s="44">
        <f>Tabelle4[[#This Row],[Total Revenues IPK]]*Tabelle4[[#This Row],[Probability of Success]]</f>
        <v>0</v>
      </c>
      <c r="DL177" s="44">
        <f>Tabelle4[[#This Row],[Real Budget IPK]]*Tabelle4[[#This Row],[Acquisition Factor OE810]]</f>
        <v>0</v>
      </c>
      <c r="DN177" s="46">
        <f>Tabelle4[[#This Row],[Acquisition Bonus OE810]]+Tabelle4[[#This Row],[Project Execution OE810]]</f>
        <v>0</v>
      </c>
    </row>
    <row r="178" spans="1:118" ht="27.75" x14ac:dyDescent="0.45">
      <c r="A178" s="42" t="s">
        <v>653</v>
      </c>
      <c r="B178" s="33" t="s">
        <v>322</v>
      </c>
      <c r="C178" s="33" t="s">
        <v>463</v>
      </c>
      <c r="D178" s="33" t="s">
        <v>704</v>
      </c>
      <c r="E178" s="33">
        <v>1</v>
      </c>
      <c r="G178" s="33" t="s">
        <v>2</v>
      </c>
      <c r="H178" s="33" t="s">
        <v>0</v>
      </c>
      <c r="K178" s="33" t="s">
        <v>246</v>
      </c>
      <c r="L178" s="59" t="s">
        <v>309</v>
      </c>
      <c r="S178" s="59">
        <v>43766</v>
      </c>
      <c r="Z178" s="42" t="str">
        <f t="shared" si="27"/>
        <v>IPK</v>
      </c>
      <c r="AC178" s="104"/>
      <c r="AG178" s="42" t="str">
        <f t="shared" si="28"/>
        <v>ITA</v>
      </c>
      <c r="AH178" s="33" t="s">
        <v>395</v>
      </c>
      <c r="AI178" s="33" t="s">
        <v>331</v>
      </c>
      <c r="AJ178" s="64"/>
      <c r="AK178" s="64"/>
      <c r="AO178" s="42"/>
      <c r="AV178" s="42"/>
      <c r="BC178" s="42"/>
      <c r="BF178" s="65"/>
      <c r="BY178" s="44">
        <f>Tabelle4[[#This Row],[Industry Funding from DE (IPK)]]+Tabelle4[[#This Row],[Industry Funding from BR (IPK)]]+Tabelle4[[#This Row],[Public Funding from DE (IPK)]]+Tabelle4[[#This Row],[Public Funding from BR (IPK)]]+Tabelle4[[#This Row],[In-kind Contribution (IPK)]]</f>
        <v>0</v>
      </c>
      <c r="BZ178" s="44">
        <f>Tabelle4[[#This Row],[Industry Funding from DE (IPK)]]+Tabelle4[[#This Row],[Industry Funding from BR (IPK)]]+Tabelle4[[#This Row],[Public Funding from DE (IPK)]]+Tabelle4[[#This Row],[Public Funding from BR (IPK)]]</f>
        <v>0</v>
      </c>
      <c r="CA178" s="44">
        <f>Tabelle4[[#This Row],[Industry Funding from DE (IPK)]]+Tabelle4[[#This Row],[Industry Funding from BR (IPK)]]</f>
        <v>0</v>
      </c>
      <c r="CB178" s="44">
        <f>Tabelle4[[#This Row],[Public Funding from DE (IPK)]]+Tabelle4[[#This Row],[Public Funding from BR (IPK)]]</f>
        <v>0</v>
      </c>
      <c r="CC178" s="44">
        <f>Tabelle4[[#This Row],[In-kind Contribution (IPK)]]</f>
        <v>0</v>
      </c>
      <c r="CD178" s="47" t="e">
        <f>(Tabelle4[[#This Row],[Total Industry Funding (IPK)]] + Tabelle4[[#This Row],[Total Public Funding (IPK)]])/Tabelle4[[#This Row],[Total Project Volume (IPK)]]</f>
        <v>#DIV/0!</v>
      </c>
      <c r="CE178" s="47" t="e">
        <f>Tabelle4[[#This Row],[Total Industry Funding (IPK)]] / Tabelle4[[#This Row],[Total Project Volume (IPK)]]</f>
        <v>#DIV/0!</v>
      </c>
      <c r="CF178" s="33" t="str">
        <f>Tabelle4[[#This Row],[Project Funding Classification]]</f>
        <v>Industry</v>
      </c>
      <c r="CG178" s="44">
        <f>Tabelle4[[#This Row],[Industry Funding from DE (IPK)]]+Tabelle4[[#This Row],[Public Funding from DE (IPK)]]</f>
        <v>0</v>
      </c>
      <c r="CH178" s="46">
        <f>Tabelle4[[#This Row],[Industry Funding from BR (IPK)]]+Tabelle4[[#This Row],[Public Funding from BR (IPK)]]</f>
        <v>0</v>
      </c>
      <c r="CI178" s="44">
        <f>Tabelle4[[#This Row],[Industry Funding from DE (ITA)]]+Tabelle4[[#This Row],[Industry Funding from BR (ITA)]]+Tabelle4[[#This Row],[Public Funding from DE (ITA)]]+Tabelle4[[#This Row],[Public Funding from BR (ITA)]]</f>
        <v>0</v>
      </c>
      <c r="CJ178" s="44">
        <f>Tabelle4[[#This Row],[Industry Funding from DE (ITA)]]+Tabelle4[[#This Row],[Industry Funding from BR (ITA)]]</f>
        <v>0</v>
      </c>
      <c r="CK178" s="44">
        <f>Tabelle4[[#This Row],[Public Funding from DE (ITA)]]+Tabelle4[[#This Row],[Public Funding from BR (ITA)]]</f>
        <v>0</v>
      </c>
      <c r="CL178" s="47" t="e">
        <f>Tabelle4[[#This Row],[Total Industry Funding (ITA)]]/Tabelle4[[#This Row],[Total Project Volume (ITA)]]</f>
        <v>#DIV/0!</v>
      </c>
      <c r="CM178" s="33" t="e">
        <f>IF(Tabelle4[[#This Row],[Funding Ratio (ITA)]]&lt;0.5,"Public Funding","Industry")</f>
        <v>#DIV/0!</v>
      </c>
      <c r="CN178" s="44">
        <f>Tabelle4[[#This Row],[Industry Funding from DE (ITA)]]+Tabelle4[[#This Row],[Public Funding from DE (ITA)]]</f>
        <v>0</v>
      </c>
      <c r="CO178" s="46">
        <f>Tabelle4[[#This Row],[Industry Funding from BR (ITA)]]+Tabelle4[[#This Row],[Public Funding from BR (ITA)]]</f>
        <v>0</v>
      </c>
      <c r="CP178" s="44">
        <f>Tabelle4[[#This Row],[Total Project Volume (IPK)]]+Tabelle4[[#This Row],[Total Project Volume (ITA)]]</f>
        <v>0</v>
      </c>
      <c r="CQ178" s="44">
        <f>Tabelle4[[#This Row],[Total Industry Funding (IPK)]]+Tabelle4[[#This Row],[Total Industry Funding (ITA)]]</f>
        <v>0</v>
      </c>
      <c r="CR178" s="44">
        <f>Tabelle4[[#This Row],[Industry Funding from DE (IPK)]]+Tabelle4[[#This Row],[Industry Funding from DE (ITA)]]</f>
        <v>0</v>
      </c>
      <c r="CS178" s="44">
        <f>Tabelle4[[#This Row],[Industry Funding from BR (IPK)]]+Tabelle4[[#This Row],[Industry Funding from BR (ITA)]]</f>
        <v>0</v>
      </c>
      <c r="CT178" s="44">
        <f>Tabelle4[[#This Row],[Total Public Funding (IPK)]]+Tabelle4[[#This Row],[Total Public Funding (ITA)]]</f>
        <v>0</v>
      </c>
      <c r="CU178" s="44">
        <f>Tabelle4[[#This Row],[Public Funding from DE (IPK)]]+Tabelle4[[#This Row],[Public Funding from DE (ITA)]]</f>
        <v>0</v>
      </c>
      <c r="CV178" s="44">
        <f>Tabelle4[[#This Row],[Public Funding from BR (IPK)]]+Tabelle4[[#This Row],[Public Funding from BR (ITA)]]</f>
        <v>0</v>
      </c>
      <c r="CW178" s="44">
        <f>Tabelle4[[#This Row],[Industry Funding from DE (FPC)]]+Tabelle4[[#This Row],[Public Funding from DE (FPC)]]</f>
        <v>0</v>
      </c>
      <c r="CX178" s="46">
        <f>Tabelle4[[#This Row],[Industry Funding from BR (FPC)]]+Tabelle4[[#This Row],[Public Funding from BR (FPC)]]</f>
        <v>0</v>
      </c>
      <c r="CY178" s="44">
        <f>Tabelle4[[#This Row],[Total Financial Budget (Other)]]+Tabelle4[[#This Row],[Total In-kind Contribution (Other)]]</f>
        <v>0</v>
      </c>
      <c r="CZ17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78" s="44">
        <f>Tabelle4[[#This Row],[In-kind Contribution (R&amp;D III)]]+Tabelle4[[#This Row],[In-kind Contribution (R&amp;D IV)]]</f>
        <v>0</v>
      </c>
      <c r="DB178" s="158">
        <f>Tabelle4[[#This Row],[Total Budget (FPC)]]+Tabelle4[[#This Row],[Total Volume (Other)]]</f>
        <v>0</v>
      </c>
      <c r="DC178" s="104">
        <f>Tabelle4[[#This Row],[Total Revenues (IPK)]]</f>
        <v>0</v>
      </c>
      <c r="DE178" s="44">
        <f>Tabelle4[[#This Row],[Total Revenues IPK]]*Tabelle4[[#This Row],[Probability of Success]]</f>
        <v>0</v>
      </c>
      <c r="DL178" s="44">
        <f>Tabelle4[[#This Row],[Real Budget IPK]]*Tabelle4[[#This Row],[Acquisition Factor OE810]]</f>
        <v>0</v>
      </c>
      <c r="DN178" s="46">
        <f>Tabelle4[[#This Row],[Acquisition Bonus OE810]]+Tabelle4[[#This Row],[Project Execution OE810]]</f>
        <v>0</v>
      </c>
    </row>
    <row r="179" spans="1:118" ht="28.5" customHeight="1" x14ac:dyDescent="0.45">
      <c r="A179" s="48" t="s">
        <v>191</v>
      </c>
      <c r="B179" s="49"/>
      <c r="C179" s="49" t="s">
        <v>192</v>
      </c>
      <c r="D179" s="49" t="s">
        <v>707</v>
      </c>
      <c r="E179" s="49"/>
      <c r="F179" s="49"/>
      <c r="G179" s="49" t="s">
        <v>1</v>
      </c>
      <c r="H179" s="49" t="s">
        <v>0</v>
      </c>
      <c r="I179" s="49"/>
      <c r="J179" s="50"/>
      <c r="K179" s="49" t="s">
        <v>246</v>
      </c>
      <c r="L179" s="49"/>
      <c r="M179" s="146"/>
      <c r="N179" s="49"/>
      <c r="O179" s="50"/>
      <c r="P179" s="50"/>
      <c r="Q179" s="49"/>
      <c r="R179" s="50"/>
      <c r="S179" s="50"/>
      <c r="T179" s="50"/>
      <c r="U179" s="50"/>
      <c r="V179" s="50"/>
      <c r="W179" s="50"/>
      <c r="X179" s="50"/>
      <c r="Y179" s="50"/>
      <c r="Z179" s="48" t="str">
        <f t="shared" si="27"/>
        <v>IPK</v>
      </c>
      <c r="AA179" s="49"/>
      <c r="AB179" s="105"/>
      <c r="AC179" s="105">
        <v>24500</v>
      </c>
      <c r="AD179" s="105"/>
      <c r="AE179" s="105"/>
      <c r="AF179" s="105"/>
      <c r="AG179" s="48" t="str">
        <f t="shared" si="28"/>
        <v>ITA</v>
      </c>
      <c r="AH179" s="49"/>
      <c r="AI179" s="49"/>
      <c r="AO179" s="48"/>
      <c r="AP179" s="49"/>
      <c r="AQ179" s="105"/>
      <c r="AR179" s="105"/>
      <c r="AS179" s="105"/>
      <c r="AT179" s="105"/>
      <c r="AU179" s="105"/>
      <c r="AV179" s="48"/>
      <c r="AW179" s="49"/>
      <c r="AX179" s="105"/>
      <c r="AY179" s="105"/>
      <c r="AZ179" s="105"/>
      <c r="BA179" s="105"/>
      <c r="BB179" s="105"/>
      <c r="BC179" s="48" t="s">
        <v>192</v>
      </c>
      <c r="BD179" s="49"/>
      <c r="BE179" s="105">
        <v>24500</v>
      </c>
      <c r="BF179" s="102"/>
      <c r="BG179" s="49"/>
      <c r="BH179" s="49"/>
      <c r="BI179" s="105"/>
      <c r="BJ179" s="102"/>
      <c r="BK179" s="49"/>
      <c r="BL179" s="49"/>
      <c r="BM179" s="105"/>
      <c r="BN179" s="102"/>
      <c r="BO179" s="49"/>
      <c r="BP179" s="49"/>
      <c r="BQ179" s="105"/>
      <c r="BR179" s="102"/>
      <c r="BS179" s="49"/>
      <c r="BT179" s="49"/>
      <c r="BU179" s="102"/>
      <c r="BV179" s="49"/>
      <c r="BW179" s="49"/>
      <c r="BX179" s="102"/>
      <c r="BY179" s="51">
        <f>Tabelle4[[#This Row],[Industry Funding from DE (IPK)]]+Tabelle4[[#This Row],[Industry Funding from BR (IPK)]]+Tabelle4[[#This Row],[Public Funding from DE (IPK)]]+Tabelle4[[#This Row],[Public Funding from BR (IPK)]]+Tabelle4[[#This Row],[In-kind Contribution (IPK)]]</f>
        <v>24500</v>
      </c>
      <c r="BZ179" s="51">
        <f>Tabelle4[[#This Row],[Industry Funding from DE (IPK)]]+Tabelle4[[#This Row],[Industry Funding from BR (IPK)]]+Tabelle4[[#This Row],[Public Funding from DE (IPK)]]+Tabelle4[[#This Row],[Public Funding from BR (IPK)]]</f>
        <v>24500</v>
      </c>
      <c r="CA179" s="51">
        <f>Tabelle4[[#This Row],[Industry Funding from DE (IPK)]]+Tabelle4[[#This Row],[Industry Funding from BR (IPK)]]</f>
        <v>24500</v>
      </c>
      <c r="CB179" s="51">
        <f>Tabelle4[[#This Row],[Public Funding from DE (IPK)]]+Tabelle4[[#This Row],[Public Funding from BR (IPK)]]</f>
        <v>0</v>
      </c>
      <c r="CC179" s="51">
        <f>Tabelle4[[#This Row],[In-kind Contribution (IPK)]]</f>
        <v>0</v>
      </c>
      <c r="CD179" s="53">
        <f>(Tabelle4[[#This Row],[Total Industry Funding (IPK)]] + Tabelle4[[#This Row],[Total Public Funding (IPK)]])/Tabelle4[[#This Row],[Total Project Volume (IPK)]]</f>
        <v>1</v>
      </c>
      <c r="CE179" s="53">
        <f>Tabelle4[[#This Row],[Total Industry Funding (IPK)]] / Tabelle4[[#This Row],[Total Project Volume (IPK)]]</f>
        <v>1</v>
      </c>
      <c r="CF179" s="49" t="str">
        <f>Tabelle4[[#This Row],[Project Funding Classification]]</f>
        <v>Industry</v>
      </c>
      <c r="CG179" s="51">
        <f>Tabelle4[[#This Row],[Industry Funding from DE (IPK)]]+Tabelle4[[#This Row],[Public Funding from DE (IPK)]]</f>
        <v>0</v>
      </c>
      <c r="CH179" s="52">
        <f>Tabelle4[[#This Row],[Industry Funding from BR (IPK)]]+Tabelle4[[#This Row],[Public Funding from BR (IPK)]]</f>
        <v>24500</v>
      </c>
      <c r="CI179" s="51">
        <f>Tabelle4[[#This Row],[Industry Funding from DE (ITA)]]+Tabelle4[[#This Row],[Industry Funding from BR (ITA)]]+Tabelle4[[#This Row],[Public Funding from DE (ITA)]]+Tabelle4[[#This Row],[Public Funding from BR (ITA)]]</f>
        <v>0</v>
      </c>
      <c r="CJ179" s="51">
        <f>Tabelle4[[#This Row],[Industry Funding from DE (ITA)]]+Tabelle4[[#This Row],[Industry Funding from BR (ITA)]]</f>
        <v>0</v>
      </c>
      <c r="CK179" s="51">
        <f>Tabelle4[[#This Row],[Public Funding from DE (ITA)]]+Tabelle4[[#This Row],[Public Funding from BR (ITA)]]</f>
        <v>0</v>
      </c>
      <c r="CL179" s="53" t="e">
        <f>Tabelle4[[#This Row],[Total Industry Funding (ITA)]]/Tabelle4[[#This Row],[Total Project Volume (ITA)]]</f>
        <v>#DIV/0!</v>
      </c>
      <c r="CM179" s="49" t="e">
        <f>IF(Tabelle4[[#This Row],[Funding Ratio (ITA)]]&lt;0.5,"Public Funding","Industry")</f>
        <v>#DIV/0!</v>
      </c>
      <c r="CN179" s="51">
        <f>Tabelle4[[#This Row],[Industry Funding from DE (ITA)]]+Tabelle4[[#This Row],[Public Funding from DE (ITA)]]</f>
        <v>0</v>
      </c>
      <c r="CO179" s="52">
        <f>Tabelle4[[#This Row],[Industry Funding from BR (ITA)]]+Tabelle4[[#This Row],[Public Funding from BR (ITA)]]</f>
        <v>0</v>
      </c>
      <c r="CP179" s="51">
        <f>Tabelle4[[#This Row],[Total Project Volume (IPK)]]+Tabelle4[[#This Row],[Total Project Volume (ITA)]]</f>
        <v>24500</v>
      </c>
      <c r="CQ179" s="51">
        <f>Tabelle4[[#This Row],[Total Industry Funding (IPK)]]+Tabelle4[[#This Row],[Total Industry Funding (ITA)]]</f>
        <v>24500</v>
      </c>
      <c r="CR179" s="51">
        <f>Tabelle4[[#This Row],[Industry Funding from DE (IPK)]]+Tabelle4[[#This Row],[Industry Funding from DE (ITA)]]</f>
        <v>0</v>
      </c>
      <c r="CS179" s="51">
        <f>Tabelle4[[#This Row],[Industry Funding from BR (IPK)]]+Tabelle4[[#This Row],[Industry Funding from BR (ITA)]]</f>
        <v>24500</v>
      </c>
      <c r="CT179" s="51">
        <f>Tabelle4[[#This Row],[Total Public Funding (IPK)]]+Tabelle4[[#This Row],[Total Public Funding (ITA)]]</f>
        <v>0</v>
      </c>
      <c r="CU179" s="51">
        <f>Tabelle4[[#This Row],[Public Funding from DE (IPK)]]+Tabelle4[[#This Row],[Public Funding from DE (ITA)]]</f>
        <v>0</v>
      </c>
      <c r="CV179" s="51">
        <f>Tabelle4[[#This Row],[Public Funding from BR (IPK)]]+Tabelle4[[#This Row],[Public Funding from BR (ITA)]]</f>
        <v>0</v>
      </c>
      <c r="CW179" s="51">
        <f>Tabelle4[[#This Row],[Industry Funding from DE (FPC)]]+Tabelle4[[#This Row],[Public Funding from DE (FPC)]]</f>
        <v>0</v>
      </c>
      <c r="CX179" s="52">
        <f>Tabelle4[[#This Row],[Industry Funding from BR (FPC)]]+Tabelle4[[#This Row],[Public Funding from BR (FPC)]]</f>
        <v>24500</v>
      </c>
      <c r="CY179" s="44">
        <f>Tabelle4[[#This Row],[Total Financial Budget (Other)]]+Tabelle4[[#This Row],[Total In-kind Contribution (Other)]]</f>
        <v>0</v>
      </c>
      <c r="CZ179"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79" s="44">
        <f>Tabelle4[[#This Row],[In-kind Contribution (R&amp;D III)]]+Tabelle4[[#This Row],[In-kind Contribution (R&amp;D IV)]]</f>
        <v>0</v>
      </c>
      <c r="DB179" s="158">
        <f>Tabelle4[[#This Row],[Total Budget (FPC)]]+Tabelle4[[#This Row],[Total Volume (Other)]]</f>
        <v>24500</v>
      </c>
      <c r="DC179" s="105">
        <f>Tabelle4[[#This Row],[Total Revenues (IPK)]]</f>
        <v>24500</v>
      </c>
      <c r="DD179" s="53">
        <v>0.25</v>
      </c>
      <c r="DE179" s="51">
        <f>Tabelle4[[#This Row],[Total Revenues IPK]]*Tabelle4[[#This Row],[Probability of Success]]</f>
        <v>6125</v>
      </c>
      <c r="DF179" s="51"/>
      <c r="DG179" s="51"/>
      <c r="DH179" s="51"/>
      <c r="DI179" s="51"/>
      <c r="DJ179" s="51"/>
      <c r="DK179" s="53">
        <v>0.2</v>
      </c>
      <c r="DL179" s="51">
        <f>Tabelle4[[#This Row],[Real Budget IPK]]*Tabelle4[[#This Row],[Acquisition Factor OE810]]</f>
        <v>1225</v>
      </c>
      <c r="DM179" s="51">
        <v>0</v>
      </c>
      <c r="DN179" s="52">
        <f>Tabelle4[[#This Row],[Acquisition Bonus OE810]]+Tabelle4[[#This Row],[Project Execution OE810]]</f>
        <v>1225</v>
      </c>
    </row>
    <row r="180" spans="1:118" ht="41.65" x14ac:dyDescent="0.45">
      <c r="A180" s="42" t="s">
        <v>488</v>
      </c>
      <c r="B180" s="42" t="s">
        <v>489</v>
      </c>
      <c r="C180" s="33" t="s">
        <v>179</v>
      </c>
      <c r="D180" s="33" t="s">
        <v>711</v>
      </c>
      <c r="E180" s="33">
        <v>1</v>
      </c>
      <c r="F180" s="33">
        <v>2</v>
      </c>
      <c r="G180" s="33" t="s">
        <v>1</v>
      </c>
      <c r="H180" s="33" t="s">
        <v>0</v>
      </c>
      <c r="J180" s="59">
        <v>43799</v>
      </c>
      <c r="K180" s="33" t="s">
        <v>630</v>
      </c>
      <c r="Q180" s="33">
        <v>1</v>
      </c>
      <c r="U180" s="59">
        <v>43799</v>
      </c>
      <c r="Z180" s="42" t="str">
        <f t="shared" si="27"/>
        <v>IPK</v>
      </c>
      <c r="AA180" s="33" t="s">
        <v>141</v>
      </c>
      <c r="AC180" s="61">
        <v>29000</v>
      </c>
      <c r="AG180" s="42" t="str">
        <f t="shared" si="28"/>
        <v>ITA</v>
      </c>
      <c r="AJ180" s="64"/>
      <c r="AK180" s="64"/>
      <c r="AO180" s="42"/>
      <c r="AV180" s="42"/>
      <c r="BC180" s="42" t="s">
        <v>179</v>
      </c>
      <c r="BD180" s="33" t="s">
        <v>490</v>
      </c>
      <c r="BF180" s="65"/>
      <c r="BY180" s="44">
        <f>Tabelle4[[#This Row],[Industry Funding from DE (IPK)]]+Tabelle4[[#This Row],[Industry Funding from BR (IPK)]]+Tabelle4[[#This Row],[Public Funding from DE (IPK)]]+Tabelle4[[#This Row],[Public Funding from BR (IPK)]]+Tabelle4[[#This Row],[In-kind Contribution (IPK)]]</f>
        <v>29000</v>
      </c>
      <c r="BZ180" s="44">
        <f>Tabelle4[[#This Row],[Industry Funding from DE (IPK)]]+Tabelle4[[#This Row],[Industry Funding from BR (IPK)]]+Tabelle4[[#This Row],[Public Funding from DE (IPK)]]+Tabelle4[[#This Row],[Public Funding from BR (IPK)]]</f>
        <v>29000</v>
      </c>
      <c r="CA180" s="44">
        <f>Tabelle4[[#This Row],[Industry Funding from DE (IPK)]]+Tabelle4[[#This Row],[Industry Funding from BR (IPK)]]</f>
        <v>29000</v>
      </c>
      <c r="CB180" s="44">
        <f>Tabelle4[[#This Row],[Public Funding from DE (IPK)]]+Tabelle4[[#This Row],[Public Funding from BR (IPK)]]</f>
        <v>0</v>
      </c>
      <c r="CC180" s="44">
        <f>Tabelle4[[#This Row],[In-kind Contribution (IPK)]]</f>
        <v>0</v>
      </c>
      <c r="CD180" s="47">
        <f>(Tabelle4[[#This Row],[Total Industry Funding (IPK)]] + Tabelle4[[#This Row],[Total Public Funding (IPK)]])/Tabelle4[[#This Row],[Total Project Volume (IPK)]]</f>
        <v>1</v>
      </c>
      <c r="CE180" s="47">
        <f>Tabelle4[[#This Row],[Total Industry Funding (IPK)]] / Tabelle4[[#This Row],[Total Project Volume (IPK)]]</f>
        <v>1</v>
      </c>
      <c r="CF180" s="33" t="str">
        <f>Tabelle4[[#This Row],[Project Funding Classification]]</f>
        <v>Industry</v>
      </c>
      <c r="CG180" s="44">
        <f>Tabelle4[[#This Row],[Industry Funding from DE (IPK)]]+Tabelle4[[#This Row],[Public Funding from DE (IPK)]]</f>
        <v>0</v>
      </c>
      <c r="CH180" s="46">
        <f>Tabelle4[[#This Row],[Industry Funding from BR (IPK)]]+Tabelle4[[#This Row],[Public Funding from BR (IPK)]]</f>
        <v>29000</v>
      </c>
      <c r="CI180" s="44">
        <f>Tabelle4[[#This Row],[Industry Funding from DE (ITA)]]+Tabelle4[[#This Row],[Industry Funding from BR (ITA)]]+Tabelle4[[#This Row],[Public Funding from DE (ITA)]]+Tabelle4[[#This Row],[Public Funding from BR (ITA)]]</f>
        <v>0</v>
      </c>
      <c r="CJ180" s="44">
        <f>Tabelle4[[#This Row],[Industry Funding from DE (ITA)]]+Tabelle4[[#This Row],[Industry Funding from BR (ITA)]]</f>
        <v>0</v>
      </c>
      <c r="CK180" s="44">
        <f>Tabelle4[[#This Row],[Public Funding from DE (ITA)]]+Tabelle4[[#This Row],[Public Funding from BR (ITA)]]</f>
        <v>0</v>
      </c>
      <c r="CL180" s="47" t="e">
        <f>Tabelle4[[#This Row],[Total Industry Funding (ITA)]]/Tabelle4[[#This Row],[Total Project Volume (ITA)]]</f>
        <v>#DIV/0!</v>
      </c>
      <c r="CM180" s="33" t="e">
        <f>IF(Tabelle4[[#This Row],[Funding Ratio (ITA)]]&lt;0.5,"Public Funding","Industry")</f>
        <v>#DIV/0!</v>
      </c>
      <c r="CN180" s="44">
        <f>Tabelle4[[#This Row],[Industry Funding from DE (ITA)]]+Tabelle4[[#This Row],[Public Funding from DE (ITA)]]</f>
        <v>0</v>
      </c>
      <c r="CO180" s="46">
        <f>Tabelle4[[#This Row],[Industry Funding from BR (ITA)]]+Tabelle4[[#This Row],[Public Funding from BR (ITA)]]</f>
        <v>0</v>
      </c>
      <c r="CP180" s="44">
        <f>Tabelle4[[#This Row],[Total Project Volume (IPK)]]+Tabelle4[[#This Row],[Total Project Volume (ITA)]]</f>
        <v>29000</v>
      </c>
      <c r="CQ180" s="44">
        <f>Tabelle4[[#This Row],[Total Industry Funding (IPK)]]+Tabelle4[[#This Row],[Total Industry Funding (ITA)]]</f>
        <v>29000</v>
      </c>
      <c r="CR180" s="44">
        <f>Tabelle4[[#This Row],[Industry Funding from DE (IPK)]]+Tabelle4[[#This Row],[Industry Funding from DE (ITA)]]</f>
        <v>0</v>
      </c>
      <c r="CS180" s="44">
        <f>Tabelle4[[#This Row],[Industry Funding from BR (IPK)]]+Tabelle4[[#This Row],[Industry Funding from BR (ITA)]]</f>
        <v>29000</v>
      </c>
      <c r="CT180" s="44">
        <f>Tabelle4[[#This Row],[Total Public Funding (IPK)]]+Tabelle4[[#This Row],[Total Public Funding (ITA)]]</f>
        <v>0</v>
      </c>
      <c r="CU180" s="44">
        <f>Tabelle4[[#This Row],[Public Funding from DE (IPK)]]+Tabelle4[[#This Row],[Public Funding from DE (ITA)]]</f>
        <v>0</v>
      </c>
      <c r="CV180" s="44">
        <f>Tabelle4[[#This Row],[Public Funding from BR (IPK)]]+Tabelle4[[#This Row],[Public Funding from BR (ITA)]]</f>
        <v>0</v>
      </c>
      <c r="CW180" s="44">
        <f>Tabelle4[[#This Row],[Industry Funding from DE (FPC)]]+Tabelle4[[#This Row],[Public Funding from DE (FPC)]]</f>
        <v>0</v>
      </c>
      <c r="CX180" s="46">
        <f>Tabelle4[[#This Row],[Industry Funding from BR (FPC)]]+Tabelle4[[#This Row],[Public Funding from BR (FPC)]]</f>
        <v>29000</v>
      </c>
      <c r="CY180" s="44">
        <f>Tabelle4[[#This Row],[Total Financial Budget (Other)]]+Tabelle4[[#This Row],[Total In-kind Contribution (Other)]]</f>
        <v>0</v>
      </c>
      <c r="CZ18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80" s="44">
        <f>Tabelle4[[#This Row],[In-kind Contribution (R&amp;D III)]]+Tabelle4[[#This Row],[In-kind Contribution (R&amp;D IV)]]</f>
        <v>0</v>
      </c>
      <c r="DB180" s="158">
        <f>Tabelle4[[#This Row],[Total Budget (FPC)]]+Tabelle4[[#This Row],[Total Volume (Other)]]</f>
        <v>29000</v>
      </c>
      <c r="DC180" s="104">
        <f>Tabelle4[[#This Row],[Total Revenues (IPK)]]</f>
        <v>29000</v>
      </c>
      <c r="DD180" s="47">
        <v>0.05</v>
      </c>
      <c r="DE180" s="44">
        <f>Tabelle4[[#This Row],[Total Revenues IPK]]*Tabelle4[[#This Row],[Probability of Success]]</f>
        <v>1450</v>
      </c>
      <c r="DK180" s="47">
        <v>0.2</v>
      </c>
      <c r="DL180" s="44">
        <f>Tabelle4[[#This Row],[Real Budget IPK]]*Tabelle4[[#This Row],[Acquisition Factor OE810]]</f>
        <v>290</v>
      </c>
      <c r="DN180" s="46">
        <f>Tabelle4[[#This Row],[Acquisition Bonus OE810]]+Tabelle4[[#This Row],[Project Execution OE810]]</f>
        <v>290</v>
      </c>
    </row>
    <row r="181" spans="1:118" ht="27.75" x14ac:dyDescent="0.45">
      <c r="A181" s="42" t="s">
        <v>180</v>
      </c>
      <c r="B181" s="42"/>
      <c r="C181" s="33" t="s">
        <v>181</v>
      </c>
      <c r="D181" s="33" t="s">
        <v>711</v>
      </c>
      <c r="E181" s="33">
        <v>3</v>
      </c>
      <c r="G181" s="33" t="s">
        <v>97</v>
      </c>
      <c r="H181" s="33" t="s">
        <v>0</v>
      </c>
      <c r="K181" s="33" t="s">
        <v>630</v>
      </c>
      <c r="L181" s="33" t="s">
        <v>309</v>
      </c>
      <c r="N181" s="33" t="s">
        <v>647</v>
      </c>
      <c r="Q181" s="33">
        <v>5</v>
      </c>
      <c r="U181" s="59">
        <v>43497</v>
      </c>
      <c r="V181" s="59">
        <v>43718</v>
      </c>
      <c r="Z181" s="42" t="str">
        <f t="shared" si="27"/>
        <v>IPK</v>
      </c>
      <c r="AA181" s="33" t="s">
        <v>141</v>
      </c>
      <c r="AB181" s="104"/>
      <c r="AC181" s="104">
        <v>35000</v>
      </c>
      <c r="AD181" s="104"/>
      <c r="AE181" s="104"/>
      <c r="AF181" s="104"/>
      <c r="AG181" s="42" t="str">
        <f t="shared" si="28"/>
        <v>ITA</v>
      </c>
      <c r="AH181" s="33" t="s">
        <v>450</v>
      </c>
      <c r="AI181" s="33" t="s">
        <v>130</v>
      </c>
      <c r="AK181" s="104">
        <v>17000</v>
      </c>
      <c r="AO181" s="42" t="s">
        <v>297</v>
      </c>
      <c r="AP181" s="33" t="s">
        <v>298</v>
      </c>
      <c r="AQ181" s="104"/>
      <c r="AR181" s="104">
        <v>2000</v>
      </c>
      <c r="AS181" s="104"/>
      <c r="AT181" s="104"/>
      <c r="AU181" s="104"/>
      <c r="AV181" s="42" t="s">
        <v>181</v>
      </c>
      <c r="AW181" s="33" t="s">
        <v>299</v>
      </c>
      <c r="AX181" s="104"/>
      <c r="AY181" s="104">
        <v>12000</v>
      </c>
      <c r="AZ181" s="104"/>
      <c r="BA181" s="104"/>
      <c r="BB181" s="104"/>
      <c r="BC181" s="42" t="s">
        <v>181</v>
      </c>
      <c r="BE181" s="104">
        <v>52000</v>
      </c>
      <c r="BF181" s="101"/>
      <c r="BI181" s="104"/>
      <c r="BJ181" s="101"/>
      <c r="BM181" s="104"/>
      <c r="BN181" s="101"/>
      <c r="BQ181" s="104"/>
      <c r="BR181" s="101"/>
      <c r="BU181" s="101"/>
      <c r="BX181" s="101"/>
      <c r="BY181" s="44">
        <f>Tabelle4[[#This Row],[Industry Funding from DE (IPK)]]+Tabelle4[[#This Row],[Industry Funding from BR (IPK)]]+Tabelle4[[#This Row],[Public Funding from DE (IPK)]]+Tabelle4[[#This Row],[Public Funding from BR (IPK)]]+Tabelle4[[#This Row],[In-kind Contribution (IPK)]]</f>
        <v>35000</v>
      </c>
      <c r="BZ181" s="44">
        <f>Tabelle4[[#This Row],[Industry Funding from DE (IPK)]]+Tabelle4[[#This Row],[Industry Funding from BR (IPK)]]+Tabelle4[[#This Row],[Public Funding from DE (IPK)]]+Tabelle4[[#This Row],[Public Funding from BR (IPK)]]</f>
        <v>35000</v>
      </c>
      <c r="CA181" s="44">
        <f>Tabelle4[[#This Row],[Industry Funding from DE (IPK)]]+Tabelle4[[#This Row],[Industry Funding from BR (IPK)]]</f>
        <v>35000</v>
      </c>
      <c r="CB181" s="44">
        <f>Tabelle4[[#This Row],[Public Funding from DE (IPK)]]+Tabelle4[[#This Row],[Public Funding from BR (IPK)]]</f>
        <v>0</v>
      </c>
      <c r="CC181" s="44">
        <f>Tabelle4[[#This Row],[In-kind Contribution (IPK)]]</f>
        <v>0</v>
      </c>
      <c r="CD181" s="47">
        <f>(Tabelle4[[#This Row],[Total Industry Funding (IPK)]] + Tabelle4[[#This Row],[Total Public Funding (IPK)]])/Tabelle4[[#This Row],[Total Project Volume (IPK)]]</f>
        <v>1</v>
      </c>
      <c r="CE181" s="47">
        <f>Tabelle4[[#This Row],[Total Industry Funding (IPK)]] / Tabelle4[[#This Row],[Total Project Volume (IPK)]]</f>
        <v>1</v>
      </c>
      <c r="CF181" s="33" t="str">
        <f>Tabelle4[[#This Row],[Project Funding Classification]]</f>
        <v>Industry</v>
      </c>
      <c r="CG181" s="44">
        <f>Tabelle4[[#This Row],[Industry Funding from DE (IPK)]]+Tabelle4[[#This Row],[Public Funding from DE (IPK)]]</f>
        <v>0</v>
      </c>
      <c r="CH181" s="46">
        <f>Tabelle4[[#This Row],[Industry Funding from BR (IPK)]]+Tabelle4[[#This Row],[Public Funding from BR (IPK)]]</f>
        <v>35000</v>
      </c>
      <c r="CI181" s="44">
        <f>Tabelle4[[#This Row],[Industry Funding from DE (ITA)]]+Tabelle4[[#This Row],[Industry Funding from BR (ITA)]]+Tabelle4[[#This Row],[Public Funding from DE (ITA)]]+Tabelle4[[#This Row],[Public Funding from BR (ITA)]]</f>
        <v>17000</v>
      </c>
      <c r="CJ181" s="44">
        <f>Tabelle4[[#This Row],[Industry Funding from DE (ITA)]]+Tabelle4[[#This Row],[Industry Funding from BR (ITA)]]</f>
        <v>17000</v>
      </c>
      <c r="CK181" s="44">
        <f>Tabelle4[[#This Row],[Public Funding from DE (ITA)]]+Tabelle4[[#This Row],[Public Funding from BR (ITA)]]</f>
        <v>0</v>
      </c>
      <c r="CL181" s="47">
        <f>Tabelle4[[#This Row],[Total Industry Funding (ITA)]]/Tabelle4[[#This Row],[Total Project Volume (ITA)]]</f>
        <v>1</v>
      </c>
      <c r="CM181" s="33" t="str">
        <f>IF(Tabelle4[[#This Row],[Funding Ratio (ITA)]]&lt;0.5,"Public Funding","Industry")</f>
        <v>Industry</v>
      </c>
      <c r="CN181" s="44">
        <f>Tabelle4[[#This Row],[Industry Funding from DE (ITA)]]+Tabelle4[[#This Row],[Public Funding from DE (ITA)]]</f>
        <v>0</v>
      </c>
      <c r="CO181" s="46">
        <f>Tabelle4[[#This Row],[Industry Funding from BR (ITA)]]+Tabelle4[[#This Row],[Public Funding from BR (ITA)]]</f>
        <v>17000</v>
      </c>
      <c r="CP181" s="44">
        <f>Tabelle4[[#This Row],[Total Project Volume (IPK)]]+Tabelle4[[#This Row],[Total Project Volume (ITA)]]</f>
        <v>52000</v>
      </c>
      <c r="CQ181" s="44">
        <f>Tabelle4[[#This Row],[Total Industry Funding (IPK)]]+Tabelle4[[#This Row],[Total Industry Funding (ITA)]]</f>
        <v>52000</v>
      </c>
      <c r="CR181" s="44">
        <f>Tabelle4[[#This Row],[Industry Funding from DE (IPK)]]+Tabelle4[[#This Row],[Industry Funding from DE (ITA)]]</f>
        <v>0</v>
      </c>
      <c r="CS181" s="44">
        <f>Tabelle4[[#This Row],[Industry Funding from BR (IPK)]]+Tabelle4[[#This Row],[Industry Funding from BR (ITA)]]</f>
        <v>52000</v>
      </c>
      <c r="CT181" s="44">
        <f>Tabelle4[[#This Row],[Total Public Funding (IPK)]]+Tabelle4[[#This Row],[Total Public Funding (ITA)]]</f>
        <v>0</v>
      </c>
      <c r="CU181" s="44">
        <f>Tabelle4[[#This Row],[Public Funding from DE (IPK)]]+Tabelle4[[#This Row],[Public Funding from DE (ITA)]]</f>
        <v>0</v>
      </c>
      <c r="CV181" s="44">
        <f>Tabelle4[[#This Row],[Public Funding from BR (IPK)]]+Tabelle4[[#This Row],[Public Funding from BR (ITA)]]</f>
        <v>0</v>
      </c>
      <c r="CW181" s="44">
        <f>Tabelle4[[#This Row],[Industry Funding from DE (FPC)]]+Tabelle4[[#This Row],[Public Funding from DE (FPC)]]</f>
        <v>0</v>
      </c>
      <c r="CX181" s="46">
        <f>Tabelle4[[#This Row],[Industry Funding from BR (FPC)]]+Tabelle4[[#This Row],[Public Funding from BR (FPC)]]</f>
        <v>52000</v>
      </c>
      <c r="CY181" s="44">
        <f>Tabelle4[[#This Row],[Total Financial Budget (Other)]]+Tabelle4[[#This Row],[Total In-kind Contribution (Other)]]</f>
        <v>14000</v>
      </c>
      <c r="CZ18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14000</v>
      </c>
      <c r="DA181" s="44">
        <f>Tabelle4[[#This Row],[In-kind Contribution (R&amp;D III)]]+Tabelle4[[#This Row],[In-kind Contribution (R&amp;D IV)]]</f>
        <v>0</v>
      </c>
      <c r="DB181" s="158">
        <f>Tabelle4[[#This Row],[Total Budget (FPC)]]+Tabelle4[[#This Row],[Total Volume (Other)]]</f>
        <v>66000</v>
      </c>
      <c r="DC181" s="104">
        <f>Tabelle4[[#This Row],[Total Revenues (IPK)]]</f>
        <v>35000</v>
      </c>
      <c r="DD181" s="47">
        <v>0.25</v>
      </c>
      <c r="DE181" s="44">
        <f>Tabelle4[[#This Row],[Total Revenues IPK]]*Tabelle4[[#This Row],[Probability of Success]]</f>
        <v>8750</v>
      </c>
      <c r="DK181" s="47">
        <v>0.2</v>
      </c>
      <c r="DL181" s="44">
        <f>Tabelle4[[#This Row],[Real Budget IPK]]*Tabelle4[[#This Row],[Acquisition Factor OE810]]</f>
        <v>1750</v>
      </c>
      <c r="DM181" s="44">
        <v>5000</v>
      </c>
      <c r="DN181" s="46">
        <f>Tabelle4[[#This Row],[Acquisition Bonus OE810]]+Tabelle4[[#This Row],[Project Execution OE810]]</f>
        <v>6750</v>
      </c>
    </row>
    <row r="182" spans="1:118" ht="27.75" x14ac:dyDescent="0.45">
      <c r="A182" s="42" t="s">
        <v>178</v>
      </c>
      <c r="C182" s="33" t="s">
        <v>179</v>
      </c>
      <c r="D182" s="33" t="s">
        <v>711</v>
      </c>
      <c r="E182" s="33">
        <v>1</v>
      </c>
      <c r="G182" s="33" t="s">
        <v>1</v>
      </c>
      <c r="H182" s="33" t="s">
        <v>0</v>
      </c>
      <c r="J182" s="59">
        <v>43132</v>
      </c>
      <c r="K182" s="33" t="s">
        <v>245</v>
      </c>
      <c r="P182" s="59">
        <v>43770</v>
      </c>
      <c r="R182" s="59">
        <v>43830</v>
      </c>
      <c r="V182" s="59">
        <v>43689</v>
      </c>
      <c r="W182" s="59">
        <v>43776</v>
      </c>
      <c r="X182" s="59">
        <v>43830</v>
      </c>
      <c r="Z182" s="42" t="str">
        <f t="shared" si="27"/>
        <v>IPK</v>
      </c>
      <c r="AA182" s="33" t="s">
        <v>141</v>
      </c>
      <c r="AC182" s="61">
        <v>33000</v>
      </c>
      <c r="AG182" s="42" t="str">
        <f t="shared" si="28"/>
        <v>ITA</v>
      </c>
      <c r="AO182" s="42" t="s">
        <v>274</v>
      </c>
      <c r="AP182" s="33" t="s">
        <v>275</v>
      </c>
      <c r="AR182" s="61">
        <v>23000</v>
      </c>
      <c r="AV182" s="42"/>
      <c r="BC182" s="42" t="s">
        <v>179</v>
      </c>
      <c r="BD182" s="33" t="s">
        <v>276</v>
      </c>
      <c r="BE182" s="61">
        <v>56000</v>
      </c>
      <c r="BF182" s="65"/>
      <c r="BY182" s="44">
        <f>Tabelle4[[#This Row],[Industry Funding from DE (IPK)]]+Tabelle4[[#This Row],[Industry Funding from BR (IPK)]]+Tabelle4[[#This Row],[Public Funding from DE (IPK)]]+Tabelle4[[#This Row],[Public Funding from BR (IPK)]]+Tabelle4[[#This Row],[In-kind Contribution (IPK)]]</f>
        <v>33000</v>
      </c>
      <c r="BZ182" s="44">
        <f>Tabelle4[[#This Row],[Industry Funding from DE (IPK)]]+Tabelle4[[#This Row],[Industry Funding from BR (IPK)]]+Tabelle4[[#This Row],[Public Funding from DE (IPK)]]+Tabelle4[[#This Row],[Public Funding from BR (IPK)]]</f>
        <v>33000</v>
      </c>
      <c r="CA182" s="44">
        <f>Tabelle4[[#This Row],[Industry Funding from DE (IPK)]]+Tabelle4[[#This Row],[Industry Funding from BR (IPK)]]</f>
        <v>33000</v>
      </c>
      <c r="CB182" s="44">
        <f>Tabelle4[[#This Row],[Public Funding from DE (IPK)]]+Tabelle4[[#This Row],[Public Funding from BR (IPK)]]</f>
        <v>0</v>
      </c>
      <c r="CC182" s="44">
        <f>Tabelle4[[#This Row],[In-kind Contribution (IPK)]]</f>
        <v>0</v>
      </c>
      <c r="CD182" s="47">
        <f>(Tabelle4[[#This Row],[Total Industry Funding (IPK)]] + Tabelle4[[#This Row],[Total Public Funding (IPK)]])/Tabelle4[[#This Row],[Total Project Volume (IPK)]]</f>
        <v>1</v>
      </c>
      <c r="CE182" s="47">
        <f>Tabelle4[[#This Row],[Total Industry Funding (IPK)]] / Tabelle4[[#This Row],[Total Project Volume (IPK)]]</f>
        <v>1</v>
      </c>
      <c r="CF182" s="33" t="str">
        <f>Tabelle4[[#This Row],[Project Funding Classification]]</f>
        <v>Industry</v>
      </c>
      <c r="CG182" s="44">
        <f>Tabelle4[[#This Row],[Industry Funding from DE (IPK)]]+Tabelle4[[#This Row],[Public Funding from DE (IPK)]]</f>
        <v>0</v>
      </c>
      <c r="CH182" s="46">
        <f>Tabelle4[[#This Row],[Industry Funding from BR (IPK)]]+Tabelle4[[#This Row],[Public Funding from BR (IPK)]]</f>
        <v>33000</v>
      </c>
      <c r="CI182" s="44">
        <f>Tabelle4[[#This Row],[Industry Funding from DE (ITA)]]+Tabelle4[[#This Row],[Industry Funding from BR (ITA)]]+Tabelle4[[#This Row],[Public Funding from DE (ITA)]]+Tabelle4[[#This Row],[Public Funding from BR (ITA)]]</f>
        <v>0</v>
      </c>
      <c r="CJ182" s="44">
        <f>Tabelle4[[#This Row],[Industry Funding from DE (ITA)]]+Tabelle4[[#This Row],[Industry Funding from BR (ITA)]]</f>
        <v>0</v>
      </c>
      <c r="CK182" s="44">
        <f>Tabelle4[[#This Row],[Public Funding from DE (ITA)]]+Tabelle4[[#This Row],[Public Funding from BR (ITA)]]</f>
        <v>0</v>
      </c>
      <c r="CL182" s="47" t="e">
        <f>Tabelle4[[#This Row],[Total Industry Funding (ITA)]]/Tabelle4[[#This Row],[Total Project Volume (ITA)]]</f>
        <v>#DIV/0!</v>
      </c>
      <c r="CM182" s="33" t="e">
        <f>IF(Tabelle4[[#This Row],[Funding Ratio (ITA)]]&lt;0.5,"Public Funding","Industry")</f>
        <v>#DIV/0!</v>
      </c>
      <c r="CN182" s="44">
        <f>Tabelle4[[#This Row],[Industry Funding from DE (ITA)]]+Tabelle4[[#This Row],[Public Funding from DE (ITA)]]</f>
        <v>0</v>
      </c>
      <c r="CO182" s="46">
        <f>Tabelle4[[#This Row],[Industry Funding from BR (ITA)]]+Tabelle4[[#This Row],[Public Funding from BR (ITA)]]</f>
        <v>0</v>
      </c>
      <c r="CP182" s="44">
        <f>Tabelle4[[#This Row],[Total Project Volume (IPK)]]+Tabelle4[[#This Row],[Total Project Volume (ITA)]]</f>
        <v>33000</v>
      </c>
      <c r="CQ182" s="44">
        <f>Tabelle4[[#This Row],[Total Industry Funding (IPK)]]+Tabelle4[[#This Row],[Total Industry Funding (ITA)]]</f>
        <v>33000</v>
      </c>
      <c r="CR182" s="44">
        <f>Tabelle4[[#This Row],[Industry Funding from DE (IPK)]]+Tabelle4[[#This Row],[Industry Funding from DE (ITA)]]</f>
        <v>0</v>
      </c>
      <c r="CS182" s="44">
        <f>Tabelle4[[#This Row],[Industry Funding from BR (IPK)]]+Tabelle4[[#This Row],[Industry Funding from BR (ITA)]]</f>
        <v>33000</v>
      </c>
      <c r="CT182" s="44">
        <f>Tabelle4[[#This Row],[Total Public Funding (IPK)]]+Tabelle4[[#This Row],[Total Public Funding (ITA)]]</f>
        <v>0</v>
      </c>
      <c r="CU182" s="44">
        <f>Tabelle4[[#This Row],[Public Funding from DE (IPK)]]+Tabelle4[[#This Row],[Public Funding from DE (ITA)]]</f>
        <v>0</v>
      </c>
      <c r="CV182" s="44">
        <f>Tabelle4[[#This Row],[Public Funding from BR (IPK)]]+Tabelle4[[#This Row],[Public Funding from BR (ITA)]]</f>
        <v>0</v>
      </c>
      <c r="CW182" s="44">
        <f>Tabelle4[[#This Row],[Industry Funding from DE (FPC)]]+Tabelle4[[#This Row],[Public Funding from DE (FPC)]]</f>
        <v>0</v>
      </c>
      <c r="CX182" s="46">
        <f>Tabelle4[[#This Row],[Industry Funding from BR (FPC)]]+Tabelle4[[#This Row],[Public Funding from BR (FPC)]]</f>
        <v>33000</v>
      </c>
      <c r="CY182" s="44">
        <f>Tabelle4[[#This Row],[Total Financial Budget (Other)]]+Tabelle4[[#This Row],[Total In-kind Contribution (Other)]]</f>
        <v>23000</v>
      </c>
      <c r="CZ18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23000</v>
      </c>
      <c r="DA182" s="44">
        <f>Tabelle4[[#This Row],[In-kind Contribution (R&amp;D III)]]+Tabelle4[[#This Row],[In-kind Contribution (R&amp;D IV)]]</f>
        <v>0</v>
      </c>
      <c r="DB182" s="158">
        <f>Tabelle4[[#This Row],[Total Budget (FPC)]]+Tabelle4[[#This Row],[Total Volume (Other)]]</f>
        <v>56000</v>
      </c>
      <c r="DC182" s="104">
        <f>Tabelle4[[#This Row],[Total Revenues (IPK)]]</f>
        <v>33000</v>
      </c>
      <c r="DD182" s="47">
        <v>1</v>
      </c>
      <c r="DE182" s="44">
        <v>33000</v>
      </c>
      <c r="DF182" s="44">
        <v>5925</v>
      </c>
      <c r="DH182" s="44">
        <v>9921</v>
      </c>
      <c r="DI182" s="44">
        <v>8779</v>
      </c>
      <c r="DK182" s="47">
        <v>0.15</v>
      </c>
      <c r="DL182" s="44">
        <f>Tabelle4[[#This Row],[Real Budget IPK]]*Tabelle4[[#This Row],[Acquisition Factor OE810]]</f>
        <v>4950</v>
      </c>
      <c r="DM182" s="44">
        <f>3425</f>
        <v>3425</v>
      </c>
      <c r="DN182" s="46">
        <f>Tabelle4[[#This Row],[Acquisition Bonus OE810]]+Tabelle4[[#This Row],[Project Execution OE810]]</f>
        <v>8375</v>
      </c>
    </row>
    <row r="183" spans="1:118" ht="30.6" customHeight="1" x14ac:dyDescent="0.45">
      <c r="A183" s="42" t="s">
        <v>461</v>
      </c>
      <c r="C183" s="33" t="s">
        <v>218</v>
      </c>
      <c r="D183" s="33" t="s">
        <v>706</v>
      </c>
      <c r="G183" s="33" t="s">
        <v>97</v>
      </c>
      <c r="H183" s="33" t="s">
        <v>0</v>
      </c>
      <c r="K183" s="33" t="s">
        <v>246</v>
      </c>
      <c r="L183" s="33" t="s">
        <v>309</v>
      </c>
      <c r="Z183" s="42" t="str">
        <f t="shared" si="27"/>
        <v>IPK</v>
      </c>
      <c r="AC183" s="61">
        <v>33000</v>
      </c>
      <c r="AG183" s="42" t="str">
        <f t="shared" si="28"/>
        <v>ITA</v>
      </c>
      <c r="AK183" s="104">
        <v>10000</v>
      </c>
      <c r="AO183" s="42"/>
      <c r="AV183" s="42"/>
      <c r="BC183" s="42" t="s">
        <v>218</v>
      </c>
      <c r="BE183" s="61">
        <v>43000</v>
      </c>
      <c r="BF183" s="65"/>
      <c r="BY183" s="44">
        <f>Tabelle4[[#This Row],[Industry Funding from DE (IPK)]]+Tabelle4[[#This Row],[Industry Funding from BR (IPK)]]+Tabelle4[[#This Row],[Public Funding from DE (IPK)]]+Tabelle4[[#This Row],[Public Funding from BR (IPK)]]+Tabelle4[[#This Row],[In-kind Contribution (IPK)]]</f>
        <v>33000</v>
      </c>
      <c r="BZ183" s="44">
        <f>Tabelle4[[#This Row],[Industry Funding from DE (IPK)]]+Tabelle4[[#This Row],[Industry Funding from BR (IPK)]]+Tabelle4[[#This Row],[Public Funding from DE (IPK)]]+Tabelle4[[#This Row],[Public Funding from BR (IPK)]]</f>
        <v>33000</v>
      </c>
      <c r="CA183" s="44">
        <f>Tabelle4[[#This Row],[Industry Funding from DE (IPK)]]+Tabelle4[[#This Row],[Industry Funding from BR (IPK)]]</f>
        <v>33000</v>
      </c>
      <c r="CB183" s="44">
        <f>Tabelle4[[#This Row],[Public Funding from DE (IPK)]]+Tabelle4[[#This Row],[Public Funding from BR (IPK)]]</f>
        <v>0</v>
      </c>
      <c r="CC183" s="44">
        <f>Tabelle4[[#This Row],[In-kind Contribution (IPK)]]</f>
        <v>0</v>
      </c>
      <c r="CD183" s="47">
        <f>(Tabelle4[[#This Row],[Total Industry Funding (IPK)]] + Tabelle4[[#This Row],[Total Public Funding (IPK)]])/Tabelle4[[#This Row],[Total Project Volume (IPK)]]</f>
        <v>1</v>
      </c>
      <c r="CE183" s="47">
        <f>Tabelle4[[#This Row],[Total Industry Funding (IPK)]] / Tabelle4[[#This Row],[Total Project Volume (IPK)]]</f>
        <v>1</v>
      </c>
      <c r="CF183" s="33" t="str">
        <f>Tabelle4[[#This Row],[Project Funding Classification]]</f>
        <v>Industry</v>
      </c>
      <c r="CG183" s="44">
        <f>Tabelle4[[#This Row],[Industry Funding from DE (IPK)]]+Tabelle4[[#This Row],[Public Funding from DE (IPK)]]</f>
        <v>0</v>
      </c>
      <c r="CH183" s="46">
        <f>Tabelle4[[#This Row],[Industry Funding from BR (IPK)]]+Tabelle4[[#This Row],[Public Funding from BR (IPK)]]</f>
        <v>33000</v>
      </c>
      <c r="CI183" s="44">
        <f>Tabelle4[[#This Row],[Industry Funding from DE (ITA)]]+Tabelle4[[#This Row],[Industry Funding from BR (ITA)]]+Tabelle4[[#This Row],[Public Funding from DE (ITA)]]+Tabelle4[[#This Row],[Public Funding from BR (ITA)]]</f>
        <v>10000</v>
      </c>
      <c r="CJ183" s="44">
        <f>Tabelle4[[#This Row],[Industry Funding from DE (ITA)]]+Tabelle4[[#This Row],[Industry Funding from BR (ITA)]]</f>
        <v>10000</v>
      </c>
      <c r="CK183" s="44">
        <f>Tabelle4[[#This Row],[Public Funding from DE (ITA)]]+Tabelle4[[#This Row],[Public Funding from BR (ITA)]]</f>
        <v>0</v>
      </c>
      <c r="CL183" s="47">
        <f>Tabelle4[[#This Row],[Total Industry Funding (ITA)]]/Tabelle4[[#This Row],[Total Project Volume (ITA)]]</f>
        <v>1</v>
      </c>
      <c r="CM183" s="33" t="str">
        <f>IF(Tabelle4[[#This Row],[Funding Ratio (ITA)]]&lt;0.5,"Public Funding","Industry")</f>
        <v>Industry</v>
      </c>
      <c r="CN183" s="44">
        <f>Tabelle4[[#This Row],[Industry Funding from DE (ITA)]]+Tabelle4[[#This Row],[Public Funding from DE (ITA)]]</f>
        <v>0</v>
      </c>
      <c r="CO183" s="46">
        <f>Tabelle4[[#This Row],[Industry Funding from BR (ITA)]]+Tabelle4[[#This Row],[Public Funding from BR (ITA)]]</f>
        <v>10000</v>
      </c>
      <c r="CP183" s="44">
        <f>Tabelle4[[#This Row],[Total Project Volume (IPK)]]+Tabelle4[[#This Row],[Total Project Volume (ITA)]]</f>
        <v>43000</v>
      </c>
      <c r="CQ183" s="44">
        <f>Tabelle4[[#This Row],[Total Industry Funding (IPK)]]+Tabelle4[[#This Row],[Total Industry Funding (ITA)]]</f>
        <v>43000</v>
      </c>
      <c r="CR183" s="44">
        <f>Tabelle4[[#This Row],[Industry Funding from DE (IPK)]]+Tabelle4[[#This Row],[Industry Funding from DE (ITA)]]</f>
        <v>0</v>
      </c>
      <c r="CS183" s="44">
        <f>Tabelle4[[#This Row],[Industry Funding from BR (IPK)]]+Tabelle4[[#This Row],[Industry Funding from BR (ITA)]]</f>
        <v>43000</v>
      </c>
      <c r="CT183" s="44">
        <f>Tabelle4[[#This Row],[Total Public Funding (IPK)]]+Tabelle4[[#This Row],[Total Public Funding (ITA)]]</f>
        <v>0</v>
      </c>
      <c r="CU183" s="44">
        <f>Tabelle4[[#This Row],[Public Funding from DE (IPK)]]+Tabelle4[[#This Row],[Public Funding from DE (ITA)]]</f>
        <v>0</v>
      </c>
      <c r="CV183" s="44">
        <f>Tabelle4[[#This Row],[Public Funding from BR (IPK)]]+Tabelle4[[#This Row],[Public Funding from BR (ITA)]]</f>
        <v>0</v>
      </c>
      <c r="CW183" s="44">
        <f>Tabelle4[[#This Row],[Industry Funding from DE (FPC)]]+Tabelle4[[#This Row],[Public Funding from DE (FPC)]]</f>
        <v>0</v>
      </c>
      <c r="CX183" s="46">
        <f>Tabelle4[[#This Row],[Industry Funding from BR (FPC)]]+Tabelle4[[#This Row],[Public Funding from BR (FPC)]]</f>
        <v>43000</v>
      </c>
      <c r="CY183" s="44">
        <f>Tabelle4[[#This Row],[Total Financial Budget (Other)]]+Tabelle4[[#This Row],[Total In-kind Contribution (Other)]]</f>
        <v>0</v>
      </c>
      <c r="CZ18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83" s="44">
        <f>Tabelle4[[#This Row],[In-kind Contribution (R&amp;D III)]]+Tabelle4[[#This Row],[In-kind Contribution (R&amp;D IV)]]</f>
        <v>0</v>
      </c>
      <c r="DB183" s="158">
        <f>Tabelle4[[#This Row],[Total Budget (FPC)]]+Tabelle4[[#This Row],[Total Volume (Other)]]</f>
        <v>43000</v>
      </c>
      <c r="DC183" s="104">
        <f>Tabelle4[[#This Row],[Total Revenues (IPK)]]</f>
        <v>33000</v>
      </c>
      <c r="DE183" s="44">
        <f>Tabelle4[[#This Row],[Total Revenues IPK]]*Tabelle4[[#This Row],[Probability of Success]]</f>
        <v>0</v>
      </c>
      <c r="DL183" s="44">
        <f>Tabelle4[[#This Row],[Real Budget IPK]]*Tabelle4[[#This Row],[Acquisition Factor OE810]]</f>
        <v>0</v>
      </c>
      <c r="DN183" s="46">
        <f>Tabelle4[[#This Row],[Acquisition Bonus OE810]]+Tabelle4[[#This Row],[Project Execution OE810]]</f>
        <v>0</v>
      </c>
    </row>
    <row r="184" spans="1:118" ht="27.75" x14ac:dyDescent="0.45">
      <c r="A184" s="70" t="s">
        <v>325</v>
      </c>
      <c r="B184" s="33" t="s">
        <v>326</v>
      </c>
      <c r="C184" s="57" t="s">
        <v>166</v>
      </c>
      <c r="D184" s="57" t="s">
        <v>708</v>
      </c>
      <c r="E184" s="33">
        <v>1</v>
      </c>
      <c r="F184" s="33">
        <v>0</v>
      </c>
      <c r="G184" s="33" t="s">
        <v>2</v>
      </c>
      <c r="H184" s="33" t="s">
        <v>0</v>
      </c>
      <c r="J184" s="59">
        <v>43696</v>
      </c>
      <c r="K184" s="33" t="s">
        <v>246</v>
      </c>
      <c r="L184" s="59" t="s">
        <v>309</v>
      </c>
      <c r="Q184" s="58">
        <v>18</v>
      </c>
      <c r="R184" s="60"/>
      <c r="S184" s="60"/>
      <c r="T184" s="60"/>
      <c r="U184" s="60"/>
      <c r="Y184" s="59">
        <v>43878</v>
      </c>
      <c r="Z184" s="42" t="str">
        <f t="shared" si="27"/>
        <v>IPK</v>
      </c>
      <c r="AG184" s="42" t="str">
        <f t="shared" si="28"/>
        <v>ITA</v>
      </c>
      <c r="AH184" s="33" t="s">
        <v>327</v>
      </c>
      <c r="AI184" s="33" t="s">
        <v>316</v>
      </c>
      <c r="AK184" s="64">
        <f>(1500000/4.3111)</f>
        <v>347939.04108000279</v>
      </c>
      <c r="AL184" s="64"/>
      <c r="AO184" s="42"/>
      <c r="AV184" s="42"/>
      <c r="BC184" s="42" t="s">
        <v>166</v>
      </c>
      <c r="BE184" s="64">
        <f>(1500000/4.3111)</f>
        <v>347939.04108000279</v>
      </c>
      <c r="BF184" s="65"/>
      <c r="BY184" s="44">
        <f>Tabelle4[[#This Row],[Industry Funding from DE (IPK)]]+Tabelle4[[#This Row],[Industry Funding from BR (IPK)]]+Tabelle4[[#This Row],[Public Funding from DE (IPK)]]+Tabelle4[[#This Row],[Public Funding from BR (IPK)]]+Tabelle4[[#This Row],[In-kind Contribution (IPK)]]</f>
        <v>0</v>
      </c>
      <c r="BZ184" s="44">
        <f>Tabelle4[[#This Row],[Industry Funding from DE (IPK)]]+Tabelle4[[#This Row],[Industry Funding from BR (IPK)]]+Tabelle4[[#This Row],[Public Funding from DE (IPK)]]+Tabelle4[[#This Row],[Public Funding from BR (IPK)]]</f>
        <v>0</v>
      </c>
      <c r="CA184" s="44">
        <f>Tabelle4[[#This Row],[Industry Funding from DE (IPK)]]+Tabelle4[[#This Row],[Industry Funding from BR (IPK)]]</f>
        <v>0</v>
      </c>
      <c r="CB184" s="44">
        <f>Tabelle4[[#This Row],[Public Funding from DE (IPK)]]+Tabelle4[[#This Row],[Public Funding from BR (IPK)]]</f>
        <v>0</v>
      </c>
      <c r="CC184" s="44">
        <f>Tabelle4[[#This Row],[In-kind Contribution (IPK)]]</f>
        <v>0</v>
      </c>
      <c r="CD184" s="47" t="e">
        <f>(Tabelle4[[#This Row],[Total Industry Funding (IPK)]] + Tabelle4[[#This Row],[Total Public Funding (IPK)]])/Tabelle4[[#This Row],[Total Project Volume (IPK)]]</f>
        <v>#DIV/0!</v>
      </c>
      <c r="CE184" s="47" t="e">
        <f>Tabelle4[[#This Row],[Total Industry Funding (IPK)]] / Tabelle4[[#This Row],[Total Project Volume (IPK)]]</f>
        <v>#DIV/0!</v>
      </c>
      <c r="CF184" s="33" t="str">
        <f>Tabelle4[[#This Row],[Project Funding Classification]]</f>
        <v>Industry</v>
      </c>
      <c r="CG184" s="44">
        <f>Tabelle4[[#This Row],[Industry Funding from DE (IPK)]]+Tabelle4[[#This Row],[Public Funding from DE (IPK)]]</f>
        <v>0</v>
      </c>
      <c r="CH184" s="46">
        <f>Tabelle4[[#This Row],[Industry Funding from BR (IPK)]]+Tabelle4[[#This Row],[Public Funding from BR (IPK)]]</f>
        <v>0</v>
      </c>
      <c r="CI184" s="44">
        <f>Tabelle4[[#This Row],[Industry Funding from DE (ITA)]]+Tabelle4[[#This Row],[Industry Funding from BR (ITA)]]+Tabelle4[[#This Row],[Public Funding from DE (ITA)]]+Tabelle4[[#This Row],[Public Funding from BR (ITA)]]</f>
        <v>347939.04108000279</v>
      </c>
      <c r="CJ184" s="44">
        <f>Tabelle4[[#This Row],[Industry Funding from DE (ITA)]]+Tabelle4[[#This Row],[Industry Funding from BR (ITA)]]</f>
        <v>347939.04108000279</v>
      </c>
      <c r="CK184" s="44">
        <f>Tabelle4[[#This Row],[Public Funding from DE (ITA)]]+Tabelle4[[#This Row],[Public Funding from BR (ITA)]]</f>
        <v>0</v>
      </c>
      <c r="CL184" s="47">
        <f>Tabelle4[[#This Row],[Total Industry Funding (ITA)]]/Tabelle4[[#This Row],[Total Project Volume (ITA)]]</f>
        <v>1</v>
      </c>
      <c r="CM184" s="33" t="str">
        <f>IF(Tabelle4[[#This Row],[Funding Ratio (ITA)]]&lt;0.5,"Public Funding","Industry")</f>
        <v>Industry</v>
      </c>
      <c r="CN184" s="44">
        <f>Tabelle4[[#This Row],[Industry Funding from DE (ITA)]]+Tabelle4[[#This Row],[Public Funding from DE (ITA)]]</f>
        <v>0</v>
      </c>
      <c r="CO184" s="46">
        <f>Tabelle4[[#This Row],[Industry Funding from BR (ITA)]]+Tabelle4[[#This Row],[Public Funding from BR (ITA)]]</f>
        <v>347939.04108000279</v>
      </c>
      <c r="CP184" s="44">
        <f>Tabelle4[[#This Row],[Total Project Volume (IPK)]]+Tabelle4[[#This Row],[Total Project Volume (ITA)]]</f>
        <v>347939.04108000279</v>
      </c>
      <c r="CQ184" s="44">
        <f>Tabelle4[[#This Row],[Total Industry Funding (IPK)]]+Tabelle4[[#This Row],[Total Industry Funding (ITA)]]</f>
        <v>347939.04108000279</v>
      </c>
      <c r="CR184" s="44">
        <f>Tabelle4[[#This Row],[Industry Funding from DE (IPK)]]+Tabelle4[[#This Row],[Industry Funding from DE (ITA)]]</f>
        <v>0</v>
      </c>
      <c r="CS184" s="44">
        <f>Tabelle4[[#This Row],[Industry Funding from BR (IPK)]]+Tabelle4[[#This Row],[Industry Funding from BR (ITA)]]</f>
        <v>347939.04108000279</v>
      </c>
      <c r="CT184" s="44">
        <f>Tabelle4[[#This Row],[Total Public Funding (IPK)]]+Tabelle4[[#This Row],[Total Public Funding (ITA)]]</f>
        <v>0</v>
      </c>
      <c r="CU184" s="44">
        <f>Tabelle4[[#This Row],[Public Funding from DE (IPK)]]+Tabelle4[[#This Row],[Public Funding from DE (ITA)]]</f>
        <v>0</v>
      </c>
      <c r="CV184" s="44">
        <f>Tabelle4[[#This Row],[Public Funding from BR (IPK)]]+Tabelle4[[#This Row],[Public Funding from BR (ITA)]]</f>
        <v>0</v>
      </c>
      <c r="CW184" s="44">
        <f>Tabelle4[[#This Row],[Industry Funding from DE (FPC)]]+Tabelle4[[#This Row],[Public Funding from DE (FPC)]]</f>
        <v>0</v>
      </c>
      <c r="CX184" s="46">
        <f>Tabelle4[[#This Row],[Industry Funding from BR (FPC)]]+Tabelle4[[#This Row],[Public Funding from BR (FPC)]]</f>
        <v>347939.04108000279</v>
      </c>
      <c r="CY184" s="44">
        <f>Tabelle4[[#This Row],[Total Financial Budget (Other)]]+Tabelle4[[#This Row],[Total In-kind Contribution (Other)]]</f>
        <v>0</v>
      </c>
      <c r="CZ18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84" s="44">
        <f>Tabelle4[[#This Row],[In-kind Contribution (R&amp;D III)]]+Tabelle4[[#This Row],[In-kind Contribution (R&amp;D IV)]]</f>
        <v>0</v>
      </c>
      <c r="DB184" s="158">
        <f>Tabelle4[[#This Row],[Total Budget (FPC)]]+Tabelle4[[#This Row],[Total Volume (Other)]]</f>
        <v>347939.04108000279</v>
      </c>
      <c r="DC184" s="104">
        <f>Tabelle4[[#This Row],[Total Revenues (IPK)]]</f>
        <v>0</v>
      </c>
      <c r="DE184" s="44">
        <f>Tabelle4[[#This Row],[Total Revenues IPK]]*Tabelle4[[#This Row],[Probability of Success]]</f>
        <v>0</v>
      </c>
      <c r="DL184" s="44">
        <f>Tabelle4[[#This Row],[Real Budget IPK]]*Tabelle4[[#This Row],[Acquisition Factor OE810]]</f>
        <v>0</v>
      </c>
      <c r="DN184" s="46">
        <f>Tabelle4[[#This Row],[Acquisition Bonus OE810]]+Tabelle4[[#This Row],[Project Execution OE810]]</f>
        <v>0</v>
      </c>
    </row>
    <row r="185" spans="1:118" ht="27.75" x14ac:dyDescent="0.45">
      <c r="A185" s="42" t="s">
        <v>120</v>
      </c>
      <c r="B185" s="42"/>
      <c r="C185" s="33" t="s">
        <v>121</v>
      </c>
      <c r="D185" s="33" t="s">
        <v>711</v>
      </c>
      <c r="G185" s="33" t="s">
        <v>1</v>
      </c>
      <c r="H185" s="33" t="s">
        <v>0</v>
      </c>
      <c r="K185" s="33" t="s">
        <v>245</v>
      </c>
      <c r="Q185" s="33">
        <v>24</v>
      </c>
      <c r="Z185" s="42" t="str">
        <f t="shared" si="27"/>
        <v>IPK</v>
      </c>
      <c r="AB185" s="61">
        <v>0</v>
      </c>
      <c r="AC185" s="61">
        <v>36850</v>
      </c>
      <c r="AD185" s="61">
        <v>0</v>
      </c>
      <c r="AE185" s="61">
        <v>0</v>
      </c>
      <c r="AF185" s="61">
        <v>0</v>
      </c>
      <c r="AG185" s="42" t="str">
        <f t="shared" si="28"/>
        <v>ITA</v>
      </c>
      <c r="AI185" s="33" t="s">
        <v>116</v>
      </c>
      <c r="AJ185" s="104">
        <v>0</v>
      </c>
      <c r="AL185" s="104">
        <v>0</v>
      </c>
      <c r="AM185" s="104">
        <v>0</v>
      </c>
      <c r="AN185" s="104">
        <v>0</v>
      </c>
      <c r="AO185" s="42" t="s">
        <v>116</v>
      </c>
      <c r="AP185" s="33" t="s">
        <v>116</v>
      </c>
      <c r="AQ185" s="61">
        <v>0</v>
      </c>
      <c r="AR185" s="61">
        <v>0</v>
      </c>
      <c r="AS185" s="61">
        <v>0</v>
      </c>
      <c r="AT185" s="61">
        <v>0</v>
      </c>
      <c r="AU185" s="61">
        <v>0</v>
      </c>
      <c r="AV185" s="42" t="s">
        <v>116</v>
      </c>
      <c r="AW185" s="33" t="s">
        <v>116</v>
      </c>
      <c r="AX185" s="61">
        <v>0</v>
      </c>
      <c r="AY185" s="61">
        <v>0</v>
      </c>
      <c r="AZ185" s="61">
        <v>0</v>
      </c>
      <c r="BA185" s="61">
        <v>0</v>
      </c>
      <c r="BB185" s="61">
        <v>0</v>
      </c>
      <c r="BC185" s="42" t="s">
        <v>121</v>
      </c>
      <c r="BE185" s="61">
        <v>36850</v>
      </c>
      <c r="BF185" s="65">
        <v>0</v>
      </c>
      <c r="BG185" s="33" t="s">
        <v>116</v>
      </c>
      <c r="BH185" s="33" t="s">
        <v>116</v>
      </c>
      <c r="BI185" s="61">
        <v>0</v>
      </c>
      <c r="BJ185" s="65">
        <v>0</v>
      </c>
      <c r="BK185" s="33" t="s">
        <v>116</v>
      </c>
      <c r="BL185" s="33" t="s">
        <v>116</v>
      </c>
      <c r="BM185" s="61">
        <v>0</v>
      </c>
      <c r="BN185" s="65">
        <v>0</v>
      </c>
      <c r="BO185" s="33" t="s">
        <v>116</v>
      </c>
      <c r="BP185" s="33" t="s">
        <v>116</v>
      </c>
      <c r="BQ185" s="61">
        <v>0</v>
      </c>
      <c r="BR185" s="65">
        <v>0</v>
      </c>
      <c r="BS185" s="33" t="s">
        <v>116</v>
      </c>
      <c r="BT185" s="33" t="s">
        <v>116</v>
      </c>
      <c r="BU185" s="65">
        <v>0</v>
      </c>
      <c r="BV185" s="33" t="s">
        <v>116</v>
      </c>
      <c r="BW185" s="33" t="s">
        <v>116</v>
      </c>
      <c r="BX185" s="65">
        <v>0</v>
      </c>
      <c r="BY185" s="44">
        <f>Tabelle4[[#This Row],[Industry Funding from DE (IPK)]]+Tabelle4[[#This Row],[Industry Funding from BR (IPK)]]+Tabelle4[[#This Row],[Public Funding from DE (IPK)]]+Tabelle4[[#This Row],[Public Funding from BR (IPK)]]+Tabelle4[[#This Row],[In-kind Contribution (IPK)]]</f>
        <v>36850</v>
      </c>
      <c r="BZ185" s="44">
        <f>Tabelle4[[#This Row],[Industry Funding from DE (IPK)]]+Tabelle4[[#This Row],[Industry Funding from BR (IPK)]]+Tabelle4[[#This Row],[Public Funding from DE (IPK)]]+Tabelle4[[#This Row],[Public Funding from BR (IPK)]]</f>
        <v>36850</v>
      </c>
      <c r="CA185" s="44">
        <f>Tabelle4[[#This Row],[Industry Funding from DE (IPK)]]+Tabelle4[[#This Row],[Industry Funding from BR (IPK)]]</f>
        <v>36850</v>
      </c>
      <c r="CB185" s="44">
        <f>Tabelle4[[#This Row],[Public Funding from DE (IPK)]]+Tabelle4[[#This Row],[Public Funding from BR (IPK)]]</f>
        <v>0</v>
      </c>
      <c r="CC185" s="44">
        <f>Tabelle4[[#This Row],[In-kind Contribution (IPK)]]</f>
        <v>0</v>
      </c>
      <c r="CD185" s="47">
        <f>(Tabelle4[[#This Row],[Total Industry Funding (IPK)]] + Tabelle4[[#This Row],[Total Public Funding (IPK)]])/Tabelle4[[#This Row],[Total Project Volume (IPK)]]</f>
        <v>1</v>
      </c>
      <c r="CE185" s="47">
        <f>Tabelle4[[#This Row],[Total Industry Funding (IPK)]] / Tabelle4[[#This Row],[Total Project Volume (IPK)]]</f>
        <v>1</v>
      </c>
      <c r="CF185" s="33" t="str">
        <f>Tabelle4[[#This Row],[Project Funding Classification]]</f>
        <v>Industry</v>
      </c>
      <c r="CG185" s="44">
        <f>Tabelle4[[#This Row],[Industry Funding from DE (IPK)]]+Tabelle4[[#This Row],[Public Funding from DE (IPK)]]</f>
        <v>0</v>
      </c>
      <c r="CH185" s="46">
        <f>Tabelle4[[#This Row],[Industry Funding from BR (IPK)]]+Tabelle4[[#This Row],[Public Funding from BR (IPK)]]</f>
        <v>36850</v>
      </c>
      <c r="CI185" s="44">
        <f>Tabelle4[[#This Row],[Industry Funding from DE (ITA)]]+Tabelle4[[#This Row],[Industry Funding from BR (ITA)]]+Tabelle4[[#This Row],[Public Funding from DE (ITA)]]+Tabelle4[[#This Row],[Public Funding from BR (ITA)]]</f>
        <v>0</v>
      </c>
      <c r="CJ185" s="44">
        <f>Tabelle4[[#This Row],[Industry Funding from DE (ITA)]]+Tabelle4[[#This Row],[Industry Funding from BR (ITA)]]</f>
        <v>0</v>
      </c>
      <c r="CK185" s="44">
        <f>Tabelle4[[#This Row],[Public Funding from DE (ITA)]]+Tabelle4[[#This Row],[Public Funding from BR (ITA)]]</f>
        <v>0</v>
      </c>
      <c r="CL185" s="47" t="e">
        <f>Tabelle4[[#This Row],[Total Industry Funding (ITA)]]/Tabelle4[[#This Row],[Total Project Volume (ITA)]]</f>
        <v>#DIV/0!</v>
      </c>
      <c r="CM185" s="33" t="e">
        <f>IF(Tabelle4[[#This Row],[Funding Ratio (ITA)]]&lt;0.5,"Public Funding","Industry")</f>
        <v>#DIV/0!</v>
      </c>
      <c r="CN185" s="44">
        <f>Tabelle4[[#This Row],[Industry Funding from DE (ITA)]]+Tabelle4[[#This Row],[Public Funding from DE (ITA)]]</f>
        <v>0</v>
      </c>
      <c r="CO185" s="46">
        <f>Tabelle4[[#This Row],[Industry Funding from BR (ITA)]]+Tabelle4[[#This Row],[Public Funding from BR (ITA)]]</f>
        <v>0</v>
      </c>
      <c r="CP185" s="44">
        <f>Tabelle4[[#This Row],[Total Project Volume (IPK)]]+Tabelle4[[#This Row],[Total Project Volume (ITA)]]</f>
        <v>36850</v>
      </c>
      <c r="CQ185" s="44">
        <f>Tabelle4[[#This Row],[Total Industry Funding (IPK)]]+Tabelle4[[#This Row],[Total Industry Funding (ITA)]]</f>
        <v>36850</v>
      </c>
      <c r="CR185" s="44">
        <f>Tabelle4[[#This Row],[Industry Funding from DE (IPK)]]+Tabelle4[[#This Row],[Industry Funding from DE (ITA)]]</f>
        <v>0</v>
      </c>
      <c r="CS185" s="44">
        <f>Tabelle4[[#This Row],[Industry Funding from BR (IPK)]]+Tabelle4[[#This Row],[Industry Funding from BR (ITA)]]</f>
        <v>36850</v>
      </c>
      <c r="CT185" s="44">
        <f>Tabelle4[[#This Row],[Total Public Funding (IPK)]]+Tabelle4[[#This Row],[Total Public Funding (ITA)]]</f>
        <v>0</v>
      </c>
      <c r="CU185" s="44">
        <f>Tabelle4[[#This Row],[Public Funding from DE (IPK)]]+Tabelle4[[#This Row],[Public Funding from DE (ITA)]]</f>
        <v>0</v>
      </c>
      <c r="CV185" s="44">
        <f>Tabelle4[[#This Row],[Public Funding from BR (IPK)]]+Tabelle4[[#This Row],[Public Funding from BR (ITA)]]</f>
        <v>0</v>
      </c>
      <c r="CW185" s="44">
        <f>Tabelle4[[#This Row],[Industry Funding from DE (FPC)]]+Tabelle4[[#This Row],[Public Funding from DE (FPC)]]</f>
        <v>0</v>
      </c>
      <c r="CX185" s="46">
        <f>Tabelle4[[#This Row],[Industry Funding from BR (FPC)]]+Tabelle4[[#This Row],[Public Funding from BR (FPC)]]</f>
        <v>36850</v>
      </c>
      <c r="CY185" s="44">
        <f>Tabelle4[[#This Row],[Total Financial Budget (Other)]]+Tabelle4[[#This Row],[Total In-kind Contribution (Other)]]</f>
        <v>0</v>
      </c>
      <c r="CZ185"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85" s="44">
        <f>Tabelle4[[#This Row],[In-kind Contribution (R&amp;D III)]]+Tabelle4[[#This Row],[In-kind Contribution (R&amp;D IV)]]</f>
        <v>0</v>
      </c>
      <c r="DB185" s="158">
        <f>Tabelle4[[#This Row],[Total Budget (FPC)]]+Tabelle4[[#This Row],[Total Volume (Other)]]</f>
        <v>36850</v>
      </c>
      <c r="DC185" s="104">
        <f>Tabelle4[[#This Row],[Total Revenues (IPK)]]</f>
        <v>36850</v>
      </c>
      <c r="DD185" s="47">
        <v>1</v>
      </c>
      <c r="DE185" s="44">
        <f>Tabelle4[[#This Row],[Total Revenues IPK]]*Tabelle4[[#This Row],[Probability of Success]]</f>
        <v>36850</v>
      </c>
      <c r="DH185" s="44">
        <v>36850</v>
      </c>
      <c r="DK185" s="47">
        <v>0</v>
      </c>
      <c r="DL185" s="44">
        <f>Tabelle4[[#This Row],[Real Budget IPK]]*Tabelle4[[#This Row],[Acquisition Factor OE810]]</f>
        <v>0</v>
      </c>
      <c r="DM185" s="44">
        <v>0</v>
      </c>
      <c r="DN185" s="46">
        <f>Tabelle4[[#This Row],[Acquisition Bonus OE810]]+Tabelle4[[#This Row],[Project Execution OE810]]</f>
        <v>0</v>
      </c>
    </row>
    <row r="186" spans="1:118" ht="27.75" x14ac:dyDescent="0.45">
      <c r="A186" s="42" t="s">
        <v>500</v>
      </c>
      <c r="B186" s="33" t="s">
        <v>472</v>
      </c>
      <c r="C186" s="33" t="s">
        <v>462</v>
      </c>
      <c r="D186" s="33" t="s">
        <v>711</v>
      </c>
      <c r="E186" s="33">
        <v>1</v>
      </c>
      <c r="G186" s="33" t="s">
        <v>2</v>
      </c>
      <c r="H186" s="33" t="s">
        <v>0</v>
      </c>
      <c r="K186" s="33" t="s">
        <v>246</v>
      </c>
      <c r="L186" s="33" t="s">
        <v>309</v>
      </c>
      <c r="M186" s="144">
        <v>4.3110999999999997</v>
      </c>
      <c r="V186" s="59">
        <v>43766</v>
      </c>
      <c r="Y186" s="59">
        <v>44117</v>
      </c>
      <c r="Z186" s="42" t="str">
        <f t="shared" si="27"/>
        <v>IPK</v>
      </c>
      <c r="AG186" s="42" t="str">
        <f t="shared" si="28"/>
        <v>ITA</v>
      </c>
      <c r="AH186" s="33" t="s">
        <v>464</v>
      </c>
      <c r="AI186" s="33" t="s">
        <v>331</v>
      </c>
      <c r="AJ186" s="64"/>
      <c r="AK186" s="64">
        <f>(170000/M186)</f>
        <v>39433.091322400316</v>
      </c>
      <c r="AO186" s="42"/>
      <c r="AV186" s="42"/>
      <c r="BC186" s="42"/>
      <c r="BE186" s="104"/>
      <c r="BF186" s="65"/>
      <c r="BY186" s="44">
        <f>Tabelle4[[#This Row],[Industry Funding from DE (IPK)]]+Tabelle4[[#This Row],[Industry Funding from BR (IPK)]]+Tabelle4[[#This Row],[Public Funding from DE (IPK)]]+Tabelle4[[#This Row],[Public Funding from BR (IPK)]]+Tabelle4[[#This Row],[In-kind Contribution (IPK)]]</f>
        <v>0</v>
      </c>
      <c r="BZ186" s="44">
        <f>Tabelle4[[#This Row],[Industry Funding from DE (IPK)]]+Tabelle4[[#This Row],[Industry Funding from BR (IPK)]]+Tabelle4[[#This Row],[Public Funding from DE (IPK)]]+Tabelle4[[#This Row],[Public Funding from BR (IPK)]]</f>
        <v>0</v>
      </c>
      <c r="CA186" s="44">
        <f>Tabelle4[[#This Row],[Industry Funding from DE (IPK)]]+Tabelle4[[#This Row],[Industry Funding from BR (IPK)]]</f>
        <v>0</v>
      </c>
      <c r="CB186" s="44">
        <f>Tabelle4[[#This Row],[Public Funding from DE (IPK)]]+Tabelle4[[#This Row],[Public Funding from BR (IPK)]]</f>
        <v>0</v>
      </c>
      <c r="CC186" s="44">
        <f>Tabelle4[[#This Row],[In-kind Contribution (IPK)]]</f>
        <v>0</v>
      </c>
      <c r="CD186" s="47" t="e">
        <f>(Tabelle4[[#This Row],[Total Industry Funding (IPK)]] + Tabelle4[[#This Row],[Total Public Funding (IPK)]])/Tabelle4[[#This Row],[Total Project Volume (IPK)]]</f>
        <v>#DIV/0!</v>
      </c>
      <c r="CE186" s="47" t="e">
        <f>Tabelle4[[#This Row],[Total Industry Funding (IPK)]] / Tabelle4[[#This Row],[Total Project Volume (IPK)]]</f>
        <v>#DIV/0!</v>
      </c>
      <c r="CF186" s="33" t="str">
        <f>Tabelle4[[#This Row],[Project Funding Classification]]</f>
        <v>Industry</v>
      </c>
      <c r="CG186" s="44">
        <f>Tabelle4[[#This Row],[Industry Funding from DE (IPK)]]+Tabelle4[[#This Row],[Public Funding from DE (IPK)]]</f>
        <v>0</v>
      </c>
      <c r="CH186" s="46">
        <f>Tabelle4[[#This Row],[Industry Funding from BR (IPK)]]+Tabelle4[[#This Row],[Public Funding from BR (IPK)]]</f>
        <v>0</v>
      </c>
      <c r="CI186" s="44">
        <f>Tabelle4[[#This Row],[Industry Funding from DE (ITA)]]+Tabelle4[[#This Row],[Industry Funding from BR (ITA)]]+Tabelle4[[#This Row],[Public Funding from DE (ITA)]]+Tabelle4[[#This Row],[Public Funding from BR (ITA)]]</f>
        <v>39433.091322400316</v>
      </c>
      <c r="CJ186" s="44">
        <f>Tabelle4[[#This Row],[Industry Funding from DE (ITA)]]+Tabelle4[[#This Row],[Industry Funding from BR (ITA)]]</f>
        <v>39433.091322400316</v>
      </c>
      <c r="CK186" s="44">
        <f>Tabelle4[[#This Row],[Public Funding from DE (ITA)]]+Tabelle4[[#This Row],[Public Funding from BR (ITA)]]</f>
        <v>0</v>
      </c>
      <c r="CL186" s="47">
        <f>Tabelle4[[#This Row],[Total Industry Funding (ITA)]]/Tabelle4[[#This Row],[Total Project Volume (ITA)]]</f>
        <v>1</v>
      </c>
      <c r="CM186" s="33" t="str">
        <f>IF(Tabelle4[[#This Row],[Funding Ratio (ITA)]]&lt;0.5,"Public Funding","Industry")</f>
        <v>Industry</v>
      </c>
      <c r="CN186" s="44">
        <f>Tabelle4[[#This Row],[Industry Funding from DE (ITA)]]+Tabelle4[[#This Row],[Public Funding from DE (ITA)]]</f>
        <v>0</v>
      </c>
      <c r="CO186" s="46">
        <f>Tabelle4[[#This Row],[Industry Funding from BR (ITA)]]+Tabelle4[[#This Row],[Public Funding from BR (ITA)]]</f>
        <v>39433.091322400316</v>
      </c>
      <c r="CP186" s="44">
        <f>Tabelle4[[#This Row],[Total Project Volume (IPK)]]+Tabelle4[[#This Row],[Total Project Volume (ITA)]]</f>
        <v>39433.091322400316</v>
      </c>
      <c r="CQ186" s="44">
        <f>Tabelle4[[#This Row],[Total Industry Funding (IPK)]]+Tabelle4[[#This Row],[Total Industry Funding (ITA)]]</f>
        <v>39433.091322400316</v>
      </c>
      <c r="CR186" s="44">
        <f>Tabelle4[[#This Row],[Industry Funding from DE (IPK)]]+Tabelle4[[#This Row],[Industry Funding from DE (ITA)]]</f>
        <v>0</v>
      </c>
      <c r="CS186" s="44">
        <f>Tabelle4[[#This Row],[Industry Funding from BR (IPK)]]+Tabelle4[[#This Row],[Industry Funding from BR (ITA)]]</f>
        <v>39433.091322400316</v>
      </c>
      <c r="CT186" s="44">
        <f>Tabelle4[[#This Row],[Total Public Funding (IPK)]]+Tabelle4[[#This Row],[Total Public Funding (ITA)]]</f>
        <v>0</v>
      </c>
      <c r="CU186" s="44">
        <f>Tabelle4[[#This Row],[Public Funding from DE (IPK)]]+Tabelle4[[#This Row],[Public Funding from DE (ITA)]]</f>
        <v>0</v>
      </c>
      <c r="CV186" s="44">
        <f>Tabelle4[[#This Row],[Public Funding from BR (IPK)]]+Tabelle4[[#This Row],[Public Funding from BR (ITA)]]</f>
        <v>0</v>
      </c>
      <c r="CW186" s="44">
        <f>Tabelle4[[#This Row],[Industry Funding from DE (FPC)]]+Tabelle4[[#This Row],[Public Funding from DE (FPC)]]</f>
        <v>0</v>
      </c>
      <c r="CX186" s="46">
        <f>Tabelle4[[#This Row],[Industry Funding from BR (FPC)]]+Tabelle4[[#This Row],[Public Funding from BR (FPC)]]</f>
        <v>39433.091322400316</v>
      </c>
      <c r="CY186" s="44">
        <f>Tabelle4[[#This Row],[Total Financial Budget (Other)]]+Tabelle4[[#This Row],[Total In-kind Contribution (Other)]]</f>
        <v>0</v>
      </c>
      <c r="CZ18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86" s="44">
        <f>Tabelle4[[#This Row],[In-kind Contribution (R&amp;D III)]]+Tabelle4[[#This Row],[In-kind Contribution (R&amp;D IV)]]</f>
        <v>0</v>
      </c>
      <c r="DB186" s="158">
        <f>Tabelle4[[#This Row],[Total Budget (FPC)]]+Tabelle4[[#This Row],[Total Volume (Other)]]</f>
        <v>39433.091322400316</v>
      </c>
      <c r="DC186" s="104">
        <f>Tabelle4[[#This Row],[Total Revenues (IPK)]]</f>
        <v>0</v>
      </c>
      <c r="DE186" s="44">
        <f>Tabelle4[[#This Row],[Total Revenues IPK]]*Tabelle4[[#This Row],[Probability of Success]]</f>
        <v>0</v>
      </c>
      <c r="DL186" s="44">
        <f>Tabelle4[[#This Row],[Real Budget IPK]]*Tabelle4[[#This Row],[Acquisition Factor OE810]]</f>
        <v>0</v>
      </c>
      <c r="DN186" s="46">
        <f>Tabelle4[[#This Row],[Acquisition Bonus OE810]]+Tabelle4[[#This Row],[Project Execution OE810]]</f>
        <v>0</v>
      </c>
    </row>
    <row r="187" spans="1:118" ht="27.75" x14ac:dyDescent="0.45">
      <c r="A187" s="70" t="s">
        <v>447</v>
      </c>
      <c r="B187" s="33" t="s">
        <v>384</v>
      </c>
      <c r="C187" s="33" t="s">
        <v>385</v>
      </c>
      <c r="D187" s="33" t="s">
        <v>711</v>
      </c>
      <c r="E187" s="33">
        <v>1</v>
      </c>
      <c r="F187" s="33">
        <v>0</v>
      </c>
      <c r="G187" s="33" t="s">
        <v>2</v>
      </c>
      <c r="H187" s="33" t="s">
        <v>0</v>
      </c>
      <c r="K187" s="33" t="s">
        <v>246</v>
      </c>
      <c r="L187" s="59" t="s">
        <v>309</v>
      </c>
      <c r="Q187" s="58"/>
      <c r="R187" s="60"/>
      <c r="S187" s="60"/>
      <c r="T187" s="60"/>
      <c r="U187" s="60"/>
      <c r="Y187" s="59">
        <v>43719</v>
      </c>
      <c r="Z187" s="42" t="str">
        <f t="shared" si="27"/>
        <v>IPK</v>
      </c>
      <c r="AG187" s="42" t="str">
        <f t="shared" si="28"/>
        <v>ITA</v>
      </c>
      <c r="AH187" s="33" t="s">
        <v>386</v>
      </c>
      <c r="AI187" s="33" t="s">
        <v>331</v>
      </c>
      <c r="AO187" s="42"/>
      <c r="AV187" s="42"/>
      <c r="BC187" s="42"/>
      <c r="BF187" s="65"/>
      <c r="BY187" s="44">
        <f>Tabelle4[[#This Row],[Industry Funding from DE (IPK)]]+Tabelle4[[#This Row],[Industry Funding from BR (IPK)]]+Tabelle4[[#This Row],[Public Funding from DE (IPK)]]+Tabelle4[[#This Row],[Public Funding from BR (IPK)]]+Tabelle4[[#This Row],[In-kind Contribution (IPK)]]</f>
        <v>0</v>
      </c>
      <c r="BZ187" s="44">
        <f>Tabelle4[[#This Row],[Industry Funding from DE (IPK)]]+Tabelle4[[#This Row],[Industry Funding from BR (IPK)]]+Tabelle4[[#This Row],[Public Funding from DE (IPK)]]+Tabelle4[[#This Row],[Public Funding from BR (IPK)]]</f>
        <v>0</v>
      </c>
      <c r="CA187" s="44">
        <f>Tabelle4[[#This Row],[Industry Funding from DE (IPK)]]+Tabelle4[[#This Row],[Industry Funding from BR (IPK)]]</f>
        <v>0</v>
      </c>
      <c r="CB187" s="44">
        <f>Tabelle4[[#This Row],[Public Funding from DE (IPK)]]+Tabelle4[[#This Row],[Public Funding from BR (IPK)]]</f>
        <v>0</v>
      </c>
      <c r="CC187" s="44">
        <f>Tabelle4[[#This Row],[In-kind Contribution (IPK)]]</f>
        <v>0</v>
      </c>
      <c r="CD187" s="47" t="e">
        <f>(Tabelle4[[#This Row],[Total Industry Funding (IPK)]] + Tabelle4[[#This Row],[Total Public Funding (IPK)]])/Tabelle4[[#This Row],[Total Project Volume (IPK)]]</f>
        <v>#DIV/0!</v>
      </c>
      <c r="CE187" s="47" t="e">
        <f>Tabelle4[[#This Row],[Total Industry Funding (IPK)]] / Tabelle4[[#This Row],[Total Project Volume (IPK)]]</f>
        <v>#DIV/0!</v>
      </c>
      <c r="CF187" s="33" t="str">
        <f>Tabelle4[[#This Row],[Project Funding Classification]]</f>
        <v>Industry</v>
      </c>
      <c r="CG187" s="44">
        <f>Tabelle4[[#This Row],[Industry Funding from DE (IPK)]]+Tabelle4[[#This Row],[Public Funding from DE (IPK)]]</f>
        <v>0</v>
      </c>
      <c r="CH187" s="46">
        <f>Tabelle4[[#This Row],[Industry Funding from BR (IPK)]]+Tabelle4[[#This Row],[Public Funding from BR (IPK)]]</f>
        <v>0</v>
      </c>
      <c r="CI187" s="44">
        <f>Tabelle4[[#This Row],[Industry Funding from DE (ITA)]]+Tabelle4[[#This Row],[Industry Funding from BR (ITA)]]+Tabelle4[[#This Row],[Public Funding from DE (ITA)]]+Tabelle4[[#This Row],[Public Funding from BR (ITA)]]</f>
        <v>0</v>
      </c>
      <c r="CJ187" s="44">
        <f>Tabelle4[[#This Row],[Industry Funding from DE (ITA)]]+Tabelle4[[#This Row],[Industry Funding from BR (ITA)]]</f>
        <v>0</v>
      </c>
      <c r="CK187" s="44">
        <f>Tabelle4[[#This Row],[Public Funding from DE (ITA)]]+Tabelle4[[#This Row],[Public Funding from BR (ITA)]]</f>
        <v>0</v>
      </c>
      <c r="CL187" s="47" t="e">
        <f>Tabelle4[[#This Row],[Total Industry Funding (ITA)]]/Tabelle4[[#This Row],[Total Project Volume (ITA)]]</f>
        <v>#DIV/0!</v>
      </c>
      <c r="CM187" s="33" t="e">
        <f>IF(Tabelle4[[#This Row],[Funding Ratio (ITA)]]&lt;0.5,"Public Funding","Industry")</f>
        <v>#DIV/0!</v>
      </c>
      <c r="CN187" s="44">
        <f>Tabelle4[[#This Row],[Industry Funding from DE (ITA)]]+Tabelle4[[#This Row],[Public Funding from DE (ITA)]]</f>
        <v>0</v>
      </c>
      <c r="CO187" s="46">
        <f>Tabelle4[[#This Row],[Industry Funding from BR (ITA)]]+Tabelle4[[#This Row],[Public Funding from BR (ITA)]]</f>
        <v>0</v>
      </c>
      <c r="CP187" s="44">
        <f>Tabelle4[[#This Row],[Total Project Volume (IPK)]]+Tabelle4[[#This Row],[Total Project Volume (ITA)]]</f>
        <v>0</v>
      </c>
      <c r="CQ187" s="44">
        <f>Tabelle4[[#This Row],[Total Industry Funding (IPK)]]+Tabelle4[[#This Row],[Total Industry Funding (ITA)]]</f>
        <v>0</v>
      </c>
      <c r="CR187" s="44">
        <f>Tabelle4[[#This Row],[Industry Funding from DE (IPK)]]+Tabelle4[[#This Row],[Industry Funding from DE (ITA)]]</f>
        <v>0</v>
      </c>
      <c r="CS187" s="44">
        <f>Tabelle4[[#This Row],[Industry Funding from BR (IPK)]]+Tabelle4[[#This Row],[Industry Funding from BR (ITA)]]</f>
        <v>0</v>
      </c>
      <c r="CT187" s="44">
        <f>Tabelle4[[#This Row],[Total Public Funding (IPK)]]+Tabelle4[[#This Row],[Total Public Funding (ITA)]]</f>
        <v>0</v>
      </c>
      <c r="CU187" s="44">
        <f>Tabelle4[[#This Row],[Public Funding from DE (IPK)]]+Tabelle4[[#This Row],[Public Funding from DE (ITA)]]</f>
        <v>0</v>
      </c>
      <c r="CV187" s="44">
        <f>Tabelle4[[#This Row],[Public Funding from BR (IPK)]]+Tabelle4[[#This Row],[Public Funding from BR (ITA)]]</f>
        <v>0</v>
      </c>
      <c r="CW187" s="44">
        <f>Tabelle4[[#This Row],[Industry Funding from DE (FPC)]]+Tabelle4[[#This Row],[Public Funding from DE (FPC)]]</f>
        <v>0</v>
      </c>
      <c r="CX187" s="46">
        <f>Tabelle4[[#This Row],[Industry Funding from BR (FPC)]]+Tabelle4[[#This Row],[Public Funding from BR (FPC)]]</f>
        <v>0</v>
      </c>
      <c r="CY187" s="44">
        <f>Tabelle4[[#This Row],[Total Financial Budget (Other)]]+Tabelle4[[#This Row],[Total In-kind Contribution (Other)]]</f>
        <v>0</v>
      </c>
      <c r="CZ18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87" s="44">
        <f>Tabelle4[[#This Row],[In-kind Contribution (R&amp;D III)]]+Tabelle4[[#This Row],[In-kind Contribution (R&amp;D IV)]]</f>
        <v>0</v>
      </c>
      <c r="DB187" s="158">
        <f>Tabelle4[[#This Row],[Total Budget (FPC)]]+Tabelle4[[#This Row],[Total Volume (Other)]]</f>
        <v>0</v>
      </c>
      <c r="DC187" s="104">
        <f>Tabelle4[[#This Row],[Total Revenues (IPK)]]</f>
        <v>0</v>
      </c>
      <c r="DE187" s="44">
        <f>Tabelle4[[#This Row],[Total Revenues IPK]]*Tabelle4[[#This Row],[Probability of Success]]</f>
        <v>0</v>
      </c>
      <c r="DL187" s="44">
        <f>Tabelle4[[#This Row],[Real Budget IPK]]*Tabelle4[[#This Row],[Acquisition Factor OE810]]</f>
        <v>0</v>
      </c>
      <c r="DN187" s="46">
        <f>Tabelle4[[#This Row],[Acquisition Bonus OE810]]+Tabelle4[[#This Row],[Project Execution OE810]]</f>
        <v>0</v>
      </c>
    </row>
    <row r="188" spans="1:118" ht="27.75" x14ac:dyDescent="0.45">
      <c r="A188" s="70" t="s">
        <v>616</v>
      </c>
      <c r="B188" s="33" t="s">
        <v>617</v>
      </c>
      <c r="C188" s="57" t="s">
        <v>550</v>
      </c>
      <c r="D188" s="57" t="s">
        <v>711</v>
      </c>
      <c r="E188" s="33">
        <v>2</v>
      </c>
      <c r="G188" s="49" t="s">
        <v>2</v>
      </c>
      <c r="H188" s="33" t="s">
        <v>96</v>
      </c>
      <c r="K188" s="33" t="s">
        <v>246</v>
      </c>
      <c r="L188" s="59" t="s">
        <v>309</v>
      </c>
      <c r="M188" s="144">
        <v>4.3110999999999997</v>
      </c>
      <c r="N188" s="33" t="s">
        <v>671</v>
      </c>
      <c r="Q188" s="58"/>
      <c r="U188" s="59">
        <v>43992</v>
      </c>
      <c r="Y188" s="59">
        <v>44103</v>
      </c>
      <c r="Z188" s="42" t="str">
        <f t="shared" si="27"/>
        <v>IPK</v>
      </c>
      <c r="AG188" s="42" t="str">
        <f t="shared" si="28"/>
        <v>ITA</v>
      </c>
      <c r="AH188" s="33" t="s">
        <v>395</v>
      </c>
      <c r="AI188" s="33" t="s">
        <v>331</v>
      </c>
      <c r="AK188" s="64"/>
      <c r="AL188" s="64"/>
      <c r="AM188" s="64">
        <f>(1400000/M188)</f>
        <v>324743.1050080026</v>
      </c>
      <c r="AO188" s="42"/>
      <c r="AV188" s="42"/>
      <c r="BC188" s="42"/>
      <c r="BE188" s="64"/>
      <c r="BF188" s="65"/>
      <c r="BU188" s="67"/>
      <c r="BY188" s="44">
        <f>Tabelle4[[#This Row],[Industry Funding from DE (IPK)]]+Tabelle4[[#This Row],[Industry Funding from BR (IPK)]]+Tabelle4[[#This Row],[Public Funding from DE (IPK)]]+Tabelle4[[#This Row],[Public Funding from BR (IPK)]]+Tabelle4[[#This Row],[In-kind Contribution (IPK)]]</f>
        <v>0</v>
      </c>
      <c r="BZ188" s="44">
        <f>Tabelle4[[#This Row],[Industry Funding from DE (IPK)]]+Tabelle4[[#This Row],[Industry Funding from BR (IPK)]]+Tabelle4[[#This Row],[Public Funding from DE (IPK)]]+Tabelle4[[#This Row],[Public Funding from BR (IPK)]]</f>
        <v>0</v>
      </c>
      <c r="CA188" s="44">
        <f>Tabelle4[[#This Row],[Industry Funding from DE (IPK)]]+Tabelle4[[#This Row],[Industry Funding from BR (IPK)]]</f>
        <v>0</v>
      </c>
      <c r="CB188" s="44">
        <f>Tabelle4[[#This Row],[Public Funding from DE (IPK)]]+Tabelle4[[#This Row],[Public Funding from BR (IPK)]]</f>
        <v>0</v>
      </c>
      <c r="CC188" s="44">
        <f>Tabelle4[[#This Row],[In-kind Contribution (IPK)]]</f>
        <v>0</v>
      </c>
      <c r="CD188" s="47" t="e">
        <f>(Tabelle4[[#This Row],[Total Industry Funding (IPK)]] + Tabelle4[[#This Row],[Total Public Funding (IPK)]])/Tabelle4[[#This Row],[Total Project Volume (IPK)]]</f>
        <v>#DIV/0!</v>
      </c>
      <c r="CE188" s="47" t="e">
        <f>Tabelle4[[#This Row],[Total Industry Funding (IPK)]] / Tabelle4[[#This Row],[Total Project Volume (IPK)]]</f>
        <v>#DIV/0!</v>
      </c>
      <c r="CF188" s="33" t="str">
        <f>Tabelle4[[#This Row],[Project Funding Classification]]</f>
        <v>Public Funding</v>
      </c>
      <c r="CG188" s="44">
        <f>Tabelle4[[#This Row],[Industry Funding from DE (IPK)]]+Tabelle4[[#This Row],[Public Funding from DE (IPK)]]</f>
        <v>0</v>
      </c>
      <c r="CH188" s="46">
        <f>Tabelle4[[#This Row],[Industry Funding from BR (IPK)]]+Tabelle4[[#This Row],[Public Funding from BR (IPK)]]</f>
        <v>0</v>
      </c>
      <c r="CI188" s="44">
        <f>Tabelle4[[#This Row],[Industry Funding from DE (ITA)]]+Tabelle4[[#This Row],[Industry Funding from BR (ITA)]]+Tabelle4[[#This Row],[Public Funding from DE (ITA)]]+Tabelle4[[#This Row],[Public Funding from BR (ITA)]]</f>
        <v>324743.1050080026</v>
      </c>
      <c r="CJ188" s="44">
        <f>Tabelle4[[#This Row],[Industry Funding from DE (ITA)]]+Tabelle4[[#This Row],[Industry Funding from BR (ITA)]]</f>
        <v>0</v>
      </c>
      <c r="CK188" s="44">
        <f>Tabelle4[[#This Row],[Public Funding from DE (ITA)]]+Tabelle4[[#This Row],[Public Funding from BR (ITA)]]</f>
        <v>324743.1050080026</v>
      </c>
      <c r="CL188" s="47">
        <f>Tabelle4[[#This Row],[Total Industry Funding (ITA)]]/Tabelle4[[#This Row],[Total Project Volume (ITA)]]</f>
        <v>0</v>
      </c>
      <c r="CM188" s="33" t="str">
        <f>IF(Tabelle4[[#This Row],[Funding Ratio (ITA)]]&lt;0.5,"Public Funding","Industry")</f>
        <v>Public Funding</v>
      </c>
      <c r="CN188" s="44">
        <f>Tabelle4[[#This Row],[Industry Funding from DE (ITA)]]+Tabelle4[[#This Row],[Public Funding from DE (ITA)]]</f>
        <v>0</v>
      </c>
      <c r="CO188" s="46">
        <f>Tabelle4[[#This Row],[Industry Funding from BR (ITA)]]+Tabelle4[[#This Row],[Public Funding from BR (ITA)]]</f>
        <v>324743.1050080026</v>
      </c>
      <c r="CP188" s="44">
        <f>Tabelle4[[#This Row],[Total Project Volume (IPK)]]+Tabelle4[[#This Row],[Total Project Volume (ITA)]]</f>
        <v>324743.1050080026</v>
      </c>
      <c r="CQ188" s="44">
        <f>Tabelle4[[#This Row],[Total Industry Funding (IPK)]]+Tabelle4[[#This Row],[Total Industry Funding (ITA)]]</f>
        <v>0</v>
      </c>
      <c r="CR188" s="44">
        <f>Tabelle4[[#This Row],[Industry Funding from DE (IPK)]]+Tabelle4[[#This Row],[Industry Funding from DE (ITA)]]</f>
        <v>0</v>
      </c>
      <c r="CS188" s="44">
        <f>Tabelle4[[#This Row],[Industry Funding from BR (IPK)]]+Tabelle4[[#This Row],[Industry Funding from BR (ITA)]]</f>
        <v>0</v>
      </c>
      <c r="CT188" s="44">
        <f>Tabelle4[[#This Row],[Total Public Funding (IPK)]]+Tabelle4[[#This Row],[Total Public Funding (ITA)]]</f>
        <v>324743.1050080026</v>
      </c>
      <c r="CU188" s="44">
        <f>Tabelle4[[#This Row],[Public Funding from DE (IPK)]]+Tabelle4[[#This Row],[Public Funding from DE (ITA)]]</f>
        <v>0</v>
      </c>
      <c r="CV188" s="44">
        <f>Tabelle4[[#This Row],[Public Funding from BR (IPK)]]+Tabelle4[[#This Row],[Public Funding from BR (ITA)]]</f>
        <v>324743.1050080026</v>
      </c>
      <c r="CW188" s="44">
        <f>Tabelle4[[#This Row],[Industry Funding from DE (FPC)]]+Tabelle4[[#This Row],[Public Funding from DE (FPC)]]</f>
        <v>0</v>
      </c>
      <c r="CX188" s="46">
        <f>Tabelle4[[#This Row],[Industry Funding from BR (FPC)]]+Tabelle4[[#This Row],[Public Funding from BR (FPC)]]</f>
        <v>324743.1050080026</v>
      </c>
      <c r="CY188" s="44">
        <f>Tabelle4[[#This Row],[Total Financial Budget (Other)]]+Tabelle4[[#This Row],[Total In-kind Contribution (Other)]]</f>
        <v>0</v>
      </c>
      <c r="CZ18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88" s="44">
        <f>Tabelle4[[#This Row],[In-kind Contribution (R&amp;D III)]]+Tabelle4[[#This Row],[In-kind Contribution (R&amp;D IV)]]</f>
        <v>0</v>
      </c>
      <c r="DB188" s="158">
        <f>Tabelle4[[#This Row],[Total Budget (FPC)]]+Tabelle4[[#This Row],[Total Volume (Other)]]</f>
        <v>324743.1050080026</v>
      </c>
      <c r="DC188" s="104">
        <f>Tabelle4[[#This Row],[Total Revenues (IPK)]]</f>
        <v>0</v>
      </c>
      <c r="DE188" s="44">
        <f>Tabelle4[[#This Row],[Total Revenues IPK]]*Tabelle4[[#This Row],[Probability of Success]]</f>
        <v>0</v>
      </c>
      <c r="DL188" s="44">
        <f>Tabelle4[[#This Row],[Real Budget IPK]]*Tabelle4[[#This Row],[Acquisition Factor OE810]]</f>
        <v>0</v>
      </c>
      <c r="DN188" s="46">
        <f>Tabelle4[[#This Row],[Acquisition Bonus OE810]]+Tabelle4[[#This Row],[Project Execution OE810]]</f>
        <v>0</v>
      </c>
    </row>
    <row r="189" spans="1:118" ht="27.75" x14ac:dyDescent="0.45">
      <c r="A189" s="70" t="s">
        <v>365</v>
      </c>
      <c r="B189" s="33" t="s">
        <v>322</v>
      </c>
      <c r="C189" s="33" t="s">
        <v>366</v>
      </c>
      <c r="D189" s="33" t="s">
        <v>706</v>
      </c>
      <c r="E189" s="33">
        <v>1</v>
      </c>
      <c r="F189" s="33">
        <v>0</v>
      </c>
      <c r="G189" s="33" t="s">
        <v>2</v>
      </c>
      <c r="H189" s="33" t="s">
        <v>0</v>
      </c>
      <c r="J189" s="59">
        <v>43717</v>
      </c>
      <c r="K189" s="33" t="s">
        <v>246</v>
      </c>
      <c r="L189" s="43" t="s">
        <v>309</v>
      </c>
      <c r="Q189" s="58"/>
      <c r="R189" s="60"/>
      <c r="S189" s="60">
        <v>43745</v>
      </c>
      <c r="T189" s="60"/>
      <c r="U189" s="60"/>
      <c r="Y189" s="59">
        <v>43878</v>
      </c>
      <c r="Z189" s="42" t="str">
        <f t="shared" si="27"/>
        <v>IPK</v>
      </c>
      <c r="AG189" s="42" t="str">
        <f t="shared" si="28"/>
        <v>ITA</v>
      </c>
      <c r="AH189" s="33" t="s">
        <v>367</v>
      </c>
      <c r="AI189" s="33" t="s">
        <v>346</v>
      </c>
      <c r="AJ189" s="104">
        <v>0</v>
      </c>
      <c r="AK189" s="104">
        <v>0</v>
      </c>
      <c r="AL189" s="64"/>
      <c r="AO189" s="42"/>
      <c r="AV189" s="42"/>
      <c r="BC189" s="42"/>
      <c r="BF189" s="65"/>
      <c r="BY189" s="44">
        <f>Tabelle4[[#This Row],[Industry Funding from DE (IPK)]]+Tabelle4[[#This Row],[Industry Funding from BR (IPK)]]+Tabelle4[[#This Row],[Public Funding from DE (IPK)]]+Tabelle4[[#This Row],[Public Funding from BR (IPK)]]+Tabelle4[[#This Row],[In-kind Contribution (IPK)]]</f>
        <v>0</v>
      </c>
      <c r="BZ189" s="44">
        <f>Tabelle4[[#This Row],[Industry Funding from DE (IPK)]]+Tabelle4[[#This Row],[Industry Funding from BR (IPK)]]+Tabelle4[[#This Row],[Public Funding from DE (IPK)]]+Tabelle4[[#This Row],[Public Funding from BR (IPK)]]</f>
        <v>0</v>
      </c>
      <c r="CA189" s="44">
        <f>Tabelle4[[#This Row],[Industry Funding from DE (IPK)]]+Tabelle4[[#This Row],[Industry Funding from BR (IPK)]]</f>
        <v>0</v>
      </c>
      <c r="CB189" s="44">
        <f>Tabelle4[[#This Row],[Public Funding from DE (IPK)]]+Tabelle4[[#This Row],[Public Funding from BR (IPK)]]</f>
        <v>0</v>
      </c>
      <c r="CC189" s="44">
        <f>Tabelle4[[#This Row],[In-kind Contribution (IPK)]]</f>
        <v>0</v>
      </c>
      <c r="CD189" s="47" t="e">
        <f>(Tabelle4[[#This Row],[Total Industry Funding (IPK)]] + Tabelle4[[#This Row],[Total Public Funding (IPK)]])/Tabelle4[[#This Row],[Total Project Volume (IPK)]]</f>
        <v>#DIV/0!</v>
      </c>
      <c r="CE189" s="47" t="e">
        <f>Tabelle4[[#This Row],[Total Industry Funding (IPK)]] / Tabelle4[[#This Row],[Total Project Volume (IPK)]]</f>
        <v>#DIV/0!</v>
      </c>
      <c r="CF189" s="33" t="str">
        <f>Tabelle4[[#This Row],[Project Funding Classification]]</f>
        <v>Industry</v>
      </c>
      <c r="CG189" s="44">
        <f>Tabelle4[[#This Row],[Industry Funding from DE (IPK)]]+Tabelle4[[#This Row],[Public Funding from DE (IPK)]]</f>
        <v>0</v>
      </c>
      <c r="CH189" s="46">
        <f>Tabelle4[[#This Row],[Industry Funding from BR (IPK)]]+Tabelle4[[#This Row],[Public Funding from BR (IPK)]]</f>
        <v>0</v>
      </c>
      <c r="CI189" s="44">
        <f>Tabelle4[[#This Row],[Industry Funding from DE (ITA)]]+Tabelle4[[#This Row],[Industry Funding from BR (ITA)]]+Tabelle4[[#This Row],[Public Funding from DE (ITA)]]+Tabelle4[[#This Row],[Public Funding from BR (ITA)]]</f>
        <v>0</v>
      </c>
      <c r="CJ189" s="44">
        <f>Tabelle4[[#This Row],[Industry Funding from DE (ITA)]]+Tabelle4[[#This Row],[Industry Funding from BR (ITA)]]</f>
        <v>0</v>
      </c>
      <c r="CK189" s="44">
        <f>Tabelle4[[#This Row],[Public Funding from DE (ITA)]]+Tabelle4[[#This Row],[Public Funding from BR (ITA)]]</f>
        <v>0</v>
      </c>
      <c r="CL189" s="47" t="e">
        <f>Tabelle4[[#This Row],[Total Industry Funding (ITA)]]/Tabelle4[[#This Row],[Total Project Volume (ITA)]]</f>
        <v>#DIV/0!</v>
      </c>
      <c r="CM189" s="33" t="e">
        <f>IF(Tabelle4[[#This Row],[Funding Ratio (ITA)]]&lt;0.5,"Public Funding","Industry")</f>
        <v>#DIV/0!</v>
      </c>
      <c r="CN189" s="44">
        <f>Tabelle4[[#This Row],[Industry Funding from DE (ITA)]]+Tabelle4[[#This Row],[Public Funding from DE (ITA)]]</f>
        <v>0</v>
      </c>
      <c r="CO189" s="46">
        <f>Tabelle4[[#This Row],[Industry Funding from BR (ITA)]]+Tabelle4[[#This Row],[Public Funding from BR (ITA)]]</f>
        <v>0</v>
      </c>
      <c r="CP189" s="44">
        <f>Tabelle4[[#This Row],[Total Project Volume (IPK)]]+Tabelle4[[#This Row],[Total Project Volume (ITA)]]</f>
        <v>0</v>
      </c>
      <c r="CQ189" s="44">
        <f>Tabelle4[[#This Row],[Total Industry Funding (IPK)]]+Tabelle4[[#This Row],[Total Industry Funding (ITA)]]</f>
        <v>0</v>
      </c>
      <c r="CR189" s="44">
        <f>Tabelle4[[#This Row],[Industry Funding from DE (IPK)]]+Tabelle4[[#This Row],[Industry Funding from DE (ITA)]]</f>
        <v>0</v>
      </c>
      <c r="CS189" s="44">
        <f>Tabelle4[[#This Row],[Industry Funding from BR (IPK)]]+Tabelle4[[#This Row],[Industry Funding from BR (ITA)]]</f>
        <v>0</v>
      </c>
      <c r="CT189" s="44">
        <f>Tabelle4[[#This Row],[Total Public Funding (IPK)]]+Tabelle4[[#This Row],[Total Public Funding (ITA)]]</f>
        <v>0</v>
      </c>
      <c r="CU189" s="44">
        <f>Tabelle4[[#This Row],[Public Funding from DE (IPK)]]+Tabelle4[[#This Row],[Public Funding from DE (ITA)]]</f>
        <v>0</v>
      </c>
      <c r="CV189" s="44">
        <f>Tabelle4[[#This Row],[Public Funding from BR (IPK)]]+Tabelle4[[#This Row],[Public Funding from BR (ITA)]]</f>
        <v>0</v>
      </c>
      <c r="CW189" s="44">
        <f>Tabelle4[[#This Row],[Industry Funding from DE (FPC)]]+Tabelle4[[#This Row],[Public Funding from DE (FPC)]]</f>
        <v>0</v>
      </c>
      <c r="CX189" s="46">
        <f>Tabelle4[[#This Row],[Industry Funding from BR (FPC)]]+Tabelle4[[#This Row],[Public Funding from BR (FPC)]]</f>
        <v>0</v>
      </c>
      <c r="CY189" s="44">
        <f>Tabelle4[[#This Row],[Total Financial Budget (Other)]]+Tabelle4[[#This Row],[Total In-kind Contribution (Other)]]</f>
        <v>0</v>
      </c>
      <c r="CZ189"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89" s="44">
        <f>Tabelle4[[#This Row],[In-kind Contribution (R&amp;D III)]]+Tabelle4[[#This Row],[In-kind Contribution (R&amp;D IV)]]</f>
        <v>0</v>
      </c>
      <c r="DB189" s="158">
        <f>Tabelle4[[#This Row],[Total Budget (FPC)]]+Tabelle4[[#This Row],[Total Volume (Other)]]</f>
        <v>0</v>
      </c>
      <c r="DC189" s="104">
        <f>Tabelle4[[#This Row],[Total Revenues (IPK)]]</f>
        <v>0</v>
      </c>
      <c r="DE189" s="44">
        <f>Tabelle4[[#This Row],[Total Revenues IPK]]*Tabelle4[[#This Row],[Probability of Success]]</f>
        <v>0</v>
      </c>
      <c r="DL189" s="44">
        <f>Tabelle4[[#This Row],[Real Budget IPK]]*Tabelle4[[#This Row],[Acquisition Factor OE810]]</f>
        <v>0</v>
      </c>
      <c r="DN189" s="46">
        <f>Tabelle4[[#This Row],[Acquisition Bonus OE810]]+Tabelle4[[#This Row],[Project Execution OE810]]</f>
        <v>0</v>
      </c>
    </row>
    <row r="190" spans="1:118" ht="41.65" x14ac:dyDescent="0.45">
      <c r="A190" s="70" t="s">
        <v>368</v>
      </c>
      <c r="B190" s="42" t="s">
        <v>615</v>
      </c>
      <c r="C190" s="33" t="s">
        <v>369</v>
      </c>
      <c r="D190" s="33" t="s">
        <v>706</v>
      </c>
      <c r="E190" s="33">
        <v>1</v>
      </c>
      <c r="F190" s="33">
        <v>0</v>
      </c>
      <c r="G190" s="33" t="s">
        <v>2</v>
      </c>
      <c r="H190" s="33" t="s">
        <v>0</v>
      </c>
      <c r="J190" s="59">
        <v>43717</v>
      </c>
      <c r="K190" s="33" t="s">
        <v>246</v>
      </c>
      <c r="L190" s="33" t="s">
        <v>309</v>
      </c>
      <c r="M190" s="144">
        <v>6.7</v>
      </c>
      <c r="Q190" s="58"/>
      <c r="R190" s="60"/>
      <c r="S190" s="60">
        <v>43745</v>
      </c>
      <c r="T190" s="60">
        <v>44263</v>
      </c>
      <c r="U190" s="60">
        <v>43961</v>
      </c>
      <c r="Y190" s="59">
        <v>44616</v>
      </c>
      <c r="Z190" s="42" t="s">
        <v>1</v>
      </c>
      <c r="AG190" s="42" t="s">
        <v>2</v>
      </c>
      <c r="AH190" s="33" t="s">
        <v>679</v>
      </c>
      <c r="AI190" s="33" t="s">
        <v>679</v>
      </c>
      <c r="AJ190" s="104">
        <v>0</v>
      </c>
      <c r="AK190" s="104">
        <v>0</v>
      </c>
      <c r="AL190" s="64"/>
      <c r="AO190" s="42"/>
      <c r="AV190" s="42"/>
      <c r="BC190" s="42"/>
      <c r="BF190" s="65"/>
      <c r="BY190" s="44">
        <f>Tabelle4[[#This Row],[Industry Funding from DE (IPK)]]+Tabelle4[[#This Row],[Industry Funding from BR (IPK)]]+Tabelle4[[#This Row],[Public Funding from DE (IPK)]]+Tabelle4[[#This Row],[Public Funding from BR (IPK)]]+Tabelle4[[#This Row],[In-kind Contribution (IPK)]]</f>
        <v>0</v>
      </c>
      <c r="BZ190" s="44">
        <f>Tabelle4[[#This Row],[Industry Funding from DE (IPK)]]+Tabelle4[[#This Row],[Industry Funding from BR (IPK)]]+Tabelle4[[#This Row],[Public Funding from DE (IPK)]]+Tabelle4[[#This Row],[Public Funding from BR (IPK)]]</f>
        <v>0</v>
      </c>
      <c r="CA190" s="44">
        <f>Tabelle4[[#This Row],[Industry Funding from DE (IPK)]]+Tabelle4[[#This Row],[Industry Funding from BR (IPK)]]</f>
        <v>0</v>
      </c>
      <c r="CB190" s="44">
        <f>Tabelle4[[#This Row],[Public Funding from DE (IPK)]]+Tabelle4[[#This Row],[Public Funding from BR (IPK)]]</f>
        <v>0</v>
      </c>
      <c r="CC190" s="44">
        <f>Tabelle4[[#This Row],[In-kind Contribution (IPK)]]</f>
        <v>0</v>
      </c>
      <c r="CD190" s="47" t="e">
        <f>(Tabelle4[[#This Row],[Total Industry Funding (IPK)]] + Tabelle4[[#This Row],[Total Public Funding (IPK)]])/Tabelle4[[#This Row],[Total Project Volume (IPK)]]</f>
        <v>#DIV/0!</v>
      </c>
      <c r="CE190" s="47" t="e">
        <f>Tabelle4[[#This Row],[Total Industry Funding (IPK)]] / Tabelle4[[#This Row],[Total Project Volume (IPK)]]</f>
        <v>#DIV/0!</v>
      </c>
      <c r="CF190" s="33" t="str">
        <f>Tabelle4[[#This Row],[Project Funding Classification]]</f>
        <v>Industry</v>
      </c>
      <c r="CG190" s="44">
        <f>Tabelle4[[#This Row],[Industry Funding from DE (IPK)]]+Tabelle4[[#This Row],[Public Funding from DE (IPK)]]</f>
        <v>0</v>
      </c>
      <c r="CH190" s="46">
        <f>Tabelle4[[#This Row],[Industry Funding from BR (IPK)]]+Tabelle4[[#This Row],[Public Funding from BR (IPK)]]</f>
        <v>0</v>
      </c>
      <c r="CI190" s="44">
        <f>Tabelle4[[#This Row],[Industry Funding from DE (ITA)]]+Tabelle4[[#This Row],[Industry Funding from BR (ITA)]]+Tabelle4[[#This Row],[Public Funding from DE (ITA)]]+Tabelle4[[#This Row],[Public Funding from BR (ITA)]]</f>
        <v>0</v>
      </c>
      <c r="CJ190" s="44">
        <f>Tabelle4[[#This Row],[Industry Funding from DE (ITA)]]+Tabelle4[[#This Row],[Industry Funding from BR (ITA)]]</f>
        <v>0</v>
      </c>
      <c r="CK190" s="44">
        <f>Tabelle4[[#This Row],[Public Funding from DE (ITA)]]+Tabelle4[[#This Row],[Public Funding from BR (ITA)]]</f>
        <v>0</v>
      </c>
      <c r="CL190" s="47" t="e">
        <f>Tabelle4[[#This Row],[Total Industry Funding (ITA)]]/Tabelle4[[#This Row],[Total Project Volume (ITA)]]</f>
        <v>#DIV/0!</v>
      </c>
      <c r="CM190" s="33" t="e">
        <f>IF(Tabelle4[[#This Row],[Funding Ratio (ITA)]]&lt;0.5,"Public Funding","Industry")</f>
        <v>#DIV/0!</v>
      </c>
      <c r="CN190" s="44">
        <f>Tabelle4[[#This Row],[Industry Funding from DE (ITA)]]+Tabelle4[[#This Row],[Public Funding from DE (ITA)]]</f>
        <v>0</v>
      </c>
      <c r="CO190" s="46">
        <f>Tabelle4[[#This Row],[Industry Funding from BR (ITA)]]+Tabelle4[[#This Row],[Public Funding from BR (ITA)]]</f>
        <v>0</v>
      </c>
      <c r="CP190" s="44">
        <f>Tabelle4[[#This Row],[Total Project Volume (IPK)]]+Tabelle4[[#This Row],[Total Project Volume (ITA)]]</f>
        <v>0</v>
      </c>
      <c r="CQ190" s="44">
        <f>Tabelle4[[#This Row],[Total Industry Funding (IPK)]]+Tabelle4[[#This Row],[Total Industry Funding (ITA)]]</f>
        <v>0</v>
      </c>
      <c r="CR190" s="44">
        <f>Tabelle4[[#This Row],[Industry Funding from DE (IPK)]]+Tabelle4[[#This Row],[Industry Funding from DE (ITA)]]</f>
        <v>0</v>
      </c>
      <c r="CS190" s="44">
        <f>Tabelle4[[#This Row],[Industry Funding from BR (IPK)]]+Tabelle4[[#This Row],[Industry Funding from BR (ITA)]]</f>
        <v>0</v>
      </c>
      <c r="CT190" s="44">
        <f>Tabelle4[[#This Row],[Total Public Funding (IPK)]]+Tabelle4[[#This Row],[Total Public Funding (ITA)]]</f>
        <v>0</v>
      </c>
      <c r="CU190" s="44">
        <f>Tabelle4[[#This Row],[Public Funding from DE (IPK)]]+Tabelle4[[#This Row],[Public Funding from DE (ITA)]]</f>
        <v>0</v>
      </c>
      <c r="CV190" s="44">
        <f>Tabelle4[[#This Row],[Public Funding from BR (IPK)]]+Tabelle4[[#This Row],[Public Funding from BR (ITA)]]</f>
        <v>0</v>
      </c>
      <c r="CW190" s="44">
        <f>Tabelle4[[#This Row],[Industry Funding from DE (FPC)]]+Tabelle4[[#This Row],[Public Funding from DE (FPC)]]</f>
        <v>0</v>
      </c>
      <c r="CX190" s="46">
        <f>Tabelle4[[#This Row],[Industry Funding from BR (FPC)]]+Tabelle4[[#This Row],[Public Funding from BR (FPC)]]</f>
        <v>0</v>
      </c>
      <c r="CY190" s="44">
        <f>Tabelle4[[#This Row],[Total Financial Budget (Other)]]+Tabelle4[[#This Row],[Total In-kind Contribution (Other)]]</f>
        <v>0</v>
      </c>
      <c r="CZ19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90" s="44">
        <f>Tabelle4[[#This Row],[In-kind Contribution (R&amp;D III)]]+Tabelle4[[#This Row],[In-kind Contribution (R&amp;D IV)]]</f>
        <v>0</v>
      </c>
      <c r="DB190" s="158">
        <f>Tabelle4[[#This Row],[Total Budget (FPC)]]+Tabelle4[[#This Row],[Total Volume (Other)]]</f>
        <v>0</v>
      </c>
      <c r="DC190" s="104">
        <f>Tabelle4[[#This Row],[Total Revenues (IPK)]]</f>
        <v>0</v>
      </c>
      <c r="DE190" s="44">
        <f>Tabelle4[[#This Row],[Total Revenues IPK]]*Tabelle4[[#This Row],[Probability of Success]]</f>
        <v>0</v>
      </c>
      <c r="DL190" s="44">
        <f>Tabelle4[[#This Row],[Real Budget IPK]]*Tabelle4[[#This Row],[Acquisition Factor OE810]]</f>
        <v>0</v>
      </c>
      <c r="DN190" s="46">
        <f>Tabelle4[[#This Row],[Acquisition Bonus OE810]]+Tabelle4[[#This Row],[Project Execution OE810]]</f>
        <v>0</v>
      </c>
    </row>
    <row r="191" spans="1:118" ht="27.75" x14ac:dyDescent="0.45">
      <c r="A191" s="70" t="s">
        <v>362</v>
      </c>
      <c r="B191" s="42" t="s">
        <v>322</v>
      </c>
      <c r="C191" s="33" t="s">
        <v>363</v>
      </c>
      <c r="D191" s="33" t="s">
        <v>706</v>
      </c>
      <c r="E191" s="33">
        <v>1</v>
      </c>
      <c r="F191" s="33">
        <v>0</v>
      </c>
      <c r="G191" s="33" t="s">
        <v>2</v>
      </c>
      <c r="H191" s="33" t="s">
        <v>0</v>
      </c>
      <c r="J191" s="59">
        <v>43696</v>
      </c>
      <c r="K191" s="33" t="s">
        <v>246</v>
      </c>
      <c r="L191" s="59" t="s">
        <v>309</v>
      </c>
      <c r="Q191" s="58"/>
      <c r="R191" s="60"/>
      <c r="S191" s="60">
        <v>43745</v>
      </c>
      <c r="T191" s="60"/>
      <c r="U191" s="60"/>
      <c r="Y191" s="59">
        <v>43978</v>
      </c>
      <c r="Z191" s="42" t="str">
        <f t="shared" ref="Z191:Z201" si="29">"IPK"</f>
        <v>IPK</v>
      </c>
      <c r="AG191" s="42" t="str">
        <f t="shared" ref="AG191:AG200" si="30">"ITA"</f>
        <v>ITA</v>
      </c>
      <c r="AH191" s="33" t="s">
        <v>364</v>
      </c>
      <c r="AI191" s="33" t="s">
        <v>346</v>
      </c>
      <c r="AJ191" s="104">
        <v>0</v>
      </c>
      <c r="AK191" s="104">
        <v>0</v>
      </c>
      <c r="AL191" s="64"/>
      <c r="AO191" s="42"/>
      <c r="AV191" s="42"/>
      <c r="BC191" s="42"/>
      <c r="BF191" s="65"/>
      <c r="BY191" s="44">
        <f>Tabelle4[[#This Row],[Industry Funding from DE (IPK)]]+Tabelle4[[#This Row],[Industry Funding from BR (IPK)]]+Tabelle4[[#This Row],[Public Funding from DE (IPK)]]+Tabelle4[[#This Row],[Public Funding from BR (IPK)]]+Tabelle4[[#This Row],[In-kind Contribution (IPK)]]</f>
        <v>0</v>
      </c>
      <c r="BZ191" s="44">
        <f>Tabelle4[[#This Row],[Industry Funding from DE (IPK)]]+Tabelle4[[#This Row],[Industry Funding from BR (IPK)]]+Tabelle4[[#This Row],[Public Funding from DE (IPK)]]+Tabelle4[[#This Row],[Public Funding from BR (IPK)]]</f>
        <v>0</v>
      </c>
      <c r="CA191" s="44">
        <f>Tabelle4[[#This Row],[Industry Funding from DE (IPK)]]+Tabelle4[[#This Row],[Industry Funding from BR (IPK)]]</f>
        <v>0</v>
      </c>
      <c r="CB191" s="44">
        <f>Tabelle4[[#This Row],[Public Funding from DE (IPK)]]+Tabelle4[[#This Row],[Public Funding from BR (IPK)]]</f>
        <v>0</v>
      </c>
      <c r="CC191" s="44">
        <f>Tabelle4[[#This Row],[In-kind Contribution (IPK)]]</f>
        <v>0</v>
      </c>
      <c r="CD191" s="47" t="e">
        <f>(Tabelle4[[#This Row],[Total Industry Funding (IPK)]] + Tabelle4[[#This Row],[Total Public Funding (IPK)]])/Tabelle4[[#This Row],[Total Project Volume (IPK)]]</f>
        <v>#DIV/0!</v>
      </c>
      <c r="CE191" s="47" t="e">
        <f>Tabelle4[[#This Row],[Total Industry Funding (IPK)]] / Tabelle4[[#This Row],[Total Project Volume (IPK)]]</f>
        <v>#DIV/0!</v>
      </c>
      <c r="CF191" s="33" t="str">
        <f>Tabelle4[[#This Row],[Project Funding Classification]]</f>
        <v>Industry</v>
      </c>
      <c r="CG191" s="44">
        <f>Tabelle4[[#This Row],[Industry Funding from DE (IPK)]]+Tabelle4[[#This Row],[Public Funding from DE (IPK)]]</f>
        <v>0</v>
      </c>
      <c r="CH191" s="46">
        <f>Tabelle4[[#This Row],[Industry Funding from BR (IPK)]]+Tabelle4[[#This Row],[Public Funding from BR (IPK)]]</f>
        <v>0</v>
      </c>
      <c r="CI191" s="44">
        <f>Tabelle4[[#This Row],[Industry Funding from DE (ITA)]]+Tabelle4[[#This Row],[Industry Funding from BR (ITA)]]+Tabelle4[[#This Row],[Public Funding from DE (ITA)]]+Tabelle4[[#This Row],[Public Funding from BR (ITA)]]</f>
        <v>0</v>
      </c>
      <c r="CJ191" s="44">
        <f>Tabelle4[[#This Row],[Industry Funding from DE (ITA)]]+Tabelle4[[#This Row],[Industry Funding from BR (ITA)]]</f>
        <v>0</v>
      </c>
      <c r="CK191" s="44">
        <f>Tabelle4[[#This Row],[Public Funding from DE (ITA)]]+Tabelle4[[#This Row],[Public Funding from BR (ITA)]]</f>
        <v>0</v>
      </c>
      <c r="CL191" s="47" t="e">
        <f>Tabelle4[[#This Row],[Total Industry Funding (ITA)]]/Tabelle4[[#This Row],[Total Project Volume (ITA)]]</f>
        <v>#DIV/0!</v>
      </c>
      <c r="CM191" s="33" t="e">
        <f>IF(Tabelle4[[#This Row],[Funding Ratio (ITA)]]&lt;0.5,"Public Funding","Industry")</f>
        <v>#DIV/0!</v>
      </c>
      <c r="CN191" s="44">
        <f>Tabelle4[[#This Row],[Industry Funding from DE (ITA)]]+Tabelle4[[#This Row],[Public Funding from DE (ITA)]]</f>
        <v>0</v>
      </c>
      <c r="CO191" s="46">
        <f>Tabelle4[[#This Row],[Industry Funding from BR (ITA)]]+Tabelle4[[#This Row],[Public Funding from BR (ITA)]]</f>
        <v>0</v>
      </c>
      <c r="CP191" s="44">
        <f>Tabelle4[[#This Row],[Total Project Volume (IPK)]]+Tabelle4[[#This Row],[Total Project Volume (ITA)]]</f>
        <v>0</v>
      </c>
      <c r="CQ191" s="44">
        <f>Tabelle4[[#This Row],[Total Industry Funding (IPK)]]+Tabelle4[[#This Row],[Total Industry Funding (ITA)]]</f>
        <v>0</v>
      </c>
      <c r="CR191" s="44">
        <f>Tabelle4[[#This Row],[Industry Funding from DE (IPK)]]+Tabelle4[[#This Row],[Industry Funding from DE (ITA)]]</f>
        <v>0</v>
      </c>
      <c r="CS191" s="44">
        <f>Tabelle4[[#This Row],[Industry Funding from BR (IPK)]]+Tabelle4[[#This Row],[Industry Funding from BR (ITA)]]</f>
        <v>0</v>
      </c>
      <c r="CT191" s="44">
        <f>Tabelle4[[#This Row],[Total Public Funding (IPK)]]+Tabelle4[[#This Row],[Total Public Funding (ITA)]]</f>
        <v>0</v>
      </c>
      <c r="CU191" s="44">
        <f>Tabelle4[[#This Row],[Public Funding from DE (IPK)]]+Tabelle4[[#This Row],[Public Funding from DE (ITA)]]</f>
        <v>0</v>
      </c>
      <c r="CV191" s="44">
        <f>Tabelle4[[#This Row],[Public Funding from BR (IPK)]]+Tabelle4[[#This Row],[Public Funding from BR (ITA)]]</f>
        <v>0</v>
      </c>
      <c r="CW191" s="44">
        <f>Tabelle4[[#This Row],[Industry Funding from DE (FPC)]]+Tabelle4[[#This Row],[Public Funding from DE (FPC)]]</f>
        <v>0</v>
      </c>
      <c r="CX191" s="46">
        <f>Tabelle4[[#This Row],[Industry Funding from BR (FPC)]]+Tabelle4[[#This Row],[Public Funding from BR (FPC)]]</f>
        <v>0</v>
      </c>
      <c r="CY191" s="44">
        <f>Tabelle4[[#This Row],[Total Financial Budget (Other)]]+Tabelle4[[#This Row],[Total In-kind Contribution (Other)]]</f>
        <v>0</v>
      </c>
      <c r="CZ19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91" s="44">
        <f>Tabelle4[[#This Row],[In-kind Contribution (R&amp;D III)]]+Tabelle4[[#This Row],[In-kind Contribution (R&amp;D IV)]]</f>
        <v>0</v>
      </c>
      <c r="DB191" s="158">
        <f>Tabelle4[[#This Row],[Total Budget (FPC)]]+Tabelle4[[#This Row],[Total Volume (Other)]]</f>
        <v>0</v>
      </c>
      <c r="DC191" s="104">
        <f>Tabelle4[[#This Row],[Total Revenues (IPK)]]</f>
        <v>0</v>
      </c>
      <c r="DE191" s="44">
        <f>Tabelle4[[#This Row],[Total Revenues IPK]]*Tabelle4[[#This Row],[Probability of Success]]</f>
        <v>0</v>
      </c>
      <c r="DL191" s="44">
        <f>Tabelle4[[#This Row],[Real Budget IPK]]*Tabelle4[[#This Row],[Acquisition Factor OE810]]</f>
        <v>0</v>
      </c>
      <c r="DN191" s="46">
        <f>Tabelle4[[#This Row],[Acquisition Bonus OE810]]+Tabelle4[[#This Row],[Project Execution OE810]]</f>
        <v>0</v>
      </c>
    </row>
    <row r="192" spans="1:118" ht="27.75" x14ac:dyDescent="0.45">
      <c r="A192" s="70" t="s">
        <v>352</v>
      </c>
      <c r="B192" s="33" t="s">
        <v>357</v>
      </c>
      <c r="C192" s="57" t="s">
        <v>453</v>
      </c>
      <c r="D192" s="57" t="s">
        <v>710</v>
      </c>
      <c r="E192" s="33">
        <v>1</v>
      </c>
      <c r="F192" s="33">
        <v>0</v>
      </c>
      <c r="G192" s="33" t="s">
        <v>2</v>
      </c>
      <c r="H192" s="33" t="s">
        <v>96</v>
      </c>
      <c r="J192" s="59">
        <v>43717</v>
      </c>
      <c r="K192" s="33" t="s">
        <v>246</v>
      </c>
      <c r="L192" s="59" t="s">
        <v>309</v>
      </c>
      <c r="Q192" s="58">
        <v>48</v>
      </c>
      <c r="R192" s="60"/>
      <c r="S192" s="60"/>
      <c r="T192" s="60"/>
      <c r="U192" s="60">
        <v>43745</v>
      </c>
      <c r="V192" s="59">
        <v>43810</v>
      </c>
      <c r="Y192" s="59">
        <v>43923</v>
      </c>
      <c r="Z192" s="42" t="str">
        <f t="shared" si="29"/>
        <v>IPK</v>
      </c>
      <c r="AG192" s="42" t="str">
        <f t="shared" si="30"/>
        <v>ITA</v>
      </c>
      <c r="AH192" s="33" t="s">
        <v>130</v>
      </c>
      <c r="AI192" s="33" t="s">
        <v>130</v>
      </c>
      <c r="AK192" s="64"/>
      <c r="AL192" s="64"/>
      <c r="AM192" s="64">
        <f>(4600000/4.3111)</f>
        <v>1067013.0593120086</v>
      </c>
      <c r="AO192" s="42"/>
      <c r="AV192" s="42"/>
      <c r="BC192" s="42" t="s">
        <v>353</v>
      </c>
      <c r="BE192" s="64"/>
      <c r="BF192" s="65"/>
      <c r="BS192" s="33" t="s">
        <v>452</v>
      </c>
      <c r="BY192" s="44">
        <f>Tabelle4[[#This Row],[Industry Funding from DE (IPK)]]+Tabelle4[[#This Row],[Industry Funding from BR (IPK)]]+Tabelle4[[#This Row],[Public Funding from DE (IPK)]]+Tabelle4[[#This Row],[Public Funding from BR (IPK)]]+Tabelle4[[#This Row],[In-kind Contribution (IPK)]]</f>
        <v>0</v>
      </c>
      <c r="BZ192" s="44">
        <f>Tabelle4[[#This Row],[Industry Funding from DE (IPK)]]+Tabelle4[[#This Row],[Industry Funding from BR (IPK)]]+Tabelle4[[#This Row],[Public Funding from DE (IPK)]]+Tabelle4[[#This Row],[Public Funding from BR (IPK)]]</f>
        <v>0</v>
      </c>
      <c r="CA192" s="44">
        <f>Tabelle4[[#This Row],[Industry Funding from DE (IPK)]]+Tabelle4[[#This Row],[Industry Funding from BR (IPK)]]</f>
        <v>0</v>
      </c>
      <c r="CB192" s="44">
        <f>Tabelle4[[#This Row],[Public Funding from DE (IPK)]]+Tabelle4[[#This Row],[Public Funding from BR (IPK)]]</f>
        <v>0</v>
      </c>
      <c r="CC192" s="44">
        <f>Tabelle4[[#This Row],[In-kind Contribution (IPK)]]</f>
        <v>0</v>
      </c>
      <c r="CD192" s="47" t="e">
        <f>(Tabelle4[[#This Row],[Total Industry Funding (IPK)]] + Tabelle4[[#This Row],[Total Public Funding (IPK)]])/Tabelle4[[#This Row],[Total Project Volume (IPK)]]</f>
        <v>#DIV/0!</v>
      </c>
      <c r="CE192" s="47" t="e">
        <f>Tabelle4[[#This Row],[Total Industry Funding (IPK)]] / Tabelle4[[#This Row],[Total Project Volume (IPK)]]</f>
        <v>#DIV/0!</v>
      </c>
      <c r="CF192" s="33" t="str">
        <f>Tabelle4[[#This Row],[Project Funding Classification]]</f>
        <v>Public Funding</v>
      </c>
      <c r="CG192" s="44">
        <f>Tabelle4[[#This Row],[Industry Funding from DE (IPK)]]+Tabelle4[[#This Row],[Public Funding from DE (IPK)]]</f>
        <v>0</v>
      </c>
      <c r="CH192" s="46">
        <f>Tabelle4[[#This Row],[Industry Funding from BR (IPK)]]+Tabelle4[[#This Row],[Public Funding from BR (IPK)]]</f>
        <v>0</v>
      </c>
      <c r="CI192" s="44">
        <f>Tabelle4[[#This Row],[Industry Funding from DE (ITA)]]+Tabelle4[[#This Row],[Industry Funding from BR (ITA)]]+Tabelle4[[#This Row],[Public Funding from DE (ITA)]]+Tabelle4[[#This Row],[Public Funding from BR (ITA)]]</f>
        <v>1067013.0593120086</v>
      </c>
      <c r="CJ192" s="44">
        <f>Tabelle4[[#This Row],[Industry Funding from DE (ITA)]]+Tabelle4[[#This Row],[Industry Funding from BR (ITA)]]</f>
        <v>0</v>
      </c>
      <c r="CK192" s="44">
        <f>Tabelle4[[#This Row],[Public Funding from DE (ITA)]]+Tabelle4[[#This Row],[Public Funding from BR (ITA)]]</f>
        <v>1067013.0593120086</v>
      </c>
      <c r="CL192" s="47">
        <f>Tabelle4[[#This Row],[Total Industry Funding (ITA)]]/Tabelle4[[#This Row],[Total Project Volume (ITA)]]</f>
        <v>0</v>
      </c>
      <c r="CM192" s="33" t="str">
        <f>IF(Tabelle4[[#This Row],[Funding Ratio (ITA)]]&lt;0.5,"Public Funding","Industry")</f>
        <v>Public Funding</v>
      </c>
      <c r="CN192" s="44">
        <f>Tabelle4[[#This Row],[Industry Funding from DE (ITA)]]+Tabelle4[[#This Row],[Public Funding from DE (ITA)]]</f>
        <v>0</v>
      </c>
      <c r="CO192" s="46">
        <f>Tabelle4[[#This Row],[Industry Funding from BR (ITA)]]+Tabelle4[[#This Row],[Public Funding from BR (ITA)]]</f>
        <v>1067013.0593120086</v>
      </c>
      <c r="CP192" s="44">
        <f>Tabelle4[[#This Row],[Total Project Volume (IPK)]]+Tabelle4[[#This Row],[Total Project Volume (ITA)]]</f>
        <v>1067013.0593120086</v>
      </c>
      <c r="CQ192" s="44">
        <f>Tabelle4[[#This Row],[Total Industry Funding (IPK)]]+Tabelle4[[#This Row],[Total Industry Funding (ITA)]]</f>
        <v>0</v>
      </c>
      <c r="CR192" s="44">
        <f>Tabelle4[[#This Row],[Industry Funding from DE (IPK)]]+Tabelle4[[#This Row],[Industry Funding from DE (ITA)]]</f>
        <v>0</v>
      </c>
      <c r="CS192" s="44">
        <f>Tabelle4[[#This Row],[Industry Funding from BR (IPK)]]+Tabelle4[[#This Row],[Industry Funding from BR (ITA)]]</f>
        <v>0</v>
      </c>
      <c r="CT192" s="44">
        <f>Tabelle4[[#This Row],[Total Public Funding (IPK)]]+Tabelle4[[#This Row],[Total Public Funding (ITA)]]</f>
        <v>1067013.0593120086</v>
      </c>
      <c r="CU192" s="44">
        <f>Tabelle4[[#This Row],[Public Funding from DE (IPK)]]+Tabelle4[[#This Row],[Public Funding from DE (ITA)]]</f>
        <v>0</v>
      </c>
      <c r="CV192" s="44">
        <f>Tabelle4[[#This Row],[Public Funding from BR (IPK)]]+Tabelle4[[#This Row],[Public Funding from BR (ITA)]]</f>
        <v>1067013.0593120086</v>
      </c>
      <c r="CW192" s="44">
        <f>Tabelle4[[#This Row],[Industry Funding from DE (FPC)]]+Tabelle4[[#This Row],[Public Funding from DE (FPC)]]</f>
        <v>0</v>
      </c>
      <c r="CX192" s="46">
        <f>Tabelle4[[#This Row],[Industry Funding from BR (FPC)]]+Tabelle4[[#This Row],[Public Funding from BR (FPC)]]</f>
        <v>1067013.0593120086</v>
      </c>
      <c r="CY192" s="44">
        <f>Tabelle4[[#This Row],[Total Financial Budget (Other)]]+Tabelle4[[#This Row],[Total In-kind Contribution (Other)]]</f>
        <v>0</v>
      </c>
      <c r="CZ192"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92" s="44">
        <f>Tabelle4[[#This Row],[In-kind Contribution (R&amp;D III)]]+Tabelle4[[#This Row],[In-kind Contribution (R&amp;D IV)]]</f>
        <v>0</v>
      </c>
      <c r="DB192" s="158">
        <f>Tabelle4[[#This Row],[Total Budget (FPC)]]+Tabelle4[[#This Row],[Total Volume (Other)]]</f>
        <v>1067013.0593120086</v>
      </c>
      <c r="DC192" s="104">
        <f>Tabelle4[[#This Row],[Total Revenues (IPK)]]</f>
        <v>0</v>
      </c>
      <c r="DE192" s="44">
        <f>Tabelle4[[#This Row],[Total Revenues IPK]]*Tabelle4[[#This Row],[Probability of Success]]</f>
        <v>0</v>
      </c>
      <c r="DL192" s="44">
        <f>Tabelle4[[#This Row],[Real Budget IPK]]*Tabelle4[[#This Row],[Acquisition Factor OE810]]</f>
        <v>0</v>
      </c>
      <c r="DN192" s="46">
        <f>Tabelle4[[#This Row],[Acquisition Bonus OE810]]+Tabelle4[[#This Row],[Project Execution OE810]]</f>
        <v>0</v>
      </c>
    </row>
    <row r="193" spans="1:118" ht="27.75" x14ac:dyDescent="0.45">
      <c r="A193" s="70" t="s">
        <v>355</v>
      </c>
      <c r="B193" s="33" t="s">
        <v>560</v>
      </c>
      <c r="C193" s="57" t="s">
        <v>453</v>
      </c>
      <c r="D193" s="57" t="s">
        <v>710</v>
      </c>
      <c r="E193" s="33">
        <v>1</v>
      </c>
      <c r="F193" s="33">
        <v>0</v>
      </c>
      <c r="G193" s="33" t="s">
        <v>2</v>
      </c>
      <c r="H193" s="33" t="s">
        <v>96</v>
      </c>
      <c r="J193" s="59">
        <v>43717</v>
      </c>
      <c r="K193" s="33" t="s">
        <v>246</v>
      </c>
      <c r="L193" s="43" t="s">
        <v>309</v>
      </c>
      <c r="Q193" s="58">
        <v>18</v>
      </c>
      <c r="R193" s="60"/>
      <c r="S193" s="60"/>
      <c r="T193" s="60"/>
      <c r="U193" s="60"/>
      <c r="V193" s="59">
        <v>43696</v>
      </c>
      <c r="Y193" s="59">
        <v>43923</v>
      </c>
      <c r="Z193" s="42" t="str">
        <f t="shared" si="29"/>
        <v>IPK</v>
      </c>
      <c r="AG193" s="42" t="str">
        <f t="shared" si="30"/>
        <v>ITA</v>
      </c>
      <c r="AH193" s="33" t="s">
        <v>319</v>
      </c>
      <c r="AI193" s="33" t="s">
        <v>130</v>
      </c>
      <c r="AK193" s="64"/>
      <c r="AL193" s="64"/>
      <c r="AM193" s="64">
        <f>(1300000/4.3111)</f>
        <v>301547.16893600242</v>
      </c>
      <c r="AO193" s="42"/>
      <c r="AV193" s="42"/>
      <c r="BC193" s="42" t="s">
        <v>353</v>
      </c>
      <c r="BE193" s="64"/>
      <c r="BF193" s="65"/>
      <c r="BS193" s="33" t="s">
        <v>452</v>
      </c>
      <c r="BY193" s="44">
        <f>Tabelle4[[#This Row],[Industry Funding from DE (IPK)]]+Tabelle4[[#This Row],[Industry Funding from BR (IPK)]]+Tabelle4[[#This Row],[Public Funding from DE (IPK)]]+Tabelle4[[#This Row],[Public Funding from BR (IPK)]]+Tabelle4[[#This Row],[In-kind Contribution (IPK)]]</f>
        <v>0</v>
      </c>
      <c r="BZ193" s="44">
        <f>Tabelle4[[#This Row],[Industry Funding from DE (IPK)]]+Tabelle4[[#This Row],[Industry Funding from BR (IPK)]]+Tabelle4[[#This Row],[Public Funding from DE (IPK)]]+Tabelle4[[#This Row],[Public Funding from BR (IPK)]]</f>
        <v>0</v>
      </c>
      <c r="CA193" s="44">
        <f>Tabelle4[[#This Row],[Industry Funding from DE (IPK)]]+Tabelle4[[#This Row],[Industry Funding from BR (IPK)]]</f>
        <v>0</v>
      </c>
      <c r="CB193" s="44">
        <f>Tabelle4[[#This Row],[Public Funding from DE (IPK)]]+Tabelle4[[#This Row],[Public Funding from BR (IPK)]]</f>
        <v>0</v>
      </c>
      <c r="CC193" s="44">
        <f>Tabelle4[[#This Row],[In-kind Contribution (IPK)]]</f>
        <v>0</v>
      </c>
      <c r="CD193" s="47" t="e">
        <f>(Tabelle4[[#This Row],[Total Industry Funding (IPK)]] + Tabelle4[[#This Row],[Total Public Funding (IPK)]])/Tabelle4[[#This Row],[Total Project Volume (IPK)]]</f>
        <v>#DIV/0!</v>
      </c>
      <c r="CE193" s="47" t="e">
        <f>Tabelle4[[#This Row],[Total Industry Funding (IPK)]] / Tabelle4[[#This Row],[Total Project Volume (IPK)]]</f>
        <v>#DIV/0!</v>
      </c>
      <c r="CF193" s="33" t="str">
        <f>Tabelle4[[#This Row],[Project Funding Classification]]</f>
        <v>Public Funding</v>
      </c>
      <c r="CG193" s="44">
        <f>Tabelle4[[#This Row],[Industry Funding from DE (IPK)]]+Tabelle4[[#This Row],[Public Funding from DE (IPK)]]</f>
        <v>0</v>
      </c>
      <c r="CH193" s="46">
        <f>Tabelle4[[#This Row],[Industry Funding from BR (IPK)]]+Tabelle4[[#This Row],[Public Funding from BR (IPK)]]</f>
        <v>0</v>
      </c>
      <c r="CI193" s="44">
        <f>Tabelle4[[#This Row],[Industry Funding from DE (ITA)]]+Tabelle4[[#This Row],[Industry Funding from BR (ITA)]]+Tabelle4[[#This Row],[Public Funding from DE (ITA)]]+Tabelle4[[#This Row],[Public Funding from BR (ITA)]]</f>
        <v>301547.16893600242</v>
      </c>
      <c r="CJ193" s="44">
        <f>Tabelle4[[#This Row],[Industry Funding from DE (ITA)]]+Tabelle4[[#This Row],[Industry Funding from BR (ITA)]]</f>
        <v>0</v>
      </c>
      <c r="CK193" s="44">
        <f>Tabelle4[[#This Row],[Public Funding from DE (ITA)]]+Tabelle4[[#This Row],[Public Funding from BR (ITA)]]</f>
        <v>301547.16893600242</v>
      </c>
      <c r="CL193" s="47">
        <f>Tabelle4[[#This Row],[Total Industry Funding (ITA)]]/Tabelle4[[#This Row],[Total Project Volume (ITA)]]</f>
        <v>0</v>
      </c>
      <c r="CM193" s="33" t="str">
        <f>IF(Tabelle4[[#This Row],[Funding Ratio (ITA)]]&lt;0.5,"Public Funding","Industry")</f>
        <v>Public Funding</v>
      </c>
      <c r="CN193" s="44">
        <f>Tabelle4[[#This Row],[Industry Funding from DE (ITA)]]+Tabelle4[[#This Row],[Public Funding from DE (ITA)]]</f>
        <v>0</v>
      </c>
      <c r="CO193" s="46">
        <f>Tabelle4[[#This Row],[Industry Funding from BR (ITA)]]+Tabelle4[[#This Row],[Public Funding from BR (ITA)]]</f>
        <v>301547.16893600242</v>
      </c>
      <c r="CP193" s="44">
        <f>Tabelle4[[#This Row],[Total Project Volume (IPK)]]+Tabelle4[[#This Row],[Total Project Volume (ITA)]]</f>
        <v>301547.16893600242</v>
      </c>
      <c r="CQ193" s="44">
        <f>Tabelle4[[#This Row],[Total Industry Funding (IPK)]]+Tabelle4[[#This Row],[Total Industry Funding (ITA)]]</f>
        <v>0</v>
      </c>
      <c r="CR193" s="44">
        <f>Tabelle4[[#This Row],[Industry Funding from DE (IPK)]]+Tabelle4[[#This Row],[Industry Funding from DE (ITA)]]</f>
        <v>0</v>
      </c>
      <c r="CS193" s="44">
        <f>Tabelle4[[#This Row],[Industry Funding from BR (IPK)]]+Tabelle4[[#This Row],[Industry Funding from BR (ITA)]]</f>
        <v>0</v>
      </c>
      <c r="CT193" s="44">
        <f>Tabelle4[[#This Row],[Total Public Funding (IPK)]]+Tabelle4[[#This Row],[Total Public Funding (ITA)]]</f>
        <v>301547.16893600242</v>
      </c>
      <c r="CU193" s="44">
        <f>Tabelle4[[#This Row],[Public Funding from DE (IPK)]]+Tabelle4[[#This Row],[Public Funding from DE (ITA)]]</f>
        <v>0</v>
      </c>
      <c r="CV193" s="44">
        <f>Tabelle4[[#This Row],[Public Funding from BR (IPK)]]+Tabelle4[[#This Row],[Public Funding from BR (ITA)]]</f>
        <v>301547.16893600242</v>
      </c>
      <c r="CW193" s="44">
        <f>Tabelle4[[#This Row],[Industry Funding from DE (FPC)]]+Tabelle4[[#This Row],[Public Funding from DE (FPC)]]</f>
        <v>0</v>
      </c>
      <c r="CX193" s="46">
        <f>Tabelle4[[#This Row],[Industry Funding from BR (FPC)]]+Tabelle4[[#This Row],[Public Funding from BR (FPC)]]</f>
        <v>301547.16893600242</v>
      </c>
      <c r="CY193" s="44">
        <f>Tabelle4[[#This Row],[Total Financial Budget (Other)]]+Tabelle4[[#This Row],[Total In-kind Contribution (Other)]]</f>
        <v>0</v>
      </c>
      <c r="CZ193"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93" s="44">
        <f>Tabelle4[[#This Row],[In-kind Contribution (R&amp;D III)]]+Tabelle4[[#This Row],[In-kind Contribution (R&amp;D IV)]]</f>
        <v>0</v>
      </c>
      <c r="DB193" s="158">
        <f>Tabelle4[[#This Row],[Total Budget (FPC)]]+Tabelle4[[#This Row],[Total Volume (Other)]]</f>
        <v>301547.16893600242</v>
      </c>
      <c r="DC193" s="104">
        <f>Tabelle4[[#This Row],[Total Revenues (IPK)]]</f>
        <v>0</v>
      </c>
      <c r="DE193" s="44">
        <f>Tabelle4[[#This Row],[Total Revenues IPK]]*Tabelle4[[#This Row],[Probability of Success]]</f>
        <v>0</v>
      </c>
      <c r="DL193" s="44">
        <f>Tabelle4[[#This Row],[Real Budget IPK]]*Tabelle4[[#This Row],[Acquisition Factor OE810]]</f>
        <v>0</v>
      </c>
      <c r="DN193" s="46">
        <f>Tabelle4[[#This Row],[Acquisition Bonus OE810]]+Tabelle4[[#This Row],[Project Execution OE810]]</f>
        <v>0</v>
      </c>
    </row>
    <row r="194" spans="1:118" ht="27.75" x14ac:dyDescent="0.45">
      <c r="A194" s="42" t="s">
        <v>824</v>
      </c>
      <c r="B194" s="33" t="s">
        <v>562</v>
      </c>
      <c r="C194" s="33" t="s">
        <v>748</v>
      </c>
      <c r="D194" s="33" t="s">
        <v>709</v>
      </c>
      <c r="E194" s="33">
        <v>2</v>
      </c>
      <c r="F194" s="33">
        <v>0</v>
      </c>
      <c r="G194" s="33" t="s">
        <v>2</v>
      </c>
      <c r="H194" s="33" t="s">
        <v>0</v>
      </c>
      <c r="J194" s="59">
        <v>43900</v>
      </c>
      <c r="K194" s="33" t="s">
        <v>244</v>
      </c>
      <c r="L194" s="33" t="s">
        <v>651</v>
      </c>
      <c r="M194" s="144">
        <v>5.89</v>
      </c>
      <c r="N194" s="33" t="s">
        <v>667</v>
      </c>
      <c r="Q194" s="33">
        <v>12</v>
      </c>
      <c r="U194" s="59">
        <v>43923</v>
      </c>
      <c r="V194" s="59">
        <v>44426</v>
      </c>
      <c r="W194" s="59">
        <v>44606</v>
      </c>
      <c r="Z194" s="42" t="str">
        <f t="shared" si="29"/>
        <v>IPK</v>
      </c>
      <c r="AC194" s="96"/>
      <c r="AG194" s="42" t="str">
        <f t="shared" si="30"/>
        <v>ITA</v>
      </c>
      <c r="AH194" s="33" t="s">
        <v>439</v>
      </c>
      <c r="AI194" s="33" t="s">
        <v>438</v>
      </c>
      <c r="AJ194" s="64"/>
      <c r="AK194" s="104">
        <f>100000/M194</f>
        <v>16977.92869269949</v>
      </c>
      <c r="AM194" s="104">
        <f>150000/M194</f>
        <v>25466.893039049239</v>
      </c>
      <c r="AN194" s="104">
        <f>50000/M194</f>
        <v>8488.964346349745</v>
      </c>
      <c r="AO194" s="42"/>
      <c r="AV194" s="42"/>
      <c r="BC194" s="42" t="s">
        <v>531</v>
      </c>
      <c r="BE194" s="104">
        <f>100000/Tabelle4[[#This Row],[EUR exchange rate against BRL]]</f>
        <v>16977.92869269949</v>
      </c>
      <c r="BF194" s="65"/>
      <c r="BS194" s="33" t="s">
        <v>749</v>
      </c>
      <c r="BU194" s="101">
        <f>150000/Tabelle4[[#This Row],[EUR exchange rate against BRL]]</f>
        <v>25466.893039049239</v>
      </c>
      <c r="BY194" s="44">
        <f>Tabelle4[[#This Row],[Industry Funding from DE (IPK)]]+Tabelle4[[#This Row],[Industry Funding from BR (IPK)]]+Tabelle4[[#This Row],[Public Funding from DE (IPK)]]+Tabelle4[[#This Row],[Public Funding from BR (IPK)]]+Tabelle4[[#This Row],[In-kind Contribution (IPK)]]</f>
        <v>0</v>
      </c>
      <c r="BZ194" s="44">
        <f>Tabelle4[[#This Row],[Industry Funding from DE (IPK)]]+Tabelle4[[#This Row],[Industry Funding from BR (IPK)]]+Tabelle4[[#This Row],[Public Funding from DE (IPK)]]+Tabelle4[[#This Row],[Public Funding from BR (IPK)]]</f>
        <v>0</v>
      </c>
      <c r="CA194" s="44">
        <f>Tabelle4[[#This Row],[Industry Funding from DE (IPK)]]+Tabelle4[[#This Row],[Industry Funding from BR (IPK)]]</f>
        <v>0</v>
      </c>
      <c r="CB194" s="44">
        <f>Tabelle4[[#This Row],[Public Funding from DE (IPK)]]+Tabelle4[[#This Row],[Public Funding from BR (IPK)]]</f>
        <v>0</v>
      </c>
      <c r="CC194" s="44">
        <f>Tabelle4[[#This Row],[In-kind Contribution (IPK)]]</f>
        <v>0</v>
      </c>
      <c r="CD194" s="47" t="e">
        <f>(Tabelle4[[#This Row],[Total Industry Funding (IPK)]] + Tabelle4[[#This Row],[Total Public Funding (IPK)]])/Tabelle4[[#This Row],[Total Project Volume (IPK)]]</f>
        <v>#DIV/0!</v>
      </c>
      <c r="CE194" s="47" t="e">
        <f>Tabelle4[[#This Row],[Total Industry Funding (IPK)]] / Tabelle4[[#This Row],[Total Project Volume (IPK)]]</f>
        <v>#DIV/0!</v>
      </c>
      <c r="CF194" s="33" t="str">
        <f>Tabelle4[[#This Row],[Project Funding Classification]]</f>
        <v>Industry</v>
      </c>
      <c r="CG194" s="44">
        <f>Tabelle4[[#This Row],[Industry Funding from DE (IPK)]]+Tabelle4[[#This Row],[Public Funding from DE (IPK)]]</f>
        <v>0</v>
      </c>
      <c r="CH194" s="46">
        <f>Tabelle4[[#This Row],[Industry Funding from BR (IPK)]]+Tabelle4[[#This Row],[Public Funding from BR (IPK)]]</f>
        <v>0</v>
      </c>
      <c r="CI194" s="44">
        <f>Tabelle4[[#This Row],[Industry Funding from DE (ITA)]]+Tabelle4[[#This Row],[Industry Funding from BR (ITA)]]+Tabelle4[[#This Row],[Public Funding from DE (ITA)]]+Tabelle4[[#This Row],[Public Funding from BR (ITA)]]</f>
        <v>42444.821731748729</v>
      </c>
      <c r="CJ194" s="44">
        <f>Tabelle4[[#This Row],[Industry Funding from DE (ITA)]]+Tabelle4[[#This Row],[Industry Funding from BR (ITA)]]</f>
        <v>16977.92869269949</v>
      </c>
      <c r="CK194" s="44">
        <f>Tabelle4[[#This Row],[Public Funding from DE (ITA)]]+Tabelle4[[#This Row],[Public Funding from BR (ITA)]]</f>
        <v>25466.893039049239</v>
      </c>
      <c r="CL194" s="47">
        <f>Tabelle4[[#This Row],[Total Industry Funding (ITA)]]/Tabelle4[[#This Row],[Total Project Volume (ITA)]]</f>
        <v>0.39999999999999997</v>
      </c>
      <c r="CM194" s="33" t="str">
        <f>IF(Tabelle4[[#This Row],[Funding Ratio (ITA)]]&lt;0.5,"Public Funding","Industry")</f>
        <v>Public Funding</v>
      </c>
      <c r="CN194" s="44">
        <f>Tabelle4[[#This Row],[Industry Funding from DE (ITA)]]+Tabelle4[[#This Row],[Public Funding from DE (ITA)]]</f>
        <v>0</v>
      </c>
      <c r="CO194" s="46">
        <f>Tabelle4[[#This Row],[Industry Funding from BR (ITA)]]+Tabelle4[[#This Row],[Public Funding from BR (ITA)]]</f>
        <v>42444.821731748729</v>
      </c>
      <c r="CP194" s="44">
        <f>Tabelle4[[#This Row],[Total Project Volume (IPK)]]+Tabelle4[[#This Row],[Total Project Volume (ITA)]]</f>
        <v>42444.821731748729</v>
      </c>
      <c r="CQ194" s="44">
        <f>Tabelle4[[#This Row],[Total Industry Funding (IPK)]]+Tabelle4[[#This Row],[Total Industry Funding (ITA)]]</f>
        <v>16977.92869269949</v>
      </c>
      <c r="CR194" s="44">
        <f>Tabelle4[[#This Row],[Industry Funding from DE (IPK)]]+Tabelle4[[#This Row],[Industry Funding from DE (ITA)]]</f>
        <v>0</v>
      </c>
      <c r="CS194" s="44">
        <f>Tabelle4[[#This Row],[Industry Funding from BR (IPK)]]+Tabelle4[[#This Row],[Industry Funding from BR (ITA)]]</f>
        <v>16977.92869269949</v>
      </c>
      <c r="CT194" s="44">
        <f>Tabelle4[[#This Row],[Total Public Funding (IPK)]]+Tabelle4[[#This Row],[Total Public Funding (ITA)]]</f>
        <v>25466.893039049239</v>
      </c>
      <c r="CU194" s="44">
        <f>Tabelle4[[#This Row],[Public Funding from DE (IPK)]]+Tabelle4[[#This Row],[Public Funding from DE (ITA)]]</f>
        <v>0</v>
      </c>
      <c r="CV194" s="44">
        <f>Tabelle4[[#This Row],[Public Funding from BR (IPK)]]+Tabelle4[[#This Row],[Public Funding from BR (ITA)]]</f>
        <v>25466.893039049239</v>
      </c>
      <c r="CW194" s="44">
        <f>Tabelle4[[#This Row],[Industry Funding from DE (FPC)]]+Tabelle4[[#This Row],[Public Funding from DE (FPC)]]</f>
        <v>0</v>
      </c>
      <c r="CX194" s="46">
        <f>Tabelle4[[#This Row],[Industry Funding from BR (FPC)]]+Tabelle4[[#This Row],[Public Funding from BR (FPC)]]</f>
        <v>42444.821731748729</v>
      </c>
      <c r="CY194" s="44">
        <f>Tabelle4[[#This Row],[Total Financial Budget (Other)]]+Tabelle4[[#This Row],[Total In-kind Contribution (Other)]]</f>
        <v>0</v>
      </c>
      <c r="CZ194"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94" s="44">
        <f>Tabelle4[[#This Row],[In-kind Contribution (R&amp;D III)]]+Tabelle4[[#This Row],[In-kind Contribution (R&amp;D IV)]]</f>
        <v>0</v>
      </c>
      <c r="DB194" s="158">
        <f>Tabelle4[[#This Row],[Total Budget (FPC)]]+Tabelle4[[#This Row],[Total Volume (Other)]]</f>
        <v>42444.821731748729</v>
      </c>
      <c r="DC194" s="104">
        <f>Tabelle4[[#This Row],[Total Revenues (IPK)]]</f>
        <v>0</v>
      </c>
      <c r="DE194" s="44">
        <f>Tabelle4[[#This Row],[Total Revenues IPK]]*Tabelle4[[#This Row],[Probability of Success]]</f>
        <v>0</v>
      </c>
      <c r="DL194" s="44">
        <f>Tabelle4[[#This Row],[Real Budget IPK]]*Tabelle4[[#This Row],[Acquisition Factor OE810]]</f>
        <v>0</v>
      </c>
      <c r="DN194" s="46">
        <f>Tabelle4[[#This Row],[Acquisition Bonus OE810]]+Tabelle4[[#This Row],[Project Execution OE810]]</f>
        <v>0</v>
      </c>
    </row>
    <row r="195" spans="1:118" ht="27.75" x14ac:dyDescent="0.45">
      <c r="A195" s="70" t="s">
        <v>215</v>
      </c>
      <c r="B195" s="49"/>
      <c r="C195" s="49" t="s">
        <v>186</v>
      </c>
      <c r="D195" s="49" t="s">
        <v>709</v>
      </c>
      <c r="E195" s="49"/>
      <c r="F195" s="49"/>
      <c r="G195" s="49" t="s">
        <v>2</v>
      </c>
      <c r="H195" s="49" t="s">
        <v>0</v>
      </c>
      <c r="I195" s="49"/>
      <c r="J195" s="50"/>
      <c r="K195" s="49" t="s">
        <v>246</v>
      </c>
      <c r="L195" s="49" t="s">
        <v>309</v>
      </c>
      <c r="M195" s="146"/>
      <c r="N195" s="49"/>
      <c r="O195" s="50"/>
      <c r="P195" s="50"/>
      <c r="Q195" s="49"/>
      <c r="R195" s="50"/>
      <c r="S195" s="50"/>
      <c r="T195" s="50"/>
      <c r="U195" s="50"/>
      <c r="V195" s="50"/>
      <c r="W195" s="50"/>
      <c r="X195" s="50"/>
      <c r="Y195" s="50">
        <v>43745</v>
      </c>
      <c r="Z195" s="48" t="str">
        <f t="shared" si="29"/>
        <v>IPK</v>
      </c>
      <c r="AA195" s="49"/>
      <c r="AB195" s="105"/>
      <c r="AC195" s="105"/>
      <c r="AD195" s="105"/>
      <c r="AE195" s="105"/>
      <c r="AF195" s="105"/>
      <c r="AG195" s="48" t="str">
        <f t="shared" si="30"/>
        <v>ITA</v>
      </c>
      <c r="AH195" s="33" t="s">
        <v>437</v>
      </c>
      <c r="AI195" s="33" t="s">
        <v>346</v>
      </c>
      <c r="AK195" s="104">
        <v>29762</v>
      </c>
      <c r="AO195" s="48"/>
      <c r="AP195" s="49"/>
      <c r="AQ195" s="105"/>
      <c r="AR195" s="105"/>
      <c r="AS195" s="105"/>
      <c r="AT195" s="105"/>
      <c r="AU195" s="105"/>
      <c r="AV195" s="48"/>
      <c r="AW195" s="49"/>
      <c r="AX195" s="105"/>
      <c r="AY195" s="105"/>
      <c r="AZ195" s="105"/>
      <c r="BA195" s="105"/>
      <c r="BB195" s="105"/>
      <c r="BC195" s="48" t="s">
        <v>186</v>
      </c>
      <c r="BD195" s="49"/>
      <c r="BE195" s="105">
        <v>29762</v>
      </c>
      <c r="BF195" s="102"/>
      <c r="BG195" s="49"/>
      <c r="BH195" s="49"/>
      <c r="BI195" s="105"/>
      <c r="BJ195" s="102"/>
      <c r="BK195" s="49"/>
      <c r="BL195" s="49"/>
      <c r="BM195" s="105"/>
      <c r="BN195" s="102"/>
      <c r="BO195" s="49"/>
      <c r="BP195" s="49"/>
      <c r="BQ195" s="105"/>
      <c r="BR195" s="102"/>
      <c r="BS195" s="49"/>
      <c r="BT195" s="49"/>
      <c r="BU195" s="102"/>
      <c r="BV195" s="49"/>
      <c r="BW195" s="49"/>
      <c r="BX195" s="102"/>
      <c r="BY195" s="51">
        <f>Tabelle4[[#This Row],[Industry Funding from DE (IPK)]]+Tabelle4[[#This Row],[Industry Funding from BR (IPK)]]+Tabelle4[[#This Row],[Public Funding from DE (IPK)]]+Tabelle4[[#This Row],[Public Funding from BR (IPK)]]+Tabelle4[[#This Row],[In-kind Contribution (IPK)]]</f>
        <v>0</v>
      </c>
      <c r="BZ195" s="51">
        <f>Tabelle4[[#This Row],[Industry Funding from DE (IPK)]]+Tabelle4[[#This Row],[Industry Funding from BR (IPK)]]+Tabelle4[[#This Row],[Public Funding from DE (IPK)]]+Tabelle4[[#This Row],[Public Funding from BR (IPK)]]</f>
        <v>0</v>
      </c>
      <c r="CA195" s="51">
        <f>Tabelle4[[#This Row],[Industry Funding from DE (IPK)]]+Tabelle4[[#This Row],[Industry Funding from BR (IPK)]]</f>
        <v>0</v>
      </c>
      <c r="CB195" s="51">
        <f>Tabelle4[[#This Row],[Public Funding from DE (IPK)]]+Tabelle4[[#This Row],[Public Funding from BR (IPK)]]</f>
        <v>0</v>
      </c>
      <c r="CC195" s="51">
        <f>Tabelle4[[#This Row],[In-kind Contribution (IPK)]]</f>
        <v>0</v>
      </c>
      <c r="CD195" s="53" t="e">
        <f>(Tabelle4[[#This Row],[Total Industry Funding (IPK)]] + Tabelle4[[#This Row],[Total Public Funding (IPK)]])/Tabelle4[[#This Row],[Total Project Volume (IPK)]]</f>
        <v>#DIV/0!</v>
      </c>
      <c r="CE195" s="53" t="e">
        <f>Tabelle4[[#This Row],[Total Industry Funding (IPK)]] / Tabelle4[[#This Row],[Total Project Volume (IPK)]]</f>
        <v>#DIV/0!</v>
      </c>
      <c r="CF195" s="49" t="str">
        <f>Tabelle4[[#This Row],[Project Funding Classification]]</f>
        <v>Industry</v>
      </c>
      <c r="CG195" s="51">
        <f>Tabelle4[[#This Row],[Industry Funding from DE (IPK)]]+Tabelle4[[#This Row],[Public Funding from DE (IPK)]]</f>
        <v>0</v>
      </c>
      <c r="CH195" s="52">
        <f>Tabelle4[[#This Row],[Industry Funding from BR (IPK)]]+Tabelle4[[#This Row],[Public Funding from BR (IPK)]]</f>
        <v>0</v>
      </c>
      <c r="CI195" s="51">
        <f>Tabelle4[[#This Row],[Industry Funding from DE (ITA)]]+Tabelle4[[#This Row],[Industry Funding from BR (ITA)]]+Tabelle4[[#This Row],[Public Funding from DE (ITA)]]+Tabelle4[[#This Row],[Public Funding from BR (ITA)]]</f>
        <v>29762</v>
      </c>
      <c r="CJ195" s="51">
        <f>Tabelle4[[#This Row],[Industry Funding from DE (ITA)]]+Tabelle4[[#This Row],[Industry Funding from BR (ITA)]]</f>
        <v>29762</v>
      </c>
      <c r="CK195" s="51">
        <f>Tabelle4[[#This Row],[Public Funding from DE (ITA)]]+Tabelle4[[#This Row],[Public Funding from BR (ITA)]]</f>
        <v>0</v>
      </c>
      <c r="CL195" s="53">
        <f>Tabelle4[[#This Row],[Total Industry Funding (ITA)]]/Tabelle4[[#This Row],[Total Project Volume (ITA)]]</f>
        <v>1</v>
      </c>
      <c r="CM195" s="49" t="str">
        <f>IF(Tabelle4[[#This Row],[Funding Ratio (ITA)]]&lt;0.5,"Public Funding","Industry")</f>
        <v>Industry</v>
      </c>
      <c r="CN195" s="51">
        <f>Tabelle4[[#This Row],[Industry Funding from DE (ITA)]]+Tabelle4[[#This Row],[Public Funding from DE (ITA)]]</f>
        <v>0</v>
      </c>
      <c r="CO195" s="52">
        <f>Tabelle4[[#This Row],[Industry Funding from BR (ITA)]]+Tabelle4[[#This Row],[Public Funding from BR (ITA)]]</f>
        <v>29762</v>
      </c>
      <c r="CP195" s="51">
        <f>Tabelle4[[#This Row],[Total Project Volume (IPK)]]+Tabelle4[[#This Row],[Total Project Volume (ITA)]]</f>
        <v>29762</v>
      </c>
      <c r="CQ195" s="51">
        <f>Tabelle4[[#This Row],[Total Industry Funding (IPK)]]+Tabelle4[[#This Row],[Total Industry Funding (ITA)]]</f>
        <v>29762</v>
      </c>
      <c r="CR195" s="51">
        <f>Tabelle4[[#This Row],[Industry Funding from DE (IPK)]]+Tabelle4[[#This Row],[Industry Funding from DE (ITA)]]</f>
        <v>0</v>
      </c>
      <c r="CS195" s="51">
        <f>Tabelle4[[#This Row],[Industry Funding from BR (IPK)]]+Tabelle4[[#This Row],[Industry Funding from BR (ITA)]]</f>
        <v>29762</v>
      </c>
      <c r="CT195" s="51">
        <f>Tabelle4[[#This Row],[Total Public Funding (IPK)]]+Tabelle4[[#This Row],[Total Public Funding (ITA)]]</f>
        <v>0</v>
      </c>
      <c r="CU195" s="51">
        <f>Tabelle4[[#This Row],[Public Funding from DE (IPK)]]+Tabelle4[[#This Row],[Public Funding from DE (ITA)]]</f>
        <v>0</v>
      </c>
      <c r="CV195" s="51">
        <f>Tabelle4[[#This Row],[Public Funding from BR (IPK)]]+Tabelle4[[#This Row],[Public Funding from BR (ITA)]]</f>
        <v>0</v>
      </c>
      <c r="CW195" s="51">
        <f>Tabelle4[[#This Row],[Industry Funding from DE (FPC)]]+Tabelle4[[#This Row],[Public Funding from DE (FPC)]]</f>
        <v>0</v>
      </c>
      <c r="CX195" s="52">
        <f>Tabelle4[[#This Row],[Industry Funding from BR (FPC)]]+Tabelle4[[#This Row],[Public Funding from BR (FPC)]]</f>
        <v>29762</v>
      </c>
      <c r="CY195" s="44">
        <f>Tabelle4[[#This Row],[Total Financial Budget (Other)]]+Tabelle4[[#This Row],[Total In-kind Contribution (Other)]]</f>
        <v>0</v>
      </c>
      <c r="CZ195"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95" s="44">
        <f>Tabelle4[[#This Row],[In-kind Contribution (R&amp;D III)]]+Tabelle4[[#This Row],[In-kind Contribution (R&amp;D IV)]]</f>
        <v>0</v>
      </c>
      <c r="DB195" s="158">
        <f>Tabelle4[[#This Row],[Total Budget (FPC)]]+Tabelle4[[#This Row],[Total Volume (Other)]]</f>
        <v>29762</v>
      </c>
      <c r="DC195" s="105">
        <f>Tabelle4[[#This Row],[Total Revenues (IPK)]]</f>
        <v>0</v>
      </c>
      <c r="DD195" s="53"/>
      <c r="DE195" s="51">
        <f>Tabelle4[[#This Row],[Total Revenues IPK]]*Tabelle4[[#This Row],[Probability of Success]]</f>
        <v>0</v>
      </c>
      <c r="DF195" s="51"/>
      <c r="DG195" s="51"/>
      <c r="DH195" s="51"/>
      <c r="DI195" s="51"/>
      <c r="DJ195" s="51"/>
      <c r="DK195" s="53"/>
      <c r="DL195" s="51">
        <f>Tabelle4[[#This Row],[Real Budget IPK]]*Tabelle4[[#This Row],[Acquisition Factor OE810]]</f>
        <v>0</v>
      </c>
      <c r="DM195" s="51">
        <v>0</v>
      </c>
      <c r="DN195" s="52">
        <f>Tabelle4[[#This Row],[Acquisition Bonus OE810]]+Tabelle4[[#This Row],[Project Execution OE810]]</f>
        <v>0</v>
      </c>
    </row>
    <row r="196" spans="1:118" ht="27.75" x14ac:dyDescent="0.45">
      <c r="A196" s="42" t="s">
        <v>294</v>
      </c>
      <c r="C196" s="33" t="s">
        <v>157</v>
      </c>
      <c r="D196" s="33" t="s">
        <v>711</v>
      </c>
      <c r="E196" s="33">
        <v>1</v>
      </c>
      <c r="F196" s="33">
        <v>2</v>
      </c>
      <c r="G196" s="33" t="s">
        <v>97</v>
      </c>
      <c r="H196" s="33" t="s">
        <v>96</v>
      </c>
      <c r="J196" s="59">
        <v>43702</v>
      </c>
      <c r="K196" s="33" t="s">
        <v>245</v>
      </c>
      <c r="L196" s="33" t="s">
        <v>651</v>
      </c>
      <c r="P196" s="59">
        <v>43831</v>
      </c>
      <c r="R196" s="59">
        <v>44135</v>
      </c>
      <c r="U196" s="59">
        <v>43702</v>
      </c>
      <c r="X196" s="59">
        <v>44561</v>
      </c>
      <c r="Z196" s="42" t="str">
        <f t="shared" si="29"/>
        <v>IPK</v>
      </c>
      <c r="AA196" s="33" t="s">
        <v>295</v>
      </c>
      <c r="AB196" s="104"/>
      <c r="AC196" s="104"/>
      <c r="AD196" s="104"/>
      <c r="AE196" s="104">
        <v>12710</v>
      </c>
      <c r="AF196" s="104">
        <v>7160</v>
      </c>
      <c r="AG196" s="42" t="str">
        <f t="shared" si="30"/>
        <v>ITA</v>
      </c>
      <c r="AH196" s="33" t="s">
        <v>319</v>
      </c>
      <c r="AI196" s="33" t="s">
        <v>130</v>
      </c>
      <c r="AO196" s="42"/>
      <c r="AQ196" s="104"/>
      <c r="AR196" s="104"/>
      <c r="AS196" s="104"/>
      <c r="AT196" s="104"/>
      <c r="AU196" s="104"/>
      <c r="AV196" s="42"/>
      <c r="AX196" s="104"/>
      <c r="AY196" s="104"/>
      <c r="AZ196" s="104"/>
      <c r="BA196" s="104"/>
      <c r="BB196" s="104"/>
      <c r="BC196" s="42"/>
      <c r="BE196" s="104"/>
      <c r="BF196" s="101"/>
      <c r="BI196" s="104"/>
      <c r="BJ196" s="101"/>
      <c r="BM196" s="104"/>
      <c r="BN196" s="101"/>
      <c r="BQ196" s="104"/>
      <c r="BR196" s="101"/>
      <c r="BS196" s="33" t="s">
        <v>157</v>
      </c>
      <c r="BT196" s="33" t="s">
        <v>296</v>
      </c>
      <c r="BU196" s="101">
        <v>12710</v>
      </c>
      <c r="BX196" s="101"/>
      <c r="BY196" s="44">
        <f>Tabelle4[[#This Row],[Industry Funding from DE (IPK)]]+Tabelle4[[#This Row],[Industry Funding from BR (IPK)]]+Tabelle4[[#This Row],[Public Funding from DE (IPK)]]+Tabelle4[[#This Row],[Public Funding from BR (IPK)]]+Tabelle4[[#This Row],[In-kind Contribution (IPK)]]</f>
        <v>19870</v>
      </c>
      <c r="BZ196" s="44">
        <f>Tabelle4[[#This Row],[Industry Funding from DE (IPK)]]+Tabelle4[[#This Row],[Industry Funding from BR (IPK)]]+Tabelle4[[#This Row],[Public Funding from DE (IPK)]]+Tabelle4[[#This Row],[Public Funding from BR (IPK)]]</f>
        <v>12710</v>
      </c>
      <c r="CA196" s="44">
        <f>Tabelle4[[#This Row],[Industry Funding from DE (IPK)]]+Tabelle4[[#This Row],[Industry Funding from BR (IPK)]]</f>
        <v>0</v>
      </c>
      <c r="CB196" s="44">
        <f>Tabelle4[[#This Row],[Public Funding from DE (IPK)]]+Tabelle4[[#This Row],[Public Funding from BR (IPK)]]</f>
        <v>12710</v>
      </c>
      <c r="CC196" s="44">
        <f>Tabelle4[[#This Row],[In-kind Contribution (IPK)]]</f>
        <v>7160</v>
      </c>
      <c r="CD196" s="47">
        <f>(Tabelle4[[#This Row],[Total Industry Funding (IPK)]] + Tabelle4[[#This Row],[Total Public Funding (IPK)]])/Tabelle4[[#This Row],[Total Project Volume (IPK)]]</f>
        <v>0.63965777554101666</v>
      </c>
      <c r="CE196" s="47">
        <f>Tabelle4[[#This Row],[Total Industry Funding (IPK)]] / Tabelle4[[#This Row],[Total Project Volume (IPK)]]</f>
        <v>0</v>
      </c>
      <c r="CF196" s="33" t="str">
        <f>Tabelle4[[#This Row],[Project Funding Classification]]</f>
        <v>Public Funding</v>
      </c>
      <c r="CG196" s="44">
        <f>Tabelle4[[#This Row],[Industry Funding from DE (IPK)]]+Tabelle4[[#This Row],[Public Funding from DE (IPK)]]</f>
        <v>0</v>
      </c>
      <c r="CH196" s="46">
        <f>Tabelle4[[#This Row],[Industry Funding from BR (IPK)]]+Tabelle4[[#This Row],[Public Funding from BR (IPK)]]</f>
        <v>12710</v>
      </c>
      <c r="CI196" s="44">
        <f>Tabelle4[[#This Row],[Industry Funding from DE (ITA)]]+Tabelle4[[#This Row],[Industry Funding from BR (ITA)]]+Tabelle4[[#This Row],[Public Funding from DE (ITA)]]+Tabelle4[[#This Row],[Public Funding from BR (ITA)]]</f>
        <v>0</v>
      </c>
      <c r="CJ196" s="44">
        <f>Tabelle4[[#This Row],[Industry Funding from DE (ITA)]]+Tabelle4[[#This Row],[Industry Funding from BR (ITA)]]</f>
        <v>0</v>
      </c>
      <c r="CK196" s="44">
        <f>Tabelle4[[#This Row],[Public Funding from DE (ITA)]]+Tabelle4[[#This Row],[Public Funding from BR (ITA)]]</f>
        <v>0</v>
      </c>
      <c r="CL196" s="47" t="e">
        <f>Tabelle4[[#This Row],[Total Industry Funding (ITA)]]/Tabelle4[[#This Row],[Total Project Volume (ITA)]]</f>
        <v>#DIV/0!</v>
      </c>
      <c r="CM196" s="33" t="e">
        <f>IF(Tabelle4[[#This Row],[Funding Ratio (ITA)]]&lt;0.5,"Public Funding","Industry")</f>
        <v>#DIV/0!</v>
      </c>
      <c r="CN196" s="44">
        <f>Tabelle4[[#This Row],[Industry Funding from DE (ITA)]]+Tabelle4[[#This Row],[Public Funding from DE (ITA)]]</f>
        <v>0</v>
      </c>
      <c r="CO196" s="46">
        <f>Tabelle4[[#This Row],[Industry Funding from BR (ITA)]]+Tabelle4[[#This Row],[Public Funding from BR (ITA)]]</f>
        <v>0</v>
      </c>
      <c r="CP196" s="44">
        <f>Tabelle4[[#This Row],[Total Project Volume (IPK)]]+Tabelle4[[#This Row],[Total Project Volume (ITA)]]</f>
        <v>19870</v>
      </c>
      <c r="CQ196" s="44">
        <f>Tabelle4[[#This Row],[Total Industry Funding (IPK)]]+Tabelle4[[#This Row],[Total Industry Funding (ITA)]]</f>
        <v>0</v>
      </c>
      <c r="CR196" s="44">
        <f>Tabelle4[[#This Row],[Industry Funding from DE (IPK)]]+Tabelle4[[#This Row],[Industry Funding from DE (ITA)]]</f>
        <v>0</v>
      </c>
      <c r="CS196" s="44">
        <f>Tabelle4[[#This Row],[Industry Funding from BR (IPK)]]+Tabelle4[[#This Row],[Industry Funding from BR (ITA)]]</f>
        <v>0</v>
      </c>
      <c r="CT196" s="44">
        <f>Tabelle4[[#This Row],[Total Public Funding (IPK)]]+Tabelle4[[#This Row],[Total Public Funding (ITA)]]</f>
        <v>12710</v>
      </c>
      <c r="CU196" s="44">
        <f>Tabelle4[[#This Row],[Public Funding from DE (IPK)]]+Tabelle4[[#This Row],[Public Funding from DE (ITA)]]</f>
        <v>0</v>
      </c>
      <c r="CV196" s="44">
        <f>Tabelle4[[#This Row],[Public Funding from BR (IPK)]]+Tabelle4[[#This Row],[Public Funding from BR (ITA)]]</f>
        <v>12710</v>
      </c>
      <c r="CW196" s="44">
        <f>Tabelle4[[#This Row],[Industry Funding from DE (FPC)]]+Tabelle4[[#This Row],[Public Funding from DE (FPC)]]</f>
        <v>0</v>
      </c>
      <c r="CX196" s="46">
        <f>Tabelle4[[#This Row],[Industry Funding from BR (FPC)]]+Tabelle4[[#This Row],[Public Funding from BR (FPC)]]</f>
        <v>12710</v>
      </c>
      <c r="CY196" s="44">
        <f>Tabelle4[[#This Row],[Total Financial Budget (Other)]]+Tabelle4[[#This Row],[Total In-kind Contribution (Other)]]</f>
        <v>0</v>
      </c>
      <c r="CZ196"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96" s="44">
        <f>Tabelle4[[#This Row],[In-kind Contribution (R&amp;D III)]]+Tabelle4[[#This Row],[In-kind Contribution (R&amp;D IV)]]</f>
        <v>0</v>
      </c>
      <c r="DB196" s="158">
        <f>Tabelle4[[#This Row],[Total Budget (FPC)]]+Tabelle4[[#This Row],[Total Volume (Other)]]</f>
        <v>19870</v>
      </c>
      <c r="DC196" s="104">
        <f>Tabelle4[[#This Row],[Total Revenues (IPK)]]</f>
        <v>12710</v>
      </c>
      <c r="DD196" s="47">
        <v>1</v>
      </c>
      <c r="DE196" s="44">
        <f>Tabelle4[[#This Row],[Total Revenues IPK]]*Tabelle4[[#This Row],[Probability of Success]]</f>
        <v>12710</v>
      </c>
      <c r="DF196" s="44">
        <v>4350</v>
      </c>
      <c r="DK196" s="47">
        <v>0</v>
      </c>
      <c r="DL196" s="44">
        <f>Tabelle4[[#This Row],[Real Budget IPK]]*Tabelle4[[#This Row],[Acquisition Factor OE810]]</f>
        <v>0</v>
      </c>
      <c r="DM196" s="44">
        <f>12710-4350</f>
        <v>8360</v>
      </c>
      <c r="DN196" s="46">
        <f>Tabelle4[[#This Row],[Acquisition Bonus OE810]]+Tabelle4[[#This Row],[Project Execution OE810]]</f>
        <v>8360</v>
      </c>
    </row>
    <row r="197" spans="1:118" ht="69.400000000000006" x14ac:dyDescent="0.45">
      <c r="A197" s="73" t="s">
        <v>491</v>
      </c>
      <c r="C197" s="33" t="s">
        <v>569</v>
      </c>
      <c r="D197" s="33" t="s">
        <v>711</v>
      </c>
      <c r="E197" s="33">
        <v>1</v>
      </c>
      <c r="F197" s="33">
        <v>1</v>
      </c>
      <c r="G197" s="33" t="s">
        <v>1</v>
      </c>
      <c r="H197" s="33" t="s">
        <v>96</v>
      </c>
      <c r="J197" s="59">
        <v>43738</v>
      </c>
      <c r="K197" s="33" t="s">
        <v>244</v>
      </c>
      <c r="Q197" s="33">
        <v>1</v>
      </c>
      <c r="S197" s="59">
        <v>43738</v>
      </c>
      <c r="U197" s="59">
        <v>43814</v>
      </c>
      <c r="V197" s="59">
        <v>43892</v>
      </c>
      <c r="W197" s="59">
        <v>43951</v>
      </c>
      <c r="Z197" s="42" t="str">
        <f t="shared" si="29"/>
        <v>IPK</v>
      </c>
      <c r="AA197" s="33" t="s">
        <v>141</v>
      </c>
      <c r="AD197" s="61">
        <v>10000</v>
      </c>
      <c r="AG197" s="42" t="str">
        <f t="shared" si="30"/>
        <v>ITA</v>
      </c>
      <c r="AJ197" s="64"/>
      <c r="AK197" s="64"/>
      <c r="AO197" s="42"/>
      <c r="AV197" s="42"/>
      <c r="BC197" s="42"/>
      <c r="BF197" s="65"/>
      <c r="BS197" s="33" t="s">
        <v>492</v>
      </c>
      <c r="BT197" s="33" t="s">
        <v>493</v>
      </c>
      <c r="BY197" s="44">
        <f>Tabelle4[[#This Row],[Industry Funding from DE (IPK)]]+Tabelle4[[#This Row],[Industry Funding from BR (IPK)]]+Tabelle4[[#This Row],[Public Funding from DE (IPK)]]+Tabelle4[[#This Row],[Public Funding from BR (IPK)]]+Tabelle4[[#This Row],[In-kind Contribution (IPK)]]</f>
        <v>10000</v>
      </c>
      <c r="BZ197" s="44">
        <f>Tabelle4[[#This Row],[Industry Funding from DE (IPK)]]+Tabelle4[[#This Row],[Industry Funding from BR (IPK)]]+Tabelle4[[#This Row],[Public Funding from DE (IPK)]]+Tabelle4[[#This Row],[Public Funding from BR (IPK)]]</f>
        <v>10000</v>
      </c>
      <c r="CA197" s="44">
        <f>Tabelle4[[#This Row],[Industry Funding from DE (IPK)]]+Tabelle4[[#This Row],[Industry Funding from BR (IPK)]]</f>
        <v>0</v>
      </c>
      <c r="CB197" s="44">
        <f>Tabelle4[[#This Row],[Public Funding from DE (IPK)]]+Tabelle4[[#This Row],[Public Funding from BR (IPK)]]</f>
        <v>10000</v>
      </c>
      <c r="CC197" s="44">
        <f>Tabelle4[[#This Row],[In-kind Contribution (IPK)]]</f>
        <v>0</v>
      </c>
      <c r="CD197" s="47">
        <f>(Tabelle4[[#This Row],[Total Industry Funding (IPK)]] + Tabelle4[[#This Row],[Total Public Funding (IPK)]])/Tabelle4[[#This Row],[Total Project Volume (IPK)]]</f>
        <v>1</v>
      </c>
      <c r="CE197" s="47">
        <f>Tabelle4[[#This Row],[Total Industry Funding (IPK)]] / Tabelle4[[#This Row],[Total Project Volume (IPK)]]</f>
        <v>0</v>
      </c>
      <c r="CF197" s="33" t="str">
        <f>Tabelle4[[#This Row],[Project Funding Classification]]</f>
        <v>Public Funding</v>
      </c>
      <c r="CG197" s="44">
        <f>Tabelle4[[#This Row],[Industry Funding from DE (IPK)]]+Tabelle4[[#This Row],[Public Funding from DE (IPK)]]</f>
        <v>10000</v>
      </c>
      <c r="CH197" s="46">
        <f>Tabelle4[[#This Row],[Industry Funding from BR (IPK)]]+Tabelle4[[#This Row],[Public Funding from BR (IPK)]]</f>
        <v>0</v>
      </c>
      <c r="CI197" s="44">
        <f>Tabelle4[[#This Row],[Industry Funding from DE (ITA)]]+Tabelle4[[#This Row],[Industry Funding from BR (ITA)]]+Tabelle4[[#This Row],[Public Funding from DE (ITA)]]+Tabelle4[[#This Row],[Public Funding from BR (ITA)]]</f>
        <v>0</v>
      </c>
      <c r="CJ197" s="44">
        <f>Tabelle4[[#This Row],[Industry Funding from DE (ITA)]]+Tabelle4[[#This Row],[Industry Funding from BR (ITA)]]</f>
        <v>0</v>
      </c>
      <c r="CK197" s="44">
        <f>Tabelle4[[#This Row],[Public Funding from DE (ITA)]]+Tabelle4[[#This Row],[Public Funding from BR (ITA)]]</f>
        <v>0</v>
      </c>
      <c r="CL197" s="47" t="e">
        <f>Tabelle4[[#This Row],[Total Industry Funding (ITA)]]/Tabelle4[[#This Row],[Total Project Volume (ITA)]]</f>
        <v>#DIV/0!</v>
      </c>
      <c r="CM197" s="33" t="e">
        <f>IF(Tabelle4[[#This Row],[Funding Ratio (ITA)]]&lt;0.5,"Public Funding","Industry")</f>
        <v>#DIV/0!</v>
      </c>
      <c r="CN197" s="44">
        <f>Tabelle4[[#This Row],[Industry Funding from DE (ITA)]]+Tabelle4[[#This Row],[Public Funding from DE (ITA)]]</f>
        <v>0</v>
      </c>
      <c r="CO197" s="46">
        <f>Tabelle4[[#This Row],[Industry Funding from BR (ITA)]]+Tabelle4[[#This Row],[Public Funding from BR (ITA)]]</f>
        <v>0</v>
      </c>
      <c r="CP197" s="44">
        <f>Tabelle4[[#This Row],[Total Project Volume (IPK)]]+Tabelle4[[#This Row],[Total Project Volume (ITA)]]</f>
        <v>10000</v>
      </c>
      <c r="CQ197" s="44">
        <f>Tabelle4[[#This Row],[Total Industry Funding (IPK)]]+Tabelle4[[#This Row],[Total Industry Funding (ITA)]]</f>
        <v>0</v>
      </c>
      <c r="CR197" s="44">
        <f>Tabelle4[[#This Row],[Industry Funding from DE (IPK)]]+Tabelle4[[#This Row],[Industry Funding from DE (ITA)]]</f>
        <v>0</v>
      </c>
      <c r="CS197" s="44">
        <f>Tabelle4[[#This Row],[Industry Funding from BR (IPK)]]+Tabelle4[[#This Row],[Industry Funding from BR (ITA)]]</f>
        <v>0</v>
      </c>
      <c r="CT197" s="44">
        <f>Tabelle4[[#This Row],[Total Public Funding (IPK)]]+Tabelle4[[#This Row],[Total Public Funding (ITA)]]</f>
        <v>10000</v>
      </c>
      <c r="CU197" s="44">
        <f>Tabelle4[[#This Row],[Public Funding from DE (IPK)]]+Tabelle4[[#This Row],[Public Funding from DE (ITA)]]</f>
        <v>10000</v>
      </c>
      <c r="CV197" s="44">
        <f>Tabelle4[[#This Row],[Public Funding from BR (IPK)]]+Tabelle4[[#This Row],[Public Funding from BR (ITA)]]</f>
        <v>0</v>
      </c>
      <c r="CW197" s="44">
        <f>Tabelle4[[#This Row],[Industry Funding from DE (FPC)]]+Tabelle4[[#This Row],[Public Funding from DE (FPC)]]</f>
        <v>10000</v>
      </c>
      <c r="CX197" s="46">
        <f>Tabelle4[[#This Row],[Industry Funding from BR (FPC)]]+Tabelle4[[#This Row],[Public Funding from BR (FPC)]]</f>
        <v>0</v>
      </c>
      <c r="CY197" s="44">
        <f>Tabelle4[[#This Row],[Total Financial Budget (Other)]]+Tabelle4[[#This Row],[Total In-kind Contribution (Other)]]</f>
        <v>0</v>
      </c>
      <c r="CZ197"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97" s="44">
        <f>Tabelle4[[#This Row],[In-kind Contribution (R&amp;D III)]]+Tabelle4[[#This Row],[In-kind Contribution (R&amp;D IV)]]</f>
        <v>0</v>
      </c>
      <c r="DB197" s="158">
        <f>Tabelle4[[#This Row],[Total Budget (FPC)]]+Tabelle4[[#This Row],[Total Volume (Other)]]</f>
        <v>10000</v>
      </c>
      <c r="DC197" s="104">
        <f>Tabelle4[[#This Row],[Total Revenues (IPK)]]</f>
        <v>10000</v>
      </c>
      <c r="DD197" s="47">
        <v>1</v>
      </c>
      <c r="DE197" s="44">
        <f>Tabelle4[[#This Row],[Total Revenues IPK]]*Tabelle4[[#This Row],[Probability of Success]]</f>
        <v>10000</v>
      </c>
      <c r="DI197" s="44">
        <v>5000</v>
      </c>
      <c r="DL197" s="44">
        <f>Tabelle4[[#This Row],[Real Budget IPK]]*Tabelle4[[#This Row],[Acquisition Factor OE810]]</f>
        <v>0</v>
      </c>
      <c r="DM197" s="44">
        <v>5000</v>
      </c>
      <c r="DN197" s="46">
        <f>Tabelle4[[#This Row],[Acquisition Bonus OE810]]+Tabelle4[[#This Row],[Project Execution OE810]]</f>
        <v>5000</v>
      </c>
    </row>
    <row r="198" spans="1:118" ht="27.75" x14ac:dyDescent="0.45">
      <c r="A198" s="70" t="s">
        <v>402</v>
      </c>
      <c r="B198" s="33" t="s">
        <v>403</v>
      </c>
      <c r="C198" s="33" t="s">
        <v>401</v>
      </c>
      <c r="D198" s="33" t="s">
        <v>709</v>
      </c>
      <c r="E198" s="33">
        <v>1</v>
      </c>
      <c r="F198" s="33">
        <v>0</v>
      </c>
      <c r="G198" s="33" t="s">
        <v>2</v>
      </c>
      <c r="H198" s="33" t="s">
        <v>0</v>
      </c>
      <c r="K198" s="33" t="s">
        <v>246</v>
      </c>
      <c r="L198" s="59" t="s">
        <v>309</v>
      </c>
      <c r="U198" s="59">
        <v>43696</v>
      </c>
      <c r="Y198" s="59">
        <v>43717</v>
      </c>
      <c r="Z198" s="42" t="str">
        <f t="shared" si="29"/>
        <v>IPK</v>
      </c>
      <c r="AG198" s="42" t="str">
        <f t="shared" si="30"/>
        <v>ITA</v>
      </c>
      <c r="AH198" s="33" t="s">
        <v>319</v>
      </c>
      <c r="AI198" s="33" t="s">
        <v>320</v>
      </c>
      <c r="AO198" s="42"/>
      <c r="AV198" s="42"/>
      <c r="BC198" s="42"/>
      <c r="BF198" s="65"/>
      <c r="BY198" s="44">
        <f>Tabelle4[[#This Row],[Industry Funding from DE (IPK)]]+Tabelle4[[#This Row],[Industry Funding from BR (IPK)]]+Tabelle4[[#This Row],[Public Funding from DE (IPK)]]+Tabelle4[[#This Row],[Public Funding from BR (IPK)]]+Tabelle4[[#This Row],[In-kind Contribution (IPK)]]</f>
        <v>0</v>
      </c>
      <c r="BZ198" s="44">
        <f>Tabelle4[[#This Row],[Industry Funding from DE (IPK)]]+Tabelle4[[#This Row],[Industry Funding from BR (IPK)]]+Tabelle4[[#This Row],[Public Funding from DE (IPK)]]+Tabelle4[[#This Row],[Public Funding from BR (IPK)]]</f>
        <v>0</v>
      </c>
      <c r="CA198" s="44">
        <f>Tabelle4[[#This Row],[Industry Funding from DE (IPK)]]+Tabelle4[[#This Row],[Industry Funding from BR (IPK)]]</f>
        <v>0</v>
      </c>
      <c r="CB198" s="44">
        <f>Tabelle4[[#This Row],[Public Funding from DE (IPK)]]+Tabelle4[[#This Row],[Public Funding from BR (IPK)]]</f>
        <v>0</v>
      </c>
      <c r="CC198" s="44">
        <f>Tabelle4[[#This Row],[In-kind Contribution (IPK)]]</f>
        <v>0</v>
      </c>
      <c r="CD198" s="47" t="e">
        <f>(Tabelle4[[#This Row],[Total Industry Funding (IPK)]] + Tabelle4[[#This Row],[Total Public Funding (IPK)]])/Tabelle4[[#This Row],[Total Project Volume (IPK)]]</f>
        <v>#DIV/0!</v>
      </c>
      <c r="CE198" s="47" t="e">
        <f>Tabelle4[[#This Row],[Total Industry Funding (IPK)]] / Tabelle4[[#This Row],[Total Project Volume (IPK)]]</f>
        <v>#DIV/0!</v>
      </c>
      <c r="CF198" s="33" t="str">
        <f>Tabelle4[[#This Row],[Project Funding Classification]]</f>
        <v>Industry</v>
      </c>
      <c r="CG198" s="44">
        <f>Tabelle4[[#This Row],[Industry Funding from DE (IPK)]]+Tabelle4[[#This Row],[Public Funding from DE (IPK)]]</f>
        <v>0</v>
      </c>
      <c r="CH198" s="46">
        <f>Tabelle4[[#This Row],[Industry Funding from BR (IPK)]]+Tabelle4[[#This Row],[Public Funding from BR (IPK)]]</f>
        <v>0</v>
      </c>
      <c r="CI198" s="44">
        <f>Tabelle4[[#This Row],[Industry Funding from DE (ITA)]]+Tabelle4[[#This Row],[Industry Funding from BR (ITA)]]+Tabelle4[[#This Row],[Public Funding from DE (ITA)]]+Tabelle4[[#This Row],[Public Funding from BR (ITA)]]</f>
        <v>0</v>
      </c>
      <c r="CJ198" s="44">
        <f>Tabelle4[[#This Row],[Industry Funding from DE (ITA)]]+Tabelle4[[#This Row],[Industry Funding from BR (ITA)]]</f>
        <v>0</v>
      </c>
      <c r="CK198" s="44">
        <f>Tabelle4[[#This Row],[Public Funding from DE (ITA)]]+Tabelle4[[#This Row],[Public Funding from BR (ITA)]]</f>
        <v>0</v>
      </c>
      <c r="CL198" s="47" t="e">
        <f>Tabelle4[[#This Row],[Total Industry Funding (ITA)]]/Tabelle4[[#This Row],[Total Project Volume (ITA)]]</f>
        <v>#DIV/0!</v>
      </c>
      <c r="CM198" s="33" t="e">
        <f>IF(Tabelle4[[#This Row],[Funding Ratio (ITA)]]&lt;0.5,"Public Funding","Industry")</f>
        <v>#DIV/0!</v>
      </c>
      <c r="CN198" s="44">
        <f>Tabelle4[[#This Row],[Industry Funding from DE (ITA)]]+Tabelle4[[#This Row],[Public Funding from DE (ITA)]]</f>
        <v>0</v>
      </c>
      <c r="CO198" s="46">
        <f>Tabelle4[[#This Row],[Industry Funding from BR (ITA)]]+Tabelle4[[#This Row],[Public Funding from BR (ITA)]]</f>
        <v>0</v>
      </c>
      <c r="CP198" s="44">
        <f>Tabelle4[[#This Row],[Total Project Volume (IPK)]]+Tabelle4[[#This Row],[Total Project Volume (ITA)]]</f>
        <v>0</v>
      </c>
      <c r="CQ198" s="44">
        <f>Tabelle4[[#This Row],[Total Industry Funding (IPK)]]+Tabelle4[[#This Row],[Total Industry Funding (ITA)]]</f>
        <v>0</v>
      </c>
      <c r="CR198" s="44">
        <f>Tabelle4[[#This Row],[Industry Funding from DE (IPK)]]+Tabelle4[[#This Row],[Industry Funding from DE (ITA)]]</f>
        <v>0</v>
      </c>
      <c r="CS198" s="44">
        <f>Tabelle4[[#This Row],[Industry Funding from BR (IPK)]]+Tabelle4[[#This Row],[Industry Funding from BR (ITA)]]</f>
        <v>0</v>
      </c>
      <c r="CT198" s="44">
        <f>Tabelle4[[#This Row],[Total Public Funding (IPK)]]+Tabelle4[[#This Row],[Total Public Funding (ITA)]]</f>
        <v>0</v>
      </c>
      <c r="CU198" s="44">
        <f>Tabelle4[[#This Row],[Public Funding from DE (IPK)]]+Tabelle4[[#This Row],[Public Funding from DE (ITA)]]</f>
        <v>0</v>
      </c>
      <c r="CV198" s="44">
        <f>Tabelle4[[#This Row],[Public Funding from BR (IPK)]]+Tabelle4[[#This Row],[Public Funding from BR (ITA)]]</f>
        <v>0</v>
      </c>
      <c r="CW198" s="44">
        <f>Tabelle4[[#This Row],[Industry Funding from DE (FPC)]]+Tabelle4[[#This Row],[Public Funding from DE (FPC)]]</f>
        <v>0</v>
      </c>
      <c r="CX198" s="46">
        <f>Tabelle4[[#This Row],[Industry Funding from BR (FPC)]]+Tabelle4[[#This Row],[Public Funding from BR (FPC)]]</f>
        <v>0</v>
      </c>
      <c r="CY198" s="44">
        <f>Tabelle4[[#This Row],[Total Financial Budget (Other)]]+Tabelle4[[#This Row],[Total In-kind Contribution (Other)]]</f>
        <v>0</v>
      </c>
      <c r="CZ198"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98" s="44">
        <f>Tabelle4[[#This Row],[In-kind Contribution (R&amp;D III)]]+Tabelle4[[#This Row],[In-kind Contribution (R&amp;D IV)]]</f>
        <v>0</v>
      </c>
      <c r="DB198" s="158">
        <f>Tabelle4[[#This Row],[Total Budget (FPC)]]+Tabelle4[[#This Row],[Total Volume (Other)]]</f>
        <v>0</v>
      </c>
      <c r="DC198" s="104">
        <f>Tabelle4[[#This Row],[Total Revenues (IPK)]]</f>
        <v>0</v>
      </c>
      <c r="DE198" s="44">
        <f>Tabelle4[[#This Row],[Total Revenues IPK]]*Tabelle4[[#This Row],[Probability of Success]]</f>
        <v>0</v>
      </c>
      <c r="DL198" s="44">
        <f>Tabelle4[[#This Row],[Real Budget IPK]]*Tabelle4[[#This Row],[Acquisition Factor OE810]]</f>
        <v>0</v>
      </c>
      <c r="DN198" s="46">
        <f>Tabelle4[[#This Row],[Acquisition Bonus OE810]]+Tabelle4[[#This Row],[Project Execution OE810]]</f>
        <v>0</v>
      </c>
    </row>
    <row r="199" spans="1:118" ht="27.75" x14ac:dyDescent="0.45">
      <c r="A199" s="70" t="s">
        <v>417</v>
      </c>
      <c r="B199" s="49" t="s">
        <v>205</v>
      </c>
      <c r="C199" s="49" t="s">
        <v>206</v>
      </c>
      <c r="D199" s="49" t="s">
        <v>709</v>
      </c>
      <c r="E199" s="49"/>
      <c r="F199" s="49"/>
      <c r="G199" s="49" t="s">
        <v>2</v>
      </c>
      <c r="H199" s="49" t="s">
        <v>0</v>
      </c>
      <c r="I199" s="49"/>
      <c r="J199" s="50"/>
      <c r="K199" s="49" t="s">
        <v>246</v>
      </c>
      <c r="L199" s="49" t="s">
        <v>309</v>
      </c>
      <c r="M199" s="146"/>
      <c r="N199" s="49"/>
      <c r="O199" s="50"/>
      <c r="P199" s="50"/>
      <c r="Q199" s="49"/>
      <c r="R199" s="50"/>
      <c r="S199" s="50"/>
      <c r="T199" s="50"/>
      <c r="U199" s="50"/>
      <c r="V199" s="50"/>
      <c r="W199" s="50"/>
      <c r="X199" s="50"/>
      <c r="Y199" s="50">
        <v>43745</v>
      </c>
      <c r="Z199" s="48" t="str">
        <f t="shared" si="29"/>
        <v>IPK</v>
      </c>
      <c r="AA199" s="49"/>
      <c r="AB199" s="105"/>
      <c r="AC199" s="105"/>
      <c r="AD199" s="105"/>
      <c r="AE199" s="105"/>
      <c r="AF199" s="105"/>
      <c r="AG199" s="48" t="str">
        <f t="shared" si="30"/>
        <v>ITA</v>
      </c>
      <c r="AH199" s="33" t="s">
        <v>361</v>
      </c>
      <c r="AI199" s="33" t="s">
        <v>320</v>
      </c>
      <c r="AK199" s="104">
        <v>68095</v>
      </c>
      <c r="AO199" s="48"/>
      <c r="AP199" s="49"/>
      <c r="AQ199" s="105"/>
      <c r="AR199" s="105"/>
      <c r="AS199" s="105"/>
      <c r="AT199" s="105"/>
      <c r="AU199" s="105"/>
      <c r="AV199" s="48"/>
      <c r="AW199" s="49"/>
      <c r="AX199" s="105"/>
      <c r="AY199" s="105"/>
      <c r="AZ199" s="105"/>
      <c r="BA199" s="105"/>
      <c r="BB199" s="105"/>
      <c r="BC199" s="48" t="s">
        <v>206</v>
      </c>
      <c r="BD199" s="49"/>
      <c r="BE199" s="105">
        <v>68095</v>
      </c>
      <c r="BF199" s="102"/>
      <c r="BG199" s="49"/>
      <c r="BH199" s="49"/>
      <c r="BI199" s="105"/>
      <c r="BJ199" s="102"/>
      <c r="BK199" s="49"/>
      <c r="BL199" s="49"/>
      <c r="BM199" s="105"/>
      <c r="BN199" s="102"/>
      <c r="BO199" s="49"/>
      <c r="BP199" s="49"/>
      <c r="BQ199" s="105"/>
      <c r="BR199" s="102"/>
      <c r="BS199" s="49"/>
      <c r="BT199" s="49"/>
      <c r="BU199" s="102"/>
      <c r="BV199" s="49"/>
      <c r="BW199" s="49"/>
      <c r="BX199" s="102"/>
      <c r="BY199" s="51">
        <f>Tabelle4[[#This Row],[Industry Funding from DE (IPK)]]+Tabelle4[[#This Row],[Industry Funding from BR (IPK)]]+Tabelle4[[#This Row],[Public Funding from DE (IPK)]]+Tabelle4[[#This Row],[Public Funding from BR (IPK)]]+Tabelle4[[#This Row],[In-kind Contribution (IPK)]]</f>
        <v>0</v>
      </c>
      <c r="BZ199" s="51">
        <f>Tabelle4[[#This Row],[Industry Funding from DE (IPK)]]+Tabelle4[[#This Row],[Industry Funding from BR (IPK)]]+Tabelle4[[#This Row],[Public Funding from DE (IPK)]]+Tabelle4[[#This Row],[Public Funding from BR (IPK)]]</f>
        <v>0</v>
      </c>
      <c r="CA199" s="51">
        <f>Tabelle4[[#This Row],[Industry Funding from DE (IPK)]]+Tabelle4[[#This Row],[Industry Funding from BR (IPK)]]</f>
        <v>0</v>
      </c>
      <c r="CB199" s="51">
        <f>Tabelle4[[#This Row],[Public Funding from DE (IPK)]]+Tabelle4[[#This Row],[Public Funding from BR (IPK)]]</f>
        <v>0</v>
      </c>
      <c r="CC199" s="51">
        <f>Tabelle4[[#This Row],[In-kind Contribution (IPK)]]</f>
        <v>0</v>
      </c>
      <c r="CD199" s="53" t="e">
        <f>(Tabelle4[[#This Row],[Total Industry Funding (IPK)]] + Tabelle4[[#This Row],[Total Public Funding (IPK)]])/Tabelle4[[#This Row],[Total Project Volume (IPK)]]</f>
        <v>#DIV/0!</v>
      </c>
      <c r="CE199" s="53" t="e">
        <f>Tabelle4[[#This Row],[Total Industry Funding (IPK)]] / Tabelle4[[#This Row],[Total Project Volume (IPK)]]</f>
        <v>#DIV/0!</v>
      </c>
      <c r="CF199" s="49" t="str">
        <f>Tabelle4[[#This Row],[Project Funding Classification]]</f>
        <v>Industry</v>
      </c>
      <c r="CG199" s="51">
        <f>Tabelle4[[#This Row],[Industry Funding from DE (IPK)]]+Tabelle4[[#This Row],[Public Funding from DE (IPK)]]</f>
        <v>0</v>
      </c>
      <c r="CH199" s="52">
        <f>Tabelle4[[#This Row],[Industry Funding from BR (IPK)]]+Tabelle4[[#This Row],[Public Funding from BR (IPK)]]</f>
        <v>0</v>
      </c>
      <c r="CI199" s="51">
        <f>Tabelle4[[#This Row],[Industry Funding from DE (ITA)]]+Tabelle4[[#This Row],[Industry Funding from BR (ITA)]]+Tabelle4[[#This Row],[Public Funding from DE (ITA)]]+Tabelle4[[#This Row],[Public Funding from BR (ITA)]]</f>
        <v>68095</v>
      </c>
      <c r="CJ199" s="51">
        <f>Tabelle4[[#This Row],[Industry Funding from DE (ITA)]]+Tabelle4[[#This Row],[Industry Funding from BR (ITA)]]</f>
        <v>68095</v>
      </c>
      <c r="CK199" s="51">
        <f>Tabelle4[[#This Row],[Public Funding from DE (ITA)]]+Tabelle4[[#This Row],[Public Funding from BR (ITA)]]</f>
        <v>0</v>
      </c>
      <c r="CL199" s="53">
        <f>Tabelle4[[#This Row],[Total Industry Funding (ITA)]]/Tabelle4[[#This Row],[Total Project Volume (ITA)]]</f>
        <v>1</v>
      </c>
      <c r="CM199" s="49" t="str">
        <f>IF(Tabelle4[[#This Row],[Funding Ratio (ITA)]]&lt;0.5,"Public Funding","Industry")</f>
        <v>Industry</v>
      </c>
      <c r="CN199" s="51">
        <f>Tabelle4[[#This Row],[Industry Funding from DE (ITA)]]+Tabelle4[[#This Row],[Public Funding from DE (ITA)]]</f>
        <v>0</v>
      </c>
      <c r="CO199" s="52">
        <f>Tabelle4[[#This Row],[Industry Funding from BR (ITA)]]+Tabelle4[[#This Row],[Public Funding from BR (ITA)]]</f>
        <v>68095</v>
      </c>
      <c r="CP199" s="51">
        <f>Tabelle4[[#This Row],[Total Project Volume (IPK)]]+Tabelle4[[#This Row],[Total Project Volume (ITA)]]</f>
        <v>68095</v>
      </c>
      <c r="CQ199" s="51">
        <f>Tabelle4[[#This Row],[Total Industry Funding (IPK)]]+Tabelle4[[#This Row],[Total Industry Funding (ITA)]]</f>
        <v>68095</v>
      </c>
      <c r="CR199" s="51">
        <f>Tabelle4[[#This Row],[Industry Funding from DE (IPK)]]+Tabelle4[[#This Row],[Industry Funding from DE (ITA)]]</f>
        <v>0</v>
      </c>
      <c r="CS199" s="51">
        <f>Tabelle4[[#This Row],[Industry Funding from BR (IPK)]]+Tabelle4[[#This Row],[Industry Funding from BR (ITA)]]</f>
        <v>68095</v>
      </c>
      <c r="CT199" s="51">
        <f>Tabelle4[[#This Row],[Total Public Funding (IPK)]]+Tabelle4[[#This Row],[Total Public Funding (ITA)]]</f>
        <v>0</v>
      </c>
      <c r="CU199" s="51">
        <f>Tabelle4[[#This Row],[Public Funding from DE (IPK)]]+Tabelle4[[#This Row],[Public Funding from DE (ITA)]]</f>
        <v>0</v>
      </c>
      <c r="CV199" s="51">
        <f>Tabelle4[[#This Row],[Public Funding from BR (IPK)]]+Tabelle4[[#This Row],[Public Funding from BR (ITA)]]</f>
        <v>0</v>
      </c>
      <c r="CW199" s="51">
        <f>Tabelle4[[#This Row],[Industry Funding from DE (FPC)]]+Tabelle4[[#This Row],[Public Funding from DE (FPC)]]</f>
        <v>0</v>
      </c>
      <c r="CX199" s="52">
        <f>Tabelle4[[#This Row],[Industry Funding from BR (FPC)]]+Tabelle4[[#This Row],[Public Funding from BR (FPC)]]</f>
        <v>68095</v>
      </c>
      <c r="CY199" s="44">
        <f>Tabelle4[[#This Row],[Total Financial Budget (Other)]]+Tabelle4[[#This Row],[Total In-kind Contribution (Other)]]</f>
        <v>0</v>
      </c>
      <c r="CZ199" s="51">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199" s="44">
        <f>Tabelle4[[#This Row],[In-kind Contribution (R&amp;D III)]]+Tabelle4[[#This Row],[In-kind Contribution (R&amp;D IV)]]</f>
        <v>0</v>
      </c>
      <c r="DB199" s="158">
        <f>Tabelle4[[#This Row],[Total Budget (FPC)]]+Tabelle4[[#This Row],[Total Volume (Other)]]</f>
        <v>68095</v>
      </c>
      <c r="DC199" s="105">
        <f>Tabelle4[[#This Row],[Total Revenues (IPK)]]</f>
        <v>0</v>
      </c>
      <c r="DD199" s="53"/>
      <c r="DE199" s="51">
        <f>Tabelle4[[#This Row],[Total Revenues IPK]]*Tabelle4[[#This Row],[Probability of Success]]</f>
        <v>0</v>
      </c>
      <c r="DF199" s="51"/>
      <c r="DG199" s="51"/>
      <c r="DH199" s="51"/>
      <c r="DI199" s="51"/>
      <c r="DJ199" s="51"/>
      <c r="DK199" s="53"/>
      <c r="DL199" s="51">
        <f>Tabelle4[[#This Row],[Real Budget IPK]]*Tabelle4[[#This Row],[Acquisition Factor OE810]]</f>
        <v>0</v>
      </c>
      <c r="DM199" s="51">
        <v>0</v>
      </c>
      <c r="DN199" s="52">
        <f>Tabelle4[[#This Row],[Acquisition Bonus OE810]]+Tabelle4[[#This Row],[Project Execution OE810]]</f>
        <v>0</v>
      </c>
    </row>
    <row r="200" spans="1:118" ht="41.65" x14ac:dyDescent="0.45">
      <c r="A200" s="42" t="s">
        <v>676</v>
      </c>
      <c r="B200" s="33" t="s">
        <v>534</v>
      </c>
      <c r="C200" s="33" t="s">
        <v>535</v>
      </c>
      <c r="D200" s="33" t="s">
        <v>709</v>
      </c>
      <c r="E200" s="33">
        <v>6</v>
      </c>
      <c r="F200" s="33">
        <v>0</v>
      </c>
      <c r="G200" s="33" t="s">
        <v>2</v>
      </c>
      <c r="H200" s="33" t="s">
        <v>0</v>
      </c>
      <c r="I200" s="33" t="s">
        <v>677</v>
      </c>
      <c r="J200" s="59">
        <v>43888</v>
      </c>
      <c r="K200" s="33" t="s">
        <v>244</v>
      </c>
      <c r="L200" s="33" t="s">
        <v>651</v>
      </c>
      <c r="M200" s="144">
        <v>6.7</v>
      </c>
      <c r="N200" s="33" t="s">
        <v>644</v>
      </c>
      <c r="Q200" s="33">
        <v>24</v>
      </c>
      <c r="S200" s="59">
        <v>43937</v>
      </c>
      <c r="U200" s="59">
        <v>44020</v>
      </c>
      <c r="V200" s="59">
        <v>44111</v>
      </c>
      <c r="W200" s="59">
        <v>44278</v>
      </c>
      <c r="Z200" s="42" t="str">
        <f t="shared" si="29"/>
        <v>IPK</v>
      </c>
      <c r="AB200" s="104"/>
      <c r="AC200" s="104"/>
      <c r="AD200" s="104"/>
      <c r="AE200" s="104"/>
      <c r="AF200" s="104"/>
      <c r="AG200" s="42" t="str">
        <f t="shared" si="30"/>
        <v>ITA</v>
      </c>
      <c r="AH200" s="33" t="s">
        <v>130</v>
      </c>
      <c r="AI200" s="33" t="s">
        <v>438</v>
      </c>
      <c r="AJ200" s="64"/>
      <c r="AK200" s="104">
        <f>475000/M200</f>
        <v>70895.522388059704</v>
      </c>
      <c r="AO200" s="42"/>
      <c r="AQ200" s="104"/>
      <c r="AR200" s="104"/>
      <c r="AS200" s="104"/>
      <c r="AT200" s="104"/>
      <c r="AU200" s="104"/>
      <c r="AV200" s="42"/>
      <c r="AX200" s="104"/>
      <c r="AY200" s="104"/>
      <c r="AZ200" s="104"/>
      <c r="BA200" s="104"/>
      <c r="BB200" s="104"/>
      <c r="BC200" s="42"/>
      <c r="BE200" s="104"/>
      <c r="BF200" s="101"/>
      <c r="BI200" s="104"/>
      <c r="BJ200" s="101"/>
      <c r="BM200" s="104"/>
      <c r="BN200" s="101"/>
      <c r="BQ200" s="104"/>
      <c r="BR200" s="101"/>
      <c r="BU200" s="101"/>
      <c r="BX200" s="101"/>
      <c r="BY200" s="44">
        <f>Tabelle4[[#This Row],[Industry Funding from DE (IPK)]]+Tabelle4[[#This Row],[Industry Funding from BR (IPK)]]+Tabelle4[[#This Row],[Public Funding from DE (IPK)]]+Tabelle4[[#This Row],[Public Funding from BR (IPK)]]+Tabelle4[[#This Row],[In-kind Contribution (IPK)]]</f>
        <v>0</v>
      </c>
      <c r="BZ200" s="44">
        <f>Tabelle4[[#This Row],[Industry Funding from DE (IPK)]]+Tabelle4[[#This Row],[Industry Funding from BR (IPK)]]+Tabelle4[[#This Row],[Public Funding from DE (IPK)]]+Tabelle4[[#This Row],[Public Funding from BR (IPK)]]</f>
        <v>0</v>
      </c>
      <c r="CA200" s="44">
        <f>Tabelle4[[#This Row],[Industry Funding from DE (IPK)]]+Tabelle4[[#This Row],[Industry Funding from BR (IPK)]]</f>
        <v>0</v>
      </c>
      <c r="CB200" s="44">
        <f>Tabelle4[[#This Row],[Public Funding from DE (IPK)]]+Tabelle4[[#This Row],[Public Funding from BR (IPK)]]</f>
        <v>0</v>
      </c>
      <c r="CC200" s="44">
        <f>Tabelle4[[#This Row],[In-kind Contribution (IPK)]]</f>
        <v>0</v>
      </c>
      <c r="CD200" s="47" t="e">
        <f>(Tabelle4[[#This Row],[Total Industry Funding (IPK)]] + Tabelle4[[#This Row],[Total Public Funding (IPK)]])/Tabelle4[[#This Row],[Total Project Volume (IPK)]]</f>
        <v>#DIV/0!</v>
      </c>
      <c r="CE200" s="47" t="e">
        <f>Tabelle4[[#This Row],[Total Industry Funding (IPK)]] / Tabelle4[[#This Row],[Total Project Volume (IPK)]]</f>
        <v>#DIV/0!</v>
      </c>
      <c r="CF200" s="33" t="str">
        <f>Tabelle4[[#This Row],[Project Funding Classification]]</f>
        <v>Industry</v>
      </c>
      <c r="CG200" s="44">
        <f>Tabelle4[[#This Row],[Industry Funding from DE (IPK)]]+Tabelle4[[#This Row],[Public Funding from DE (IPK)]]</f>
        <v>0</v>
      </c>
      <c r="CH200" s="46">
        <f>Tabelle4[[#This Row],[Industry Funding from BR (IPK)]]+Tabelle4[[#This Row],[Public Funding from BR (IPK)]]</f>
        <v>0</v>
      </c>
      <c r="CI200" s="44">
        <f>Tabelle4[[#This Row],[Industry Funding from DE (ITA)]]+Tabelle4[[#This Row],[Industry Funding from BR (ITA)]]+Tabelle4[[#This Row],[Public Funding from DE (ITA)]]+Tabelle4[[#This Row],[Public Funding from BR (ITA)]]</f>
        <v>70895.522388059704</v>
      </c>
      <c r="CJ200" s="44">
        <f>Tabelle4[[#This Row],[Industry Funding from DE (ITA)]]+Tabelle4[[#This Row],[Industry Funding from BR (ITA)]]</f>
        <v>70895.522388059704</v>
      </c>
      <c r="CK200" s="44">
        <f>Tabelle4[[#This Row],[Public Funding from DE (ITA)]]+Tabelle4[[#This Row],[Public Funding from BR (ITA)]]</f>
        <v>0</v>
      </c>
      <c r="CL200" s="47">
        <f>Tabelle4[[#This Row],[Total Industry Funding (ITA)]]/Tabelle4[[#This Row],[Total Project Volume (ITA)]]</f>
        <v>1</v>
      </c>
      <c r="CM200" s="33" t="str">
        <f>IF(Tabelle4[[#This Row],[Funding Ratio (ITA)]]&lt;0.5,"Public Funding","Industry")</f>
        <v>Industry</v>
      </c>
      <c r="CN200" s="44">
        <f>Tabelle4[[#This Row],[Industry Funding from DE (ITA)]]+Tabelle4[[#This Row],[Public Funding from DE (ITA)]]</f>
        <v>0</v>
      </c>
      <c r="CO200" s="46">
        <f>Tabelle4[[#This Row],[Industry Funding from BR (ITA)]]+Tabelle4[[#This Row],[Public Funding from BR (ITA)]]</f>
        <v>70895.522388059704</v>
      </c>
      <c r="CP200" s="44">
        <f>Tabelle4[[#This Row],[Total Project Volume (IPK)]]+Tabelle4[[#This Row],[Total Project Volume (ITA)]]</f>
        <v>70895.522388059704</v>
      </c>
      <c r="CQ200" s="44">
        <f>Tabelle4[[#This Row],[Total Industry Funding (IPK)]]+Tabelle4[[#This Row],[Total Industry Funding (ITA)]]</f>
        <v>70895.522388059704</v>
      </c>
      <c r="CR200" s="44">
        <f>Tabelle4[[#This Row],[Industry Funding from DE (IPK)]]+Tabelle4[[#This Row],[Industry Funding from DE (ITA)]]</f>
        <v>0</v>
      </c>
      <c r="CS200" s="44">
        <f>Tabelle4[[#This Row],[Industry Funding from BR (IPK)]]+Tabelle4[[#This Row],[Industry Funding from BR (ITA)]]</f>
        <v>70895.522388059704</v>
      </c>
      <c r="CT200" s="44">
        <f>Tabelle4[[#This Row],[Total Public Funding (IPK)]]+Tabelle4[[#This Row],[Total Public Funding (ITA)]]</f>
        <v>0</v>
      </c>
      <c r="CU200" s="44">
        <f>Tabelle4[[#This Row],[Public Funding from DE (IPK)]]+Tabelle4[[#This Row],[Public Funding from DE (ITA)]]</f>
        <v>0</v>
      </c>
      <c r="CV200" s="44">
        <f>Tabelle4[[#This Row],[Public Funding from BR (IPK)]]+Tabelle4[[#This Row],[Public Funding from BR (ITA)]]</f>
        <v>0</v>
      </c>
      <c r="CW200" s="44">
        <f>Tabelle4[[#This Row],[Industry Funding from DE (FPC)]]+Tabelle4[[#This Row],[Public Funding from DE (FPC)]]</f>
        <v>0</v>
      </c>
      <c r="CX200" s="46">
        <f>Tabelle4[[#This Row],[Industry Funding from BR (FPC)]]+Tabelle4[[#This Row],[Public Funding from BR (FPC)]]</f>
        <v>70895.522388059704</v>
      </c>
      <c r="CY200" s="44">
        <f>Tabelle4[[#This Row],[Total Financial Budget (Other)]]+Tabelle4[[#This Row],[Total In-kind Contribution (Other)]]</f>
        <v>0</v>
      </c>
      <c r="CZ200"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0</v>
      </c>
      <c r="DA200" s="44">
        <f>Tabelle4[[#This Row],[In-kind Contribution (R&amp;D III)]]+Tabelle4[[#This Row],[In-kind Contribution (R&amp;D IV)]]</f>
        <v>0</v>
      </c>
      <c r="DB200" s="158">
        <f>Tabelle4[[#This Row],[Total Budget (FPC)]]+Tabelle4[[#This Row],[Total Volume (Other)]]</f>
        <v>70895.522388059704</v>
      </c>
      <c r="DC200" s="104">
        <f>Tabelle4[[#This Row],[Total Revenues (IPK)]]</f>
        <v>0</v>
      </c>
      <c r="DE200" s="44">
        <f>Tabelle4[[#This Row],[Total Revenues IPK]]*Tabelle4[[#This Row],[Probability of Success]]</f>
        <v>0</v>
      </c>
      <c r="DL200" s="44">
        <f>Tabelle4[[#This Row],[Real Budget IPK]]*Tabelle4[[#This Row],[Acquisition Factor OE810]]</f>
        <v>0</v>
      </c>
      <c r="DN200" s="46">
        <f>Tabelle4[[#This Row],[Acquisition Bonus OE810]]+Tabelle4[[#This Row],[Project Execution OE810]]</f>
        <v>0</v>
      </c>
    </row>
    <row r="201" spans="1:118" ht="41.65" x14ac:dyDescent="0.45">
      <c r="A201" s="70" t="s">
        <v>600</v>
      </c>
      <c r="B201" s="33" t="s">
        <v>601</v>
      </c>
      <c r="C201" s="57" t="s">
        <v>599</v>
      </c>
      <c r="D201" s="57" t="s">
        <v>711</v>
      </c>
      <c r="F201" s="33">
        <v>2</v>
      </c>
      <c r="G201" s="33" t="s">
        <v>1</v>
      </c>
      <c r="H201" s="33" t="s">
        <v>96</v>
      </c>
      <c r="I201" s="33" t="s">
        <v>602</v>
      </c>
      <c r="J201" s="59">
        <v>43955</v>
      </c>
      <c r="K201" s="33" t="s">
        <v>244</v>
      </c>
      <c r="L201" s="59"/>
      <c r="P201" s="59">
        <v>44197</v>
      </c>
      <c r="Q201" s="58">
        <v>24</v>
      </c>
      <c r="U201" s="59">
        <v>43994</v>
      </c>
      <c r="V201" s="59">
        <v>44113</v>
      </c>
      <c r="W201" s="59">
        <v>44287</v>
      </c>
      <c r="Z201" s="42" t="str">
        <f t="shared" si="29"/>
        <v>IPK</v>
      </c>
      <c r="AA201" s="33" t="s">
        <v>459</v>
      </c>
      <c r="AD201" s="61">
        <v>219614</v>
      </c>
      <c r="AG201" s="42"/>
      <c r="AK201" s="64"/>
      <c r="AL201" s="64"/>
      <c r="AM201" s="64"/>
      <c r="AO201" s="42" t="s">
        <v>599</v>
      </c>
      <c r="AP201" s="33" t="s">
        <v>605</v>
      </c>
      <c r="AS201" s="61">
        <v>450000</v>
      </c>
      <c r="AV201" s="42"/>
      <c r="BC201" s="89" t="s">
        <v>599</v>
      </c>
      <c r="BD201" s="90" t="s">
        <v>603</v>
      </c>
      <c r="BE201" s="148"/>
      <c r="BF201" s="91"/>
      <c r="BS201" s="33" t="s">
        <v>604</v>
      </c>
      <c r="BU201" s="67">
        <v>670000</v>
      </c>
      <c r="BY201" s="44">
        <f>Tabelle4[[#This Row],[Industry Funding from DE (IPK)]]+Tabelle4[[#This Row],[Industry Funding from BR (IPK)]]+Tabelle4[[#This Row],[Public Funding from DE (IPK)]]+Tabelle4[[#This Row],[Public Funding from BR (IPK)]]+Tabelle4[[#This Row],[In-kind Contribution (IPK)]]</f>
        <v>219614</v>
      </c>
      <c r="BZ201" s="44">
        <f>Tabelle4[[#This Row],[Industry Funding from DE (IPK)]]+Tabelle4[[#This Row],[Industry Funding from BR (IPK)]]+Tabelle4[[#This Row],[Public Funding from DE (IPK)]]+Tabelle4[[#This Row],[Public Funding from BR (IPK)]]</f>
        <v>219614</v>
      </c>
      <c r="CA201" s="44">
        <f>Tabelle4[[#This Row],[Industry Funding from DE (IPK)]]+Tabelle4[[#This Row],[Industry Funding from BR (IPK)]]</f>
        <v>0</v>
      </c>
      <c r="CB201" s="44">
        <f>Tabelle4[[#This Row],[Public Funding from DE (IPK)]]+Tabelle4[[#This Row],[Public Funding from BR (IPK)]]</f>
        <v>219614</v>
      </c>
      <c r="CC201" s="44">
        <f>Tabelle4[[#This Row],[In-kind Contribution (IPK)]]</f>
        <v>0</v>
      </c>
      <c r="CD201" s="47">
        <f>(Tabelle4[[#This Row],[Total Industry Funding (IPK)]] + Tabelle4[[#This Row],[Total Public Funding (IPK)]])/Tabelle4[[#This Row],[Total Project Volume (IPK)]]</f>
        <v>1</v>
      </c>
      <c r="CE201" s="47">
        <f>Tabelle4[[#This Row],[Total Industry Funding (IPK)]] / Tabelle4[[#This Row],[Total Project Volume (IPK)]]</f>
        <v>0</v>
      </c>
      <c r="CF201" s="33" t="str">
        <f>Tabelle4[[#This Row],[Project Funding Classification]]</f>
        <v>Public Funding</v>
      </c>
      <c r="CG201" s="44">
        <f>Tabelle4[[#This Row],[Industry Funding from DE (IPK)]]+Tabelle4[[#This Row],[Public Funding from DE (IPK)]]</f>
        <v>219614</v>
      </c>
      <c r="CH201" s="46">
        <f>Tabelle4[[#This Row],[Industry Funding from BR (IPK)]]+Tabelle4[[#This Row],[Public Funding from BR (IPK)]]</f>
        <v>0</v>
      </c>
      <c r="CI201" s="44">
        <f>Tabelle4[[#This Row],[Industry Funding from DE (ITA)]]+Tabelle4[[#This Row],[Industry Funding from BR (ITA)]]+Tabelle4[[#This Row],[Public Funding from DE (ITA)]]+Tabelle4[[#This Row],[Public Funding from BR (ITA)]]</f>
        <v>0</v>
      </c>
      <c r="CJ201" s="44">
        <f>Tabelle4[[#This Row],[Industry Funding from DE (ITA)]]+Tabelle4[[#This Row],[Industry Funding from BR (ITA)]]</f>
        <v>0</v>
      </c>
      <c r="CK201" s="44">
        <f>Tabelle4[[#This Row],[Public Funding from DE (ITA)]]+Tabelle4[[#This Row],[Public Funding from BR (ITA)]]</f>
        <v>0</v>
      </c>
      <c r="CL201" s="47" t="e">
        <f>Tabelle4[[#This Row],[Total Industry Funding (ITA)]]/Tabelle4[[#This Row],[Total Project Volume (ITA)]]</f>
        <v>#DIV/0!</v>
      </c>
      <c r="CM201" s="33" t="e">
        <f>IF(Tabelle4[[#This Row],[Funding Ratio (ITA)]]&lt;0.5,"Public Funding","Industry")</f>
        <v>#DIV/0!</v>
      </c>
      <c r="CN201" s="44">
        <f>Tabelle4[[#This Row],[Industry Funding from DE (ITA)]]+Tabelle4[[#This Row],[Public Funding from DE (ITA)]]</f>
        <v>0</v>
      </c>
      <c r="CO201" s="46">
        <f>Tabelle4[[#This Row],[Industry Funding from BR (ITA)]]+Tabelle4[[#This Row],[Public Funding from BR (ITA)]]</f>
        <v>0</v>
      </c>
      <c r="CP201" s="44">
        <f>Tabelle4[[#This Row],[Total Project Volume (IPK)]]+Tabelle4[[#This Row],[Total Project Volume (ITA)]]</f>
        <v>219614</v>
      </c>
      <c r="CQ201" s="44">
        <f>Tabelle4[[#This Row],[Total Industry Funding (IPK)]]+Tabelle4[[#This Row],[Total Industry Funding (ITA)]]</f>
        <v>0</v>
      </c>
      <c r="CR201" s="44">
        <f>Tabelle4[[#This Row],[Industry Funding from DE (IPK)]]+Tabelle4[[#This Row],[Industry Funding from DE (ITA)]]</f>
        <v>0</v>
      </c>
      <c r="CS201" s="44">
        <f>Tabelle4[[#This Row],[Industry Funding from BR (IPK)]]+Tabelle4[[#This Row],[Industry Funding from BR (ITA)]]</f>
        <v>0</v>
      </c>
      <c r="CT201" s="44">
        <f>Tabelle4[[#This Row],[Total Public Funding (IPK)]]+Tabelle4[[#This Row],[Total Public Funding (ITA)]]</f>
        <v>219614</v>
      </c>
      <c r="CU201" s="44">
        <f>Tabelle4[[#This Row],[Public Funding from DE (IPK)]]+Tabelle4[[#This Row],[Public Funding from DE (ITA)]]</f>
        <v>219614</v>
      </c>
      <c r="CV201" s="44">
        <f>Tabelle4[[#This Row],[Public Funding from BR (IPK)]]+Tabelle4[[#This Row],[Public Funding from BR (ITA)]]</f>
        <v>0</v>
      </c>
      <c r="CW201" s="44">
        <f>Tabelle4[[#This Row],[Industry Funding from DE (FPC)]]+Tabelle4[[#This Row],[Public Funding from DE (FPC)]]</f>
        <v>219614</v>
      </c>
      <c r="CX201" s="46">
        <f>Tabelle4[[#This Row],[Industry Funding from BR (FPC)]]+Tabelle4[[#This Row],[Public Funding from BR (FPC)]]</f>
        <v>0</v>
      </c>
      <c r="CY201" s="44">
        <f>Tabelle4[[#This Row],[Total Financial Budget (Other)]]+Tabelle4[[#This Row],[Total In-kind Contribution (Other)]]</f>
        <v>450000</v>
      </c>
      <c r="CZ201" s="44">
        <f>Tabelle4[[#This Row],[Industry Funding from DE (R&amp;D III)]]+Tabelle4[[#This Row],[Industry Funding from BR (R&amp;D III)]]+Tabelle4[[#This Row],[Public Funding from DE (R&amp;D III)]]+Tabelle4[[#This Row],[Public Funding from BR (R&amp;D III)]]+Tabelle4[[#This Row],[Industry Funding from DE (R&amp;D IV)]]+Tabelle4[[#This Row],[Industry Funding from BR (R&amp;D IV)]]+Tabelle4[[#This Row],[Public Funding from DE (R&amp;D IV)]]+Tabelle4[[#This Row],[Public Funding from BR (R&amp;D IV)]]</f>
        <v>450000</v>
      </c>
      <c r="DA201" s="44">
        <f>Tabelle4[[#This Row],[In-kind Contribution (R&amp;D III)]]+Tabelle4[[#This Row],[In-kind Contribution (R&amp;D IV)]]</f>
        <v>0</v>
      </c>
      <c r="DB201" s="158">
        <f>Tabelle4[[#This Row],[Total Budget (FPC)]]+Tabelle4[[#This Row],[Total Volume (Other)]]</f>
        <v>669614</v>
      </c>
      <c r="DC201" s="104">
        <f>Tabelle4[[#This Row],[Total Revenues (IPK)]]</f>
        <v>219614</v>
      </c>
      <c r="DD201" s="47">
        <v>1</v>
      </c>
      <c r="DE201" s="44">
        <f>Tabelle4[[#This Row],[Total Revenues IPK]]*Tabelle4[[#This Row],[Probability of Success]]</f>
        <v>219614</v>
      </c>
      <c r="DK201" s="47">
        <v>1</v>
      </c>
      <c r="DL201" s="44">
        <f>Tabelle4[[#This Row],[Real Budget IPK]]*Tabelle4[[#This Row],[Acquisition Factor OE810]]</f>
        <v>219614</v>
      </c>
      <c r="DN201" s="46">
        <f>Tabelle4[[#This Row],[Acquisition Bonus OE810]]+Tabelle4[[#This Row],[Project Execution OE810]]</f>
        <v>219614</v>
      </c>
    </row>
  </sheetData>
  <sheetProtection formatCells="0" formatRows="0" insertColumns="0" insertRows="0" insertHyperlinks="0" deleteColumns="0" deleteRows="0" sort="0" autoFilter="0" pivotTables="0"/>
  <mergeCells count="17">
    <mergeCell ref="BK1:BN1"/>
    <mergeCell ref="BO1:BR1"/>
    <mergeCell ref="BS1:BU1"/>
    <mergeCell ref="CY1:DA1"/>
    <mergeCell ref="DC1:DN1"/>
    <mergeCell ref="A1:R1"/>
    <mergeCell ref="BY1:CH1"/>
    <mergeCell ref="CP1:CX1"/>
    <mergeCell ref="CI1:CO1"/>
    <mergeCell ref="BV1:BX1"/>
    <mergeCell ref="S1:Y1"/>
    <mergeCell ref="Z1:AF1"/>
    <mergeCell ref="AG1:AN1"/>
    <mergeCell ref="AO1:AU1"/>
    <mergeCell ref="AV1:BB1"/>
    <mergeCell ref="BC1:BF1"/>
    <mergeCell ref="BG1:BJ1"/>
  </mergeCells>
  <phoneticPr fontId="26" type="noConversion"/>
  <pageMargins left="0.7" right="0.7" top="0.78740157499999996" bottom="0.78740157499999996" header="0.3" footer="0.3"/>
  <pageSetup paperSize="9"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Insert_New_Line">
                <anchor moveWithCells="1" sizeWithCells="1">
                  <from>
                    <xdr:col>0</xdr:col>
                    <xdr:colOff>180975</xdr:colOff>
                    <xdr:row>0</xdr:row>
                    <xdr:rowOff>47625</xdr:rowOff>
                  </from>
                  <to>
                    <xdr:col>0</xdr:col>
                    <xdr:colOff>2181225</xdr:colOff>
                    <xdr:row>0</xdr:row>
                    <xdr:rowOff>333375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0000000}">
          <x14:formula1>
            <xm:f>aux!$E$2:$E$17</xm:f>
          </x14:formula1>
          <xm:sqref>N1:N2 N202:N1048576</xm:sqref>
        </x14:dataValidation>
        <x14:dataValidation type="list" allowBlank="1" showInputMessage="1" showErrorMessage="1" xr:uid="{00000000-0002-0000-0100-000001000000}">
          <x14:formula1>
            <xm:f>aux!$D$2:$D$7</xm:f>
          </x14:formula1>
          <xm:sqref>L1:L1048576</xm:sqref>
        </x14:dataValidation>
        <x14:dataValidation type="list" allowBlank="1" showInputMessage="1" showErrorMessage="1" xr:uid="{00000000-0002-0000-0100-000002000000}">
          <x14:formula1>
            <xm:f>aux!$B$2:$B$3</xm:f>
          </x14:formula1>
          <xm:sqref>H1:H1048576</xm:sqref>
        </x14:dataValidation>
        <x14:dataValidation type="list" allowBlank="1" showInputMessage="1" showErrorMessage="1" xr:uid="{00000000-0002-0000-0100-000003000000}">
          <x14:formula1>
            <xm:f>aux!$A$2:$A$4</xm:f>
          </x14:formula1>
          <xm:sqref>G1:G1048576</xm:sqref>
        </x14:dataValidation>
        <x14:dataValidation type="list" allowBlank="1" showInputMessage="1" showErrorMessage="1" xr:uid="{00000000-0002-0000-0100-000004000000}">
          <x14:formula1>
            <xm:f>aux!$C$2:$C$8</xm:f>
          </x14:formula1>
          <xm:sqref>K1:K1048576</xm:sqref>
        </x14:dataValidation>
        <x14:dataValidation type="list" allowBlank="1" showInputMessage="1" showErrorMessage="1" xr:uid="{00000000-0002-0000-0100-000005000000}">
          <x14:formula1>
            <xm:f>aux!$E$2:$E$14</xm:f>
          </x14:formula1>
          <xm:sqref>N3:N201</xm:sqref>
        </x14:dataValidation>
        <x14:dataValidation type="list" allowBlank="1" showInputMessage="1" showErrorMessage="1" xr:uid="{00000000-0002-0000-0100-000006000000}">
          <x14:formula1>
            <xm:f>aux!$F$2:$F$9</xm:f>
          </x14:formula1>
          <xm:sqref>D2:D201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filterMode="1"/>
  <dimension ref="A4:W1089"/>
  <sheetViews>
    <sheetView showGridLines="0" topLeftCell="A26" zoomScale="85" zoomScaleNormal="85" workbookViewId="0"/>
  </sheetViews>
  <sheetFormatPr baseColWidth="10" defaultColWidth="11.265625" defaultRowHeight="15.4" x14ac:dyDescent="0.45"/>
  <cols>
    <col min="1" max="1" width="7.86328125" style="5" bestFit="1" customWidth="1"/>
    <col min="2" max="2" width="85" style="6" customWidth="1"/>
    <col min="3" max="3" width="30.265625" style="6" customWidth="1"/>
    <col min="4" max="4" width="16.265625" style="6" customWidth="1"/>
    <col min="5" max="5" width="25.33203125" style="6" bestFit="1" customWidth="1"/>
    <col min="6" max="6" width="21.9296875" style="6" bestFit="1" customWidth="1"/>
    <col min="7" max="8" width="25.46484375" style="6" bestFit="1" customWidth="1"/>
    <col min="9" max="9" width="29.1328125" style="6" bestFit="1" customWidth="1"/>
    <col min="10" max="10" width="13.86328125" style="3" bestFit="1" customWidth="1"/>
    <col min="11" max="11" width="17.265625" customWidth="1"/>
    <col min="12" max="12" width="11.265625" style="3" hidden="1" customWidth="1"/>
    <col min="13" max="13" width="12" style="4" hidden="1" customWidth="1"/>
    <col min="14" max="15" width="11.265625" style="28" hidden="1" customWidth="1"/>
    <col min="16" max="16" width="22.1328125" style="26" hidden="1" customWidth="1"/>
    <col min="17" max="17" width="19.265625" style="26" hidden="1" customWidth="1"/>
    <col min="18" max="19" width="11.265625" style="26" hidden="1" customWidth="1"/>
    <col min="20" max="20" width="15.265625" style="26" hidden="1" customWidth="1"/>
    <col min="21" max="22" width="11.265625" style="26" hidden="1" customWidth="1"/>
    <col min="23" max="23" width="17.265625" style="6" hidden="1" customWidth="1"/>
    <col min="24" max="25" width="11.265625" style="6"/>
    <col min="26" max="26" width="16.265625" style="6" customWidth="1"/>
    <col min="27" max="16384" width="11.265625" style="6"/>
  </cols>
  <sheetData>
    <row r="4" spans="1:13" x14ac:dyDescent="0.45">
      <c r="M4" s="4" t="s">
        <v>134</v>
      </c>
    </row>
    <row r="5" spans="1:13" s="3" customFormat="1" ht="13.9" hidden="1" x14ac:dyDescent="0.4">
      <c r="A5" s="5"/>
      <c r="M5" s="4" t="str">
        <f t="shared" ref="M5:M68" si="0">IF(B5&lt;&gt;"","visible","")</f>
        <v/>
      </c>
    </row>
    <row r="6" spans="1:13" x14ac:dyDescent="0.45">
      <c r="A6" s="7"/>
      <c r="B6" s="196" t="s">
        <v>522</v>
      </c>
      <c r="C6" s="192" t="s">
        <v>245</v>
      </c>
      <c r="M6" s="4" t="str">
        <f t="shared" si="0"/>
        <v>visible</v>
      </c>
    </row>
    <row r="7" spans="1:13" s="3" customFormat="1" ht="13.9" hidden="1" x14ac:dyDescent="0.4">
      <c r="A7" s="5"/>
      <c r="M7" s="4" t="str">
        <f t="shared" si="0"/>
        <v/>
      </c>
    </row>
    <row r="8" spans="1:13" x14ac:dyDescent="0.45">
      <c r="A8" s="8"/>
      <c r="B8" s="202" t="s">
        <v>5</v>
      </c>
      <c r="C8" s="202" t="s">
        <v>7</v>
      </c>
      <c r="D8" s="202" t="s">
        <v>23</v>
      </c>
      <c r="E8" s="202" t="s">
        <v>14</v>
      </c>
      <c r="F8" s="203" t="s">
        <v>135</v>
      </c>
      <c r="G8" s="192" t="s">
        <v>257</v>
      </c>
      <c r="H8" s="192" t="s">
        <v>258</v>
      </c>
      <c r="I8" s="203" t="s">
        <v>263</v>
      </c>
      <c r="J8"/>
      <c r="M8" s="4" t="str">
        <f t="shared" si="0"/>
        <v>visible</v>
      </c>
    </row>
    <row r="9" spans="1:13" x14ac:dyDescent="0.45">
      <c r="A9" s="5">
        <f>IF(M9 ="visible",IF(B9 = "Total","",A8+1),"")</f>
        <v>1</v>
      </c>
      <c r="B9" s="192" t="s">
        <v>125</v>
      </c>
      <c r="C9" s="192" t="s">
        <v>2</v>
      </c>
      <c r="D9" s="192" t="s">
        <v>0</v>
      </c>
      <c r="E9" s="192" t="s">
        <v>121</v>
      </c>
      <c r="F9" s="194">
        <v>23095</v>
      </c>
      <c r="G9" s="194">
        <v>0</v>
      </c>
      <c r="H9" s="194">
        <v>23095</v>
      </c>
      <c r="I9" s="194">
        <v>0</v>
      </c>
      <c r="J9"/>
      <c r="M9" s="4" t="str">
        <f t="shared" si="0"/>
        <v>visible</v>
      </c>
    </row>
    <row r="10" spans="1:13" x14ac:dyDescent="0.45">
      <c r="A10" s="5">
        <f t="shared" ref="A10:A73" si="1">IF(M10 ="visible",IF(B10 = "Total","",A9+1),"")</f>
        <v>2</v>
      </c>
      <c r="B10" s="192" t="s">
        <v>117</v>
      </c>
      <c r="C10" s="192" t="s">
        <v>1</v>
      </c>
      <c r="D10" s="192" t="s">
        <v>0</v>
      </c>
      <c r="E10" s="192" t="s">
        <v>118</v>
      </c>
      <c r="F10" s="194">
        <v>52000</v>
      </c>
      <c r="G10" s="194">
        <v>40000</v>
      </c>
      <c r="H10" s="194">
        <v>0</v>
      </c>
      <c r="I10" s="194">
        <v>12000</v>
      </c>
      <c r="J10"/>
      <c r="M10" s="4" t="str">
        <f t="shared" si="0"/>
        <v>visible</v>
      </c>
    </row>
    <row r="11" spans="1:13" x14ac:dyDescent="0.45">
      <c r="A11" s="5">
        <f t="shared" si="1"/>
        <v>3</v>
      </c>
      <c r="B11" s="192" t="s">
        <v>114</v>
      </c>
      <c r="C11" s="192" t="s">
        <v>1</v>
      </c>
      <c r="D11" s="192" t="s">
        <v>0</v>
      </c>
      <c r="E11" s="192" t="s">
        <v>115</v>
      </c>
      <c r="F11" s="194">
        <v>7000</v>
      </c>
      <c r="G11" s="194">
        <v>7000</v>
      </c>
      <c r="H11" s="194">
        <v>0</v>
      </c>
      <c r="I11" s="194">
        <v>0</v>
      </c>
      <c r="J11"/>
      <c r="M11" s="4" t="str">
        <f t="shared" si="0"/>
        <v>visible</v>
      </c>
    </row>
    <row r="12" spans="1:13" x14ac:dyDescent="0.45">
      <c r="A12" s="5">
        <f t="shared" si="1"/>
        <v>4</v>
      </c>
      <c r="B12" s="192" t="s">
        <v>127</v>
      </c>
      <c r="C12" s="192" t="s">
        <v>97</v>
      </c>
      <c r="D12" s="192" t="s">
        <v>96</v>
      </c>
      <c r="E12" s="192" t="s">
        <v>128</v>
      </c>
      <c r="F12" s="194">
        <v>42562</v>
      </c>
      <c r="G12" s="194">
        <v>42562</v>
      </c>
      <c r="H12" s="194">
        <v>0</v>
      </c>
      <c r="I12" s="194">
        <v>0</v>
      </c>
      <c r="J12"/>
      <c r="M12" s="4" t="str">
        <f t="shared" si="0"/>
        <v>visible</v>
      </c>
    </row>
    <row r="13" spans="1:13" x14ac:dyDescent="0.45">
      <c r="A13" s="5">
        <f t="shared" si="1"/>
        <v>5</v>
      </c>
      <c r="B13" s="192" t="s">
        <v>126</v>
      </c>
      <c r="C13" s="192" t="s">
        <v>2</v>
      </c>
      <c r="D13" s="192" t="s">
        <v>0</v>
      </c>
      <c r="E13" s="192" t="s">
        <v>123</v>
      </c>
      <c r="F13" s="194">
        <v>70238</v>
      </c>
      <c r="G13" s="194">
        <v>0</v>
      </c>
      <c r="H13" s="194">
        <v>70238</v>
      </c>
      <c r="I13" s="194">
        <v>0</v>
      </c>
      <c r="J13"/>
      <c r="M13" s="4" t="str">
        <f t="shared" si="0"/>
        <v>visible</v>
      </c>
    </row>
    <row r="14" spans="1:13" x14ac:dyDescent="0.45">
      <c r="A14" s="5">
        <f t="shared" si="1"/>
        <v>6</v>
      </c>
      <c r="B14" s="192" t="s">
        <v>122</v>
      </c>
      <c r="C14" s="192" t="s">
        <v>2</v>
      </c>
      <c r="D14" s="192" t="s">
        <v>0</v>
      </c>
      <c r="E14" s="192" t="s">
        <v>123</v>
      </c>
      <c r="F14" s="194">
        <v>88095</v>
      </c>
      <c r="G14" s="194">
        <v>0</v>
      </c>
      <c r="H14" s="194">
        <v>88095</v>
      </c>
      <c r="I14" s="194">
        <v>0</v>
      </c>
      <c r="J14"/>
      <c r="M14" s="4" t="str">
        <f t="shared" si="0"/>
        <v>visible</v>
      </c>
    </row>
    <row r="15" spans="1:13" x14ac:dyDescent="0.45">
      <c r="A15" s="5">
        <f t="shared" si="1"/>
        <v>7</v>
      </c>
      <c r="B15" s="192" t="s">
        <v>120</v>
      </c>
      <c r="C15" s="192" t="s">
        <v>1</v>
      </c>
      <c r="D15" s="192" t="s">
        <v>0</v>
      </c>
      <c r="E15" s="192" t="s">
        <v>121</v>
      </c>
      <c r="F15" s="194">
        <v>36850</v>
      </c>
      <c r="G15" s="194">
        <v>36850</v>
      </c>
      <c r="H15" s="194">
        <v>0</v>
      </c>
      <c r="I15" s="194">
        <v>0</v>
      </c>
      <c r="J15"/>
      <c r="M15" s="4" t="str">
        <f t="shared" si="0"/>
        <v>visible</v>
      </c>
    </row>
    <row r="16" spans="1:13" x14ac:dyDescent="0.45">
      <c r="A16" s="5">
        <f t="shared" si="1"/>
        <v>8</v>
      </c>
      <c r="B16" s="192" t="s">
        <v>162</v>
      </c>
      <c r="C16" s="192" t="s">
        <v>1</v>
      </c>
      <c r="D16" s="192" t="s">
        <v>96</v>
      </c>
      <c r="E16" s="192" t="s">
        <v>163</v>
      </c>
      <c r="F16" s="194">
        <v>75000</v>
      </c>
      <c r="G16" s="194">
        <v>75000</v>
      </c>
      <c r="H16" s="194">
        <v>0</v>
      </c>
      <c r="I16" s="194">
        <v>0</v>
      </c>
      <c r="J16"/>
      <c r="M16" s="4" t="str">
        <f t="shared" si="0"/>
        <v>visible</v>
      </c>
    </row>
    <row r="17" spans="1:22" s="3" customFormat="1" x14ac:dyDescent="0.45">
      <c r="A17" s="5">
        <f t="shared" si="1"/>
        <v>9</v>
      </c>
      <c r="B17" s="192" t="s">
        <v>176</v>
      </c>
      <c r="C17" s="192" t="s">
        <v>97</v>
      </c>
      <c r="D17" s="192" t="s">
        <v>0</v>
      </c>
      <c r="E17" s="192" t="s">
        <v>177</v>
      </c>
      <c r="F17" s="194">
        <v>275780.29679200205</v>
      </c>
      <c r="G17" s="194">
        <v>20625</v>
      </c>
      <c r="H17" s="194">
        <v>255155.29679200205</v>
      </c>
      <c r="I17" s="194">
        <v>0</v>
      </c>
      <c r="M17" s="4" t="str">
        <f t="shared" si="0"/>
        <v>visible</v>
      </c>
      <c r="N17" s="28"/>
      <c r="O17" s="28"/>
      <c r="P17" s="28"/>
      <c r="Q17" s="28"/>
      <c r="R17" s="28"/>
      <c r="S17" s="28"/>
      <c r="T17" s="28"/>
      <c r="U17" s="28"/>
      <c r="V17" s="28"/>
    </row>
    <row r="18" spans="1:22" s="3" customFormat="1" x14ac:dyDescent="0.45">
      <c r="A18" s="5">
        <f t="shared" si="1"/>
        <v>10</v>
      </c>
      <c r="B18" s="192" t="s">
        <v>178</v>
      </c>
      <c r="C18" s="192" t="s">
        <v>1</v>
      </c>
      <c r="D18" s="192" t="s">
        <v>0</v>
      </c>
      <c r="E18" s="192" t="s">
        <v>179</v>
      </c>
      <c r="F18" s="194">
        <v>56000</v>
      </c>
      <c r="G18" s="194">
        <v>33000</v>
      </c>
      <c r="H18" s="194">
        <v>0</v>
      </c>
      <c r="I18" s="194">
        <v>23000</v>
      </c>
      <c r="M18" s="4" t="str">
        <f t="shared" si="0"/>
        <v>visible</v>
      </c>
      <c r="N18" s="28"/>
      <c r="O18" s="28"/>
      <c r="P18" s="28"/>
      <c r="Q18" s="28"/>
      <c r="R18" s="28"/>
      <c r="S18" s="28"/>
      <c r="T18" s="28"/>
      <c r="U18" s="28"/>
      <c r="V18" s="28"/>
    </row>
    <row r="19" spans="1:22" s="3" customFormat="1" x14ac:dyDescent="0.45">
      <c r="A19" s="5">
        <f t="shared" si="1"/>
        <v>11</v>
      </c>
      <c r="B19" s="192" t="s">
        <v>248</v>
      </c>
      <c r="C19" s="192" t="s">
        <v>1</v>
      </c>
      <c r="D19" s="192" t="s">
        <v>96</v>
      </c>
      <c r="E19" s="192" t="s">
        <v>249</v>
      </c>
      <c r="F19" s="194">
        <v>91687</v>
      </c>
      <c r="G19" s="194">
        <v>91687</v>
      </c>
      <c r="H19" s="194">
        <v>0</v>
      </c>
      <c r="I19" s="194">
        <v>0</v>
      </c>
      <c r="M19" s="4" t="str">
        <f t="shared" si="0"/>
        <v>visible</v>
      </c>
      <c r="N19" s="28"/>
      <c r="O19" s="28"/>
      <c r="P19" s="28"/>
      <c r="Q19" s="28"/>
      <c r="R19" s="28"/>
      <c r="S19" s="28"/>
      <c r="T19" s="28"/>
      <c r="U19" s="28"/>
      <c r="V19" s="28"/>
    </row>
    <row r="20" spans="1:22" s="3" customFormat="1" x14ac:dyDescent="0.45">
      <c r="A20" s="5">
        <f t="shared" si="1"/>
        <v>12</v>
      </c>
      <c r="B20" s="192" t="s">
        <v>290</v>
      </c>
      <c r="C20" s="192" t="s">
        <v>97</v>
      </c>
      <c r="D20" s="192" t="s">
        <v>0</v>
      </c>
      <c r="E20" s="192" t="s">
        <v>291</v>
      </c>
      <c r="F20" s="194">
        <v>61388.059701492537</v>
      </c>
      <c r="G20" s="194">
        <v>59000</v>
      </c>
      <c r="H20" s="194">
        <v>2388.0597014925374</v>
      </c>
      <c r="I20" s="194">
        <v>0</v>
      </c>
      <c r="M20" s="4" t="str">
        <f t="shared" si="0"/>
        <v>visible</v>
      </c>
      <c r="N20" s="28"/>
      <c r="O20" s="28"/>
      <c r="P20" s="28"/>
      <c r="Q20" s="28"/>
      <c r="R20" s="28"/>
      <c r="S20" s="28"/>
      <c r="T20" s="28"/>
      <c r="U20" s="28"/>
      <c r="V20" s="28"/>
    </row>
    <row r="21" spans="1:22" s="3" customFormat="1" x14ac:dyDescent="0.45">
      <c r="A21" s="5">
        <f t="shared" si="1"/>
        <v>13</v>
      </c>
      <c r="B21" s="192" t="s">
        <v>294</v>
      </c>
      <c r="C21" s="192" t="s">
        <v>97</v>
      </c>
      <c r="D21" s="192" t="s">
        <v>96</v>
      </c>
      <c r="E21" s="192" t="s">
        <v>157</v>
      </c>
      <c r="F21" s="194">
        <v>19870</v>
      </c>
      <c r="G21" s="194">
        <v>19870</v>
      </c>
      <c r="H21" s="194">
        <v>0</v>
      </c>
      <c r="I21" s="194">
        <v>0</v>
      </c>
      <c r="M21" s="4" t="str">
        <f t="shared" si="0"/>
        <v>visible</v>
      </c>
      <c r="N21" s="28"/>
      <c r="O21" s="28"/>
      <c r="P21" s="28"/>
      <c r="Q21" s="28"/>
      <c r="R21" s="28"/>
      <c r="S21" s="28"/>
      <c r="T21" s="28"/>
      <c r="U21" s="28"/>
      <c r="V21" s="28"/>
    </row>
    <row r="22" spans="1:22" s="3" customFormat="1" x14ac:dyDescent="0.45">
      <c r="A22" s="5">
        <f t="shared" si="1"/>
        <v>14</v>
      </c>
      <c r="B22" s="192" t="s">
        <v>372</v>
      </c>
      <c r="C22" s="192" t="s">
        <v>2</v>
      </c>
      <c r="D22" s="192" t="s">
        <v>0</v>
      </c>
      <c r="E22" s="192" t="s">
        <v>399</v>
      </c>
      <c r="F22" s="194">
        <v>17401.39211136891</v>
      </c>
      <c r="G22" s="194">
        <v>0</v>
      </c>
      <c r="H22" s="194">
        <v>17401.39211136891</v>
      </c>
      <c r="I22" s="194">
        <v>0</v>
      </c>
      <c r="M22" s="4" t="str">
        <f t="shared" si="0"/>
        <v>visible</v>
      </c>
      <c r="N22" s="28"/>
      <c r="O22" s="28"/>
      <c r="P22" s="28"/>
      <c r="Q22" s="28"/>
      <c r="R22" s="28"/>
      <c r="S22" s="28"/>
      <c r="T22" s="28"/>
      <c r="U22" s="28"/>
      <c r="V22" s="28"/>
    </row>
    <row r="23" spans="1:22" s="3" customFormat="1" x14ac:dyDescent="0.45">
      <c r="A23" s="5">
        <f t="shared" si="1"/>
        <v>15</v>
      </c>
      <c r="B23" s="192" t="s">
        <v>431</v>
      </c>
      <c r="C23" s="192" t="s">
        <v>2</v>
      </c>
      <c r="D23" s="192" t="s">
        <v>0</v>
      </c>
      <c r="E23" s="192" t="s">
        <v>123</v>
      </c>
      <c r="F23" s="194">
        <v>516190</v>
      </c>
      <c r="G23" s="194">
        <v>0</v>
      </c>
      <c r="H23" s="194">
        <v>516190</v>
      </c>
      <c r="I23" s="194">
        <v>0</v>
      </c>
      <c r="M23" s="4" t="str">
        <f t="shared" si="0"/>
        <v>visible</v>
      </c>
      <c r="N23" s="28"/>
      <c r="O23" s="28"/>
      <c r="P23" s="28"/>
      <c r="Q23" s="28"/>
      <c r="R23" s="28"/>
      <c r="S23" s="28"/>
      <c r="T23" s="28"/>
      <c r="U23" s="28"/>
      <c r="V23" s="28"/>
    </row>
    <row r="24" spans="1:22" s="3" customFormat="1" x14ac:dyDescent="0.45">
      <c r="A24" s="5">
        <f t="shared" si="1"/>
        <v>16</v>
      </c>
      <c r="B24" s="192" t="s">
        <v>586</v>
      </c>
      <c r="C24" s="192" t="s">
        <v>2</v>
      </c>
      <c r="D24" s="192" t="s">
        <v>0</v>
      </c>
      <c r="E24" s="192" t="s">
        <v>584</v>
      </c>
      <c r="F24" s="194">
        <v>0</v>
      </c>
      <c r="G24" s="194">
        <v>0</v>
      </c>
      <c r="H24" s="194">
        <v>0</v>
      </c>
      <c r="I24" s="194">
        <v>0</v>
      </c>
      <c r="M24" s="4" t="str">
        <f t="shared" si="0"/>
        <v>visible</v>
      </c>
      <c r="N24" s="28"/>
      <c r="O24" s="28"/>
      <c r="P24" s="28"/>
      <c r="Q24" s="28"/>
      <c r="R24" s="28"/>
      <c r="S24" s="28"/>
      <c r="T24" s="28"/>
      <c r="U24" s="28"/>
      <c r="V24" s="28"/>
    </row>
    <row r="25" spans="1:22" s="3" customFormat="1" x14ac:dyDescent="0.45">
      <c r="A25" s="5">
        <f t="shared" si="1"/>
        <v>17</v>
      </c>
      <c r="B25" s="192" t="s">
        <v>683</v>
      </c>
      <c r="C25" s="192" t="s">
        <v>2</v>
      </c>
      <c r="D25" s="192" t="s">
        <v>96</v>
      </c>
      <c r="E25" s="192" t="s">
        <v>163</v>
      </c>
      <c r="F25" s="194">
        <v>4761.9047619047624</v>
      </c>
      <c r="G25" s="194">
        <v>0</v>
      </c>
      <c r="H25" s="194">
        <v>4761.9047619047624</v>
      </c>
      <c r="I25" s="194">
        <v>0</v>
      </c>
      <c r="M25" s="4" t="str">
        <f t="shared" si="0"/>
        <v>visible</v>
      </c>
      <c r="N25" s="28"/>
      <c r="O25" s="28"/>
      <c r="P25" s="28"/>
      <c r="Q25" s="28"/>
      <c r="R25" s="28"/>
      <c r="S25" s="28"/>
      <c r="T25" s="28"/>
      <c r="U25" s="28"/>
      <c r="V25" s="28"/>
    </row>
    <row r="26" spans="1:22" s="3" customFormat="1" x14ac:dyDescent="0.45">
      <c r="A26" s="5">
        <f t="shared" si="1"/>
        <v>18</v>
      </c>
      <c r="B26" s="192" t="s">
        <v>790</v>
      </c>
      <c r="C26" s="192" t="s">
        <v>97</v>
      </c>
      <c r="D26" s="192" t="s">
        <v>96</v>
      </c>
      <c r="E26" s="192" t="s">
        <v>157</v>
      </c>
      <c r="F26" s="194">
        <v>8400</v>
      </c>
      <c r="G26" s="194">
        <v>8400</v>
      </c>
      <c r="H26" s="194">
        <v>0</v>
      </c>
      <c r="I26" s="194">
        <v>0</v>
      </c>
      <c r="M26" s="4" t="str">
        <f t="shared" si="0"/>
        <v>visible</v>
      </c>
      <c r="N26" s="28"/>
      <c r="O26" s="28"/>
      <c r="P26" s="28"/>
      <c r="Q26" s="28"/>
      <c r="R26" s="28"/>
      <c r="S26" s="28"/>
      <c r="T26" s="28"/>
      <c r="U26" s="28"/>
      <c r="V26" s="28"/>
    </row>
    <row r="27" spans="1:22" s="3" customFormat="1" x14ac:dyDescent="0.45">
      <c r="A27" s="5" t="str">
        <f t="shared" si="1"/>
        <v/>
      </c>
      <c r="B27" s="202" t="s">
        <v>429</v>
      </c>
      <c r="C27" s="202"/>
      <c r="D27" s="202"/>
      <c r="E27" s="202"/>
      <c r="F27" s="203">
        <v>1446318.6533667683</v>
      </c>
      <c r="G27" s="203">
        <v>433994</v>
      </c>
      <c r="H27" s="203">
        <v>977324.65336676815</v>
      </c>
      <c r="I27" s="203">
        <v>35000</v>
      </c>
      <c r="M27" s="4" t="str">
        <f t="shared" si="0"/>
        <v>visible</v>
      </c>
      <c r="N27" s="28"/>
      <c r="O27" s="28"/>
      <c r="P27" s="28"/>
      <c r="Q27" s="28"/>
      <c r="R27" s="28"/>
      <c r="S27" s="28"/>
      <c r="T27" s="28"/>
      <c r="U27" s="28"/>
      <c r="V27" s="28"/>
    </row>
    <row r="28" spans="1:22" s="3" customFormat="1" hidden="1" x14ac:dyDescent="0.45">
      <c r="A28" s="5" t="str">
        <f t="shared" si="1"/>
        <v/>
      </c>
      <c r="B28"/>
      <c r="C28"/>
      <c r="D28"/>
      <c r="E28"/>
      <c r="F28"/>
      <c r="G28"/>
      <c r="H28"/>
      <c r="I28"/>
      <c r="M28" s="4" t="str">
        <f t="shared" si="0"/>
        <v/>
      </c>
      <c r="N28" s="28"/>
      <c r="O28" s="28"/>
      <c r="P28" s="28"/>
      <c r="Q28" s="28"/>
      <c r="R28" s="28"/>
      <c r="S28" s="28"/>
      <c r="T28" s="28"/>
      <c r="U28" s="28"/>
      <c r="V28" s="28"/>
    </row>
    <row r="29" spans="1:22" s="3" customFormat="1" hidden="1" x14ac:dyDescent="0.45">
      <c r="A29" s="5" t="str">
        <f t="shared" si="1"/>
        <v/>
      </c>
      <c r="B29"/>
      <c r="C29"/>
      <c r="D29"/>
      <c r="E29"/>
      <c r="F29"/>
      <c r="G29"/>
      <c r="H29"/>
      <c r="I29"/>
      <c r="M29" s="4" t="str">
        <f t="shared" si="0"/>
        <v/>
      </c>
      <c r="N29" s="28"/>
      <c r="O29" s="28"/>
      <c r="P29" s="28"/>
      <c r="Q29" s="28"/>
      <c r="R29" s="28"/>
      <c r="S29" s="28"/>
      <c r="T29" s="28"/>
      <c r="U29" s="28"/>
      <c r="V29" s="28"/>
    </row>
    <row r="30" spans="1:22" s="3" customFormat="1" hidden="1" x14ac:dyDescent="0.45">
      <c r="A30" s="5" t="str">
        <f t="shared" si="1"/>
        <v/>
      </c>
      <c r="B30"/>
      <c r="C30"/>
      <c r="D30"/>
      <c r="E30"/>
      <c r="F30"/>
      <c r="G30"/>
      <c r="H30"/>
      <c r="I30"/>
      <c r="M30" s="4" t="str">
        <f t="shared" si="0"/>
        <v/>
      </c>
      <c r="N30" s="28"/>
      <c r="O30" s="28"/>
      <c r="P30" s="28"/>
      <c r="Q30" s="28"/>
      <c r="R30" s="28"/>
      <c r="S30" s="28"/>
      <c r="T30" s="28"/>
      <c r="U30" s="28"/>
      <c r="V30" s="28"/>
    </row>
    <row r="31" spans="1:22" s="3" customFormat="1" hidden="1" x14ac:dyDescent="0.45">
      <c r="A31" s="5" t="str">
        <f t="shared" si="1"/>
        <v/>
      </c>
      <c r="B31"/>
      <c r="C31"/>
      <c r="D31"/>
      <c r="E31"/>
      <c r="F31"/>
      <c r="G31"/>
      <c r="H31"/>
      <c r="I31"/>
      <c r="M31" s="4" t="str">
        <f t="shared" si="0"/>
        <v/>
      </c>
      <c r="N31" s="28"/>
      <c r="O31" s="28"/>
      <c r="P31" s="28"/>
      <c r="Q31" s="28"/>
      <c r="R31" s="28"/>
      <c r="S31" s="28"/>
      <c r="T31" s="28"/>
      <c r="U31" s="28"/>
      <c r="V31" s="28"/>
    </row>
    <row r="32" spans="1:22" s="3" customFormat="1" hidden="1" x14ac:dyDescent="0.45">
      <c r="A32" s="5" t="str">
        <f t="shared" si="1"/>
        <v/>
      </c>
      <c r="B32"/>
      <c r="C32"/>
      <c r="D32"/>
      <c r="E32"/>
      <c r="F32"/>
      <c r="G32"/>
      <c r="H32"/>
      <c r="I32"/>
      <c r="M32" s="4" t="str">
        <f t="shared" si="0"/>
        <v/>
      </c>
      <c r="N32" s="28"/>
      <c r="O32" s="28"/>
      <c r="P32" s="28"/>
      <c r="Q32" s="28"/>
      <c r="R32" s="28"/>
      <c r="S32" s="28"/>
      <c r="T32" s="28"/>
      <c r="U32" s="28"/>
      <c r="V32" s="28"/>
    </row>
    <row r="33" spans="1:22" s="3" customFormat="1" hidden="1" x14ac:dyDescent="0.45">
      <c r="A33" s="5" t="str">
        <f t="shared" si="1"/>
        <v/>
      </c>
      <c r="B33"/>
      <c r="C33"/>
      <c r="D33"/>
      <c r="E33"/>
      <c r="F33"/>
      <c r="G33"/>
      <c r="H33"/>
      <c r="I33"/>
      <c r="M33" s="4" t="str">
        <f t="shared" si="0"/>
        <v/>
      </c>
      <c r="N33" s="28"/>
      <c r="O33" s="28"/>
      <c r="P33" s="28"/>
      <c r="Q33" s="28"/>
      <c r="R33" s="28"/>
      <c r="S33" s="28"/>
      <c r="T33" s="28"/>
      <c r="U33" s="28"/>
      <c r="V33" s="28"/>
    </row>
    <row r="34" spans="1:22" s="3" customFormat="1" hidden="1" x14ac:dyDescent="0.45">
      <c r="A34" s="5" t="str">
        <f t="shared" si="1"/>
        <v/>
      </c>
      <c r="B34"/>
      <c r="C34"/>
      <c r="D34"/>
      <c r="E34"/>
      <c r="F34"/>
      <c r="G34"/>
      <c r="H34"/>
      <c r="I34"/>
      <c r="M34" s="4" t="str">
        <f t="shared" si="0"/>
        <v/>
      </c>
      <c r="N34" s="28"/>
      <c r="O34" s="28"/>
      <c r="P34" s="28"/>
      <c r="Q34" s="28"/>
      <c r="R34" s="28"/>
      <c r="S34" s="28"/>
      <c r="T34" s="28"/>
      <c r="U34" s="28"/>
      <c r="V34" s="28"/>
    </row>
    <row r="35" spans="1:22" s="3" customFormat="1" hidden="1" x14ac:dyDescent="0.45">
      <c r="A35" s="5" t="str">
        <f t="shared" si="1"/>
        <v/>
      </c>
      <c r="B35"/>
      <c r="C35"/>
      <c r="D35"/>
      <c r="E35"/>
      <c r="F35"/>
      <c r="G35"/>
      <c r="H35"/>
      <c r="I35"/>
      <c r="M35" s="4" t="str">
        <f t="shared" si="0"/>
        <v/>
      </c>
      <c r="N35" s="28"/>
      <c r="O35" s="28"/>
      <c r="P35" s="28"/>
      <c r="Q35" s="28"/>
      <c r="R35" s="28"/>
      <c r="S35" s="28"/>
      <c r="T35" s="28"/>
      <c r="U35" s="28"/>
      <c r="V35" s="28"/>
    </row>
    <row r="36" spans="1:22" s="3" customFormat="1" hidden="1" x14ac:dyDescent="0.45">
      <c r="A36" s="5" t="str">
        <f t="shared" si="1"/>
        <v/>
      </c>
      <c r="B36"/>
      <c r="C36"/>
      <c r="D36"/>
      <c r="E36"/>
      <c r="F36"/>
      <c r="G36"/>
      <c r="H36"/>
      <c r="I36"/>
      <c r="M36" s="4" t="str">
        <f t="shared" si="0"/>
        <v/>
      </c>
      <c r="N36" s="28"/>
      <c r="O36" s="28"/>
      <c r="P36" s="28"/>
      <c r="Q36" s="28"/>
      <c r="R36" s="28"/>
      <c r="S36" s="28"/>
      <c r="T36" s="28"/>
      <c r="U36" s="28"/>
      <c r="V36" s="28"/>
    </row>
    <row r="37" spans="1:22" s="3" customFormat="1" hidden="1" x14ac:dyDescent="0.45">
      <c r="A37" s="5" t="str">
        <f t="shared" si="1"/>
        <v/>
      </c>
      <c r="B37"/>
      <c r="C37"/>
      <c r="D37"/>
      <c r="E37"/>
      <c r="F37"/>
      <c r="G37"/>
      <c r="H37"/>
      <c r="I37"/>
      <c r="M37" s="4" t="str">
        <f t="shared" si="0"/>
        <v/>
      </c>
      <c r="N37" s="28"/>
      <c r="O37" s="28"/>
      <c r="P37" s="28"/>
      <c r="Q37" s="28"/>
      <c r="R37" s="28"/>
      <c r="S37" s="28"/>
      <c r="T37" s="28"/>
      <c r="U37" s="28"/>
      <c r="V37" s="28"/>
    </row>
    <row r="38" spans="1:22" s="3" customFormat="1" hidden="1" x14ac:dyDescent="0.45">
      <c r="A38" s="5" t="str">
        <f t="shared" si="1"/>
        <v/>
      </c>
      <c r="B38"/>
      <c r="C38"/>
      <c r="D38"/>
      <c r="E38"/>
      <c r="F38"/>
      <c r="G38"/>
      <c r="H38"/>
      <c r="I38"/>
      <c r="M38" s="4" t="str">
        <f t="shared" si="0"/>
        <v/>
      </c>
      <c r="N38" s="28"/>
      <c r="O38" s="28"/>
      <c r="P38" s="28"/>
      <c r="Q38" s="28"/>
      <c r="R38" s="28"/>
      <c r="S38" s="28"/>
      <c r="T38" s="28"/>
      <c r="U38" s="28"/>
      <c r="V38" s="28"/>
    </row>
    <row r="39" spans="1:22" s="3" customFormat="1" hidden="1" x14ac:dyDescent="0.45">
      <c r="A39" s="5" t="str">
        <f t="shared" si="1"/>
        <v/>
      </c>
      <c r="B39"/>
      <c r="C39"/>
      <c r="D39"/>
      <c r="E39"/>
      <c r="F39"/>
      <c r="G39"/>
      <c r="H39"/>
      <c r="I39"/>
      <c r="M39" s="4" t="str">
        <f t="shared" si="0"/>
        <v/>
      </c>
      <c r="N39" s="28"/>
      <c r="O39" s="28"/>
      <c r="P39" s="28"/>
      <c r="Q39" s="28"/>
      <c r="R39" s="28"/>
      <c r="S39" s="28"/>
      <c r="T39" s="28"/>
      <c r="U39" s="28"/>
      <c r="V39" s="28"/>
    </row>
    <row r="40" spans="1:22" s="3" customFormat="1" hidden="1" x14ac:dyDescent="0.45">
      <c r="A40" s="5" t="str">
        <f t="shared" si="1"/>
        <v/>
      </c>
      <c r="B40"/>
      <c r="C40"/>
      <c r="D40"/>
      <c r="E40"/>
      <c r="F40"/>
      <c r="G40"/>
      <c r="H40"/>
      <c r="I40"/>
      <c r="M40" s="4" t="str">
        <f t="shared" si="0"/>
        <v/>
      </c>
      <c r="N40" s="28"/>
      <c r="O40" s="28"/>
      <c r="P40" s="28"/>
      <c r="Q40" s="28"/>
      <c r="R40" s="28"/>
      <c r="S40" s="28"/>
      <c r="T40" s="28"/>
      <c r="U40" s="28"/>
      <c r="V40" s="28"/>
    </row>
    <row r="41" spans="1:22" s="3" customFormat="1" hidden="1" x14ac:dyDescent="0.45">
      <c r="A41" s="5" t="str">
        <f t="shared" si="1"/>
        <v/>
      </c>
      <c r="B41"/>
      <c r="C41"/>
      <c r="D41"/>
      <c r="E41"/>
      <c r="F41"/>
      <c r="G41"/>
      <c r="H41"/>
      <c r="I41"/>
      <c r="M41" s="4" t="str">
        <f t="shared" si="0"/>
        <v/>
      </c>
      <c r="N41" s="28"/>
      <c r="O41" s="28"/>
      <c r="P41" s="28"/>
      <c r="Q41" s="28"/>
      <c r="R41" s="28"/>
      <c r="S41" s="28"/>
      <c r="T41" s="28"/>
      <c r="U41" s="28"/>
      <c r="V41" s="28"/>
    </row>
    <row r="42" spans="1:22" s="3" customFormat="1" hidden="1" x14ac:dyDescent="0.45">
      <c r="A42" s="5" t="str">
        <f t="shared" si="1"/>
        <v/>
      </c>
      <c r="B42"/>
      <c r="C42"/>
      <c r="D42"/>
      <c r="E42"/>
      <c r="F42"/>
      <c r="G42"/>
      <c r="H42"/>
      <c r="I42"/>
      <c r="M42" s="4" t="str">
        <f t="shared" si="0"/>
        <v/>
      </c>
      <c r="N42" s="28"/>
      <c r="O42" s="28"/>
      <c r="P42" s="28"/>
      <c r="Q42" s="28"/>
      <c r="R42" s="28"/>
      <c r="S42" s="28"/>
      <c r="T42" s="28"/>
      <c r="U42" s="28"/>
      <c r="V42" s="28"/>
    </row>
    <row r="43" spans="1:22" s="3" customFormat="1" hidden="1" x14ac:dyDescent="0.45">
      <c r="A43" s="5" t="str">
        <f t="shared" si="1"/>
        <v/>
      </c>
      <c r="B43"/>
      <c r="C43"/>
      <c r="D43"/>
      <c r="E43"/>
      <c r="F43"/>
      <c r="G43"/>
      <c r="H43"/>
      <c r="I43"/>
      <c r="M43" s="4" t="str">
        <f t="shared" si="0"/>
        <v/>
      </c>
      <c r="N43" s="28"/>
      <c r="O43" s="28"/>
      <c r="P43" s="28"/>
      <c r="Q43" s="28"/>
      <c r="R43" s="28"/>
      <c r="S43" s="28"/>
      <c r="T43" s="28"/>
      <c r="U43" s="28"/>
      <c r="V43" s="28"/>
    </row>
    <row r="44" spans="1:22" s="3" customFormat="1" hidden="1" x14ac:dyDescent="0.45">
      <c r="A44" s="5" t="str">
        <f t="shared" si="1"/>
        <v/>
      </c>
      <c r="B44"/>
      <c r="C44"/>
      <c r="D44"/>
      <c r="E44"/>
      <c r="F44"/>
      <c r="G44"/>
      <c r="H44"/>
      <c r="I44"/>
      <c r="M44" s="4" t="str">
        <f t="shared" si="0"/>
        <v/>
      </c>
      <c r="N44" s="28"/>
      <c r="O44" s="28"/>
      <c r="P44" s="28"/>
      <c r="Q44" s="28"/>
      <c r="R44" s="28"/>
      <c r="S44" s="28"/>
      <c r="T44" s="28"/>
      <c r="U44" s="28"/>
      <c r="V44" s="28"/>
    </row>
    <row r="45" spans="1:22" s="3" customFormat="1" hidden="1" x14ac:dyDescent="0.45">
      <c r="A45" s="5" t="str">
        <f t="shared" si="1"/>
        <v/>
      </c>
      <c r="B45"/>
      <c r="C45"/>
      <c r="D45"/>
      <c r="E45"/>
      <c r="F45"/>
      <c r="G45"/>
      <c r="H45"/>
      <c r="I45"/>
      <c r="M45" s="4" t="str">
        <f t="shared" si="0"/>
        <v/>
      </c>
      <c r="N45" s="28"/>
      <c r="O45" s="28"/>
      <c r="P45" s="28"/>
      <c r="Q45" s="28"/>
      <c r="R45" s="28"/>
      <c r="S45" s="28"/>
      <c r="T45" s="28"/>
      <c r="U45" s="28"/>
      <c r="V45" s="28"/>
    </row>
    <row r="46" spans="1:22" s="3" customFormat="1" hidden="1" x14ac:dyDescent="0.45">
      <c r="A46" s="5" t="str">
        <f t="shared" si="1"/>
        <v/>
      </c>
      <c r="B46"/>
      <c r="C46"/>
      <c r="D46"/>
      <c r="E46"/>
      <c r="F46"/>
      <c r="G46"/>
      <c r="H46"/>
      <c r="I46"/>
      <c r="M46" s="4" t="str">
        <f t="shared" si="0"/>
        <v/>
      </c>
      <c r="N46" s="28"/>
      <c r="O46" s="28"/>
      <c r="P46" s="28"/>
      <c r="Q46" s="28"/>
      <c r="R46" s="28"/>
      <c r="S46" s="28"/>
      <c r="T46" s="28"/>
      <c r="U46" s="28"/>
      <c r="V46" s="28"/>
    </row>
    <row r="47" spans="1:22" s="3" customFormat="1" hidden="1" x14ac:dyDescent="0.45">
      <c r="A47" s="5" t="str">
        <f t="shared" si="1"/>
        <v/>
      </c>
      <c r="B47"/>
      <c r="C47"/>
      <c r="D47"/>
      <c r="E47"/>
      <c r="F47"/>
      <c r="G47"/>
      <c r="H47"/>
      <c r="I47"/>
      <c r="M47" s="4" t="str">
        <f t="shared" si="0"/>
        <v/>
      </c>
      <c r="N47" s="28"/>
      <c r="O47" s="28"/>
      <c r="P47" s="28"/>
      <c r="Q47" s="28"/>
      <c r="R47" s="28"/>
      <c r="S47" s="28"/>
      <c r="T47" s="28"/>
      <c r="U47" s="28"/>
      <c r="V47" s="28"/>
    </row>
    <row r="48" spans="1:22" s="3" customFormat="1" hidden="1" x14ac:dyDescent="0.45">
      <c r="A48" s="5" t="str">
        <f t="shared" si="1"/>
        <v/>
      </c>
      <c r="B48"/>
      <c r="C48"/>
      <c r="D48"/>
      <c r="E48"/>
      <c r="F48"/>
      <c r="G48"/>
      <c r="H48"/>
      <c r="I48"/>
      <c r="M48" s="4" t="str">
        <f t="shared" si="0"/>
        <v/>
      </c>
      <c r="N48" s="28"/>
      <c r="O48" s="28"/>
      <c r="P48" s="28"/>
      <c r="Q48" s="28"/>
      <c r="R48" s="28"/>
      <c r="S48" s="28"/>
      <c r="T48" s="28"/>
      <c r="U48" s="28"/>
      <c r="V48" s="28"/>
    </row>
    <row r="49" spans="1:22" s="3" customFormat="1" hidden="1" x14ac:dyDescent="0.45">
      <c r="A49" s="5" t="str">
        <f t="shared" si="1"/>
        <v/>
      </c>
      <c r="B49"/>
      <c r="C49"/>
      <c r="D49"/>
      <c r="E49"/>
      <c r="F49"/>
      <c r="G49"/>
      <c r="H49"/>
      <c r="I49"/>
      <c r="M49" s="4" t="str">
        <f t="shared" si="0"/>
        <v/>
      </c>
      <c r="N49" s="28"/>
      <c r="O49" s="28"/>
      <c r="P49" s="28"/>
      <c r="Q49" s="28"/>
      <c r="R49" s="28"/>
      <c r="S49" s="28"/>
      <c r="T49" s="28"/>
      <c r="U49" s="28"/>
      <c r="V49" s="28"/>
    </row>
    <row r="50" spans="1:22" s="3" customFormat="1" hidden="1" x14ac:dyDescent="0.45">
      <c r="A50" s="5" t="str">
        <f t="shared" si="1"/>
        <v/>
      </c>
      <c r="B50"/>
      <c r="C50"/>
      <c r="D50"/>
      <c r="E50"/>
      <c r="F50"/>
      <c r="G50"/>
      <c r="H50"/>
      <c r="I50"/>
      <c r="M50" s="4" t="str">
        <f t="shared" si="0"/>
        <v/>
      </c>
      <c r="N50" s="28"/>
      <c r="O50" s="28"/>
      <c r="P50" s="28"/>
      <c r="Q50" s="28"/>
      <c r="R50" s="28"/>
      <c r="S50" s="28"/>
      <c r="T50" s="28"/>
      <c r="U50" s="28"/>
      <c r="V50" s="28"/>
    </row>
    <row r="51" spans="1:22" s="3" customFormat="1" hidden="1" x14ac:dyDescent="0.45">
      <c r="A51" s="5" t="str">
        <f t="shared" si="1"/>
        <v/>
      </c>
      <c r="B51"/>
      <c r="C51"/>
      <c r="D51"/>
      <c r="E51"/>
      <c r="F51"/>
      <c r="G51"/>
      <c r="H51"/>
      <c r="I51"/>
      <c r="M51" s="4" t="str">
        <f t="shared" si="0"/>
        <v/>
      </c>
      <c r="N51" s="28"/>
      <c r="O51" s="28"/>
      <c r="P51" s="28"/>
      <c r="Q51" s="28"/>
      <c r="R51" s="28"/>
      <c r="S51" s="28"/>
      <c r="T51" s="28"/>
      <c r="U51" s="28"/>
      <c r="V51" s="28"/>
    </row>
    <row r="52" spans="1:22" s="3" customFormat="1" hidden="1" x14ac:dyDescent="0.45">
      <c r="A52" s="5" t="str">
        <f t="shared" si="1"/>
        <v/>
      </c>
      <c r="B52"/>
      <c r="C52"/>
      <c r="D52"/>
      <c r="E52"/>
      <c r="F52"/>
      <c r="G52"/>
      <c r="H52"/>
      <c r="I52"/>
      <c r="M52" s="4" t="str">
        <f t="shared" si="0"/>
        <v/>
      </c>
      <c r="N52" s="28"/>
      <c r="O52" s="28"/>
      <c r="P52" s="28"/>
      <c r="Q52" s="28"/>
      <c r="R52" s="28"/>
      <c r="S52" s="28"/>
      <c r="T52" s="28"/>
      <c r="U52" s="28"/>
      <c r="V52" s="28"/>
    </row>
    <row r="53" spans="1:22" s="3" customFormat="1" hidden="1" x14ac:dyDescent="0.45">
      <c r="A53" s="5" t="str">
        <f t="shared" si="1"/>
        <v/>
      </c>
      <c r="B53"/>
      <c r="C53"/>
      <c r="D53"/>
      <c r="E53"/>
      <c r="F53"/>
      <c r="G53"/>
      <c r="H53"/>
      <c r="I53"/>
      <c r="M53" s="4" t="str">
        <f t="shared" si="0"/>
        <v/>
      </c>
      <c r="N53" s="28"/>
      <c r="O53" s="28"/>
      <c r="P53" s="28"/>
      <c r="Q53" s="28"/>
      <c r="R53" s="28"/>
      <c r="S53" s="28"/>
      <c r="T53" s="28"/>
      <c r="U53" s="28"/>
      <c r="V53" s="28"/>
    </row>
    <row r="54" spans="1:22" s="3" customFormat="1" hidden="1" x14ac:dyDescent="0.45">
      <c r="A54" s="5" t="str">
        <f t="shared" si="1"/>
        <v/>
      </c>
      <c r="B54"/>
      <c r="C54"/>
      <c r="D54"/>
      <c r="E54"/>
      <c r="F54"/>
      <c r="G54"/>
      <c r="H54"/>
      <c r="I54"/>
      <c r="M54" s="4" t="str">
        <f t="shared" si="0"/>
        <v/>
      </c>
      <c r="N54" s="28"/>
      <c r="O54" s="28"/>
      <c r="P54" s="28"/>
      <c r="Q54" s="28"/>
      <c r="R54" s="28"/>
      <c r="S54" s="28"/>
      <c r="T54" s="28"/>
      <c r="U54" s="28"/>
      <c r="V54" s="28"/>
    </row>
    <row r="55" spans="1:22" s="3" customFormat="1" hidden="1" x14ac:dyDescent="0.45">
      <c r="A55" s="5" t="str">
        <f t="shared" si="1"/>
        <v/>
      </c>
      <c r="B55"/>
      <c r="C55"/>
      <c r="D55"/>
      <c r="E55"/>
      <c r="F55"/>
      <c r="G55"/>
      <c r="H55"/>
      <c r="I55"/>
      <c r="M55" s="4" t="str">
        <f t="shared" si="0"/>
        <v/>
      </c>
      <c r="N55" s="28"/>
      <c r="O55" s="28"/>
      <c r="P55" s="28"/>
      <c r="Q55" s="28"/>
      <c r="R55" s="28"/>
      <c r="S55" s="28"/>
      <c r="T55" s="28"/>
      <c r="U55" s="28"/>
      <c r="V55" s="28"/>
    </row>
    <row r="56" spans="1:22" s="3" customFormat="1" hidden="1" x14ac:dyDescent="0.45">
      <c r="A56" s="5" t="str">
        <f t="shared" si="1"/>
        <v/>
      </c>
      <c r="B56"/>
      <c r="C56"/>
      <c r="D56"/>
      <c r="E56"/>
      <c r="F56"/>
      <c r="G56"/>
      <c r="H56"/>
      <c r="I56"/>
      <c r="M56" s="4" t="str">
        <f t="shared" si="0"/>
        <v/>
      </c>
      <c r="N56" s="28"/>
      <c r="O56" s="28"/>
      <c r="P56" s="28"/>
      <c r="Q56" s="28"/>
      <c r="R56" s="28"/>
      <c r="S56" s="28"/>
      <c r="T56" s="28"/>
      <c r="U56" s="28"/>
      <c r="V56" s="28"/>
    </row>
    <row r="57" spans="1:22" s="3" customFormat="1" hidden="1" x14ac:dyDescent="0.45">
      <c r="A57" s="5" t="str">
        <f t="shared" si="1"/>
        <v/>
      </c>
      <c r="B57"/>
      <c r="C57"/>
      <c r="D57"/>
      <c r="E57"/>
      <c r="F57"/>
      <c r="G57"/>
      <c r="H57"/>
      <c r="I57"/>
      <c r="M57" s="4" t="str">
        <f t="shared" si="0"/>
        <v/>
      </c>
      <c r="N57" s="28"/>
      <c r="O57" s="28"/>
      <c r="P57" s="28"/>
      <c r="Q57" s="28"/>
      <c r="R57" s="28"/>
      <c r="S57" s="28"/>
      <c r="T57" s="28"/>
      <c r="U57" s="28"/>
      <c r="V57" s="28"/>
    </row>
    <row r="58" spans="1:22" s="3" customFormat="1" hidden="1" x14ac:dyDescent="0.45">
      <c r="A58" s="5" t="str">
        <f t="shared" si="1"/>
        <v/>
      </c>
      <c r="B58"/>
      <c r="C58"/>
      <c r="D58"/>
      <c r="E58"/>
      <c r="F58"/>
      <c r="G58"/>
      <c r="H58"/>
      <c r="I58"/>
      <c r="M58" s="4" t="str">
        <f t="shared" si="0"/>
        <v/>
      </c>
      <c r="N58" s="28"/>
      <c r="O58" s="28"/>
      <c r="P58" s="28"/>
      <c r="Q58" s="28"/>
      <c r="R58" s="28"/>
      <c r="S58" s="28"/>
      <c r="T58" s="28"/>
      <c r="U58" s="28"/>
      <c r="V58" s="28"/>
    </row>
    <row r="59" spans="1:22" s="3" customFormat="1" hidden="1" x14ac:dyDescent="0.45">
      <c r="A59" s="5" t="str">
        <f t="shared" si="1"/>
        <v/>
      </c>
      <c r="B59"/>
      <c r="C59"/>
      <c r="D59"/>
      <c r="E59"/>
      <c r="F59"/>
      <c r="G59"/>
      <c r="H59"/>
      <c r="I59"/>
      <c r="M59" s="4" t="str">
        <f t="shared" si="0"/>
        <v/>
      </c>
      <c r="N59" s="28"/>
      <c r="O59" s="28"/>
      <c r="P59" s="28"/>
      <c r="Q59" s="28"/>
      <c r="R59" s="28"/>
      <c r="S59" s="28"/>
      <c r="T59" s="28"/>
      <c r="U59" s="28"/>
      <c r="V59" s="28"/>
    </row>
    <row r="60" spans="1:22" s="3" customFormat="1" hidden="1" x14ac:dyDescent="0.45">
      <c r="A60" s="5" t="str">
        <f t="shared" si="1"/>
        <v/>
      </c>
      <c r="B60"/>
      <c r="C60"/>
      <c r="D60"/>
      <c r="E60"/>
      <c r="F60"/>
      <c r="G60"/>
      <c r="H60"/>
      <c r="I60"/>
      <c r="M60" s="4" t="str">
        <f t="shared" si="0"/>
        <v/>
      </c>
      <c r="N60" s="28"/>
      <c r="O60" s="28"/>
      <c r="P60" s="28"/>
      <c r="Q60" s="28"/>
      <c r="R60" s="28"/>
      <c r="S60" s="28"/>
      <c r="T60" s="28"/>
      <c r="U60" s="28"/>
      <c r="V60" s="28"/>
    </row>
    <row r="61" spans="1:22" s="3" customFormat="1" hidden="1" x14ac:dyDescent="0.45">
      <c r="A61" s="5" t="str">
        <f t="shared" si="1"/>
        <v/>
      </c>
      <c r="B61"/>
      <c r="C61"/>
      <c r="D61"/>
      <c r="E61"/>
      <c r="F61"/>
      <c r="G61"/>
      <c r="H61"/>
      <c r="I61"/>
      <c r="M61" s="4" t="str">
        <f t="shared" si="0"/>
        <v/>
      </c>
      <c r="N61" s="28"/>
      <c r="O61" s="28"/>
      <c r="P61" s="28"/>
      <c r="Q61" s="28"/>
      <c r="R61" s="28"/>
      <c r="S61" s="28"/>
      <c r="T61" s="28"/>
      <c r="U61" s="28"/>
      <c r="V61" s="28"/>
    </row>
    <row r="62" spans="1:22" s="3" customFormat="1" hidden="1" x14ac:dyDescent="0.45">
      <c r="A62" s="5" t="str">
        <f t="shared" si="1"/>
        <v/>
      </c>
      <c r="B62"/>
      <c r="C62"/>
      <c r="D62"/>
      <c r="E62"/>
      <c r="F62"/>
      <c r="G62"/>
      <c r="H62"/>
      <c r="I62"/>
      <c r="M62" s="4" t="str">
        <f t="shared" si="0"/>
        <v/>
      </c>
      <c r="N62" s="28"/>
      <c r="O62" s="28"/>
      <c r="P62" s="28"/>
      <c r="Q62" s="28"/>
      <c r="R62" s="28"/>
      <c r="S62" s="28"/>
      <c r="T62" s="28"/>
      <c r="U62" s="28"/>
      <c r="V62" s="28"/>
    </row>
    <row r="63" spans="1:22" s="3" customFormat="1" hidden="1" x14ac:dyDescent="0.45">
      <c r="A63" s="5" t="str">
        <f t="shared" si="1"/>
        <v/>
      </c>
      <c r="B63"/>
      <c r="C63"/>
      <c r="D63"/>
      <c r="E63"/>
      <c r="F63"/>
      <c r="G63"/>
      <c r="H63"/>
      <c r="I63"/>
      <c r="M63" s="4" t="str">
        <f t="shared" si="0"/>
        <v/>
      </c>
      <c r="N63" s="28"/>
      <c r="O63" s="28"/>
      <c r="P63" s="28"/>
      <c r="Q63" s="28"/>
      <c r="R63" s="28"/>
      <c r="S63" s="28"/>
      <c r="T63" s="28"/>
      <c r="U63" s="28"/>
      <c r="V63" s="28"/>
    </row>
    <row r="64" spans="1:22" s="3" customFormat="1" hidden="1" x14ac:dyDescent="0.45">
      <c r="A64" s="5" t="str">
        <f t="shared" si="1"/>
        <v/>
      </c>
      <c r="B64"/>
      <c r="C64"/>
      <c r="D64"/>
      <c r="E64"/>
      <c r="F64"/>
      <c r="G64"/>
      <c r="H64"/>
      <c r="I64"/>
      <c r="M64" s="4" t="str">
        <f t="shared" si="0"/>
        <v/>
      </c>
      <c r="N64" s="28"/>
      <c r="O64" s="28"/>
      <c r="P64" s="28"/>
      <c r="Q64" s="28"/>
      <c r="R64" s="28"/>
      <c r="S64" s="28"/>
      <c r="T64" s="28"/>
      <c r="U64" s="28"/>
      <c r="V64" s="28"/>
    </row>
    <row r="65" spans="1:22" s="3" customFormat="1" hidden="1" x14ac:dyDescent="0.45">
      <c r="A65" s="5" t="str">
        <f t="shared" si="1"/>
        <v/>
      </c>
      <c r="B65"/>
      <c r="C65"/>
      <c r="D65"/>
      <c r="E65"/>
      <c r="F65"/>
      <c r="G65"/>
      <c r="H65"/>
      <c r="I65"/>
      <c r="M65" s="4" t="str">
        <f t="shared" si="0"/>
        <v/>
      </c>
      <c r="N65" s="28"/>
      <c r="O65" s="28"/>
      <c r="P65" s="28"/>
      <c r="Q65" s="28"/>
      <c r="R65" s="28"/>
      <c r="S65" s="28"/>
      <c r="T65" s="28"/>
      <c r="U65" s="28"/>
      <c r="V65" s="28"/>
    </row>
    <row r="66" spans="1:22" s="3" customFormat="1" hidden="1" x14ac:dyDescent="0.45">
      <c r="A66" s="5" t="str">
        <f t="shared" si="1"/>
        <v/>
      </c>
      <c r="B66"/>
      <c r="C66"/>
      <c r="D66"/>
      <c r="E66"/>
      <c r="F66"/>
      <c r="G66"/>
      <c r="H66"/>
      <c r="I66"/>
      <c r="M66" s="4" t="str">
        <f t="shared" si="0"/>
        <v/>
      </c>
      <c r="N66" s="28"/>
      <c r="O66" s="28"/>
      <c r="P66" s="28"/>
      <c r="Q66" s="28"/>
      <c r="R66" s="28"/>
      <c r="S66" s="28"/>
      <c r="T66" s="28"/>
      <c r="U66" s="28"/>
      <c r="V66" s="28"/>
    </row>
    <row r="67" spans="1:22" s="3" customFormat="1" hidden="1" x14ac:dyDescent="0.45">
      <c r="A67" s="5" t="str">
        <f t="shared" si="1"/>
        <v/>
      </c>
      <c r="B67"/>
      <c r="C67"/>
      <c r="D67"/>
      <c r="E67"/>
      <c r="F67"/>
      <c r="G67"/>
      <c r="H67"/>
      <c r="I67"/>
      <c r="M67" s="4" t="str">
        <f t="shared" si="0"/>
        <v/>
      </c>
      <c r="N67" s="28"/>
      <c r="O67" s="28"/>
      <c r="P67" s="28"/>
      <c r="Q67" s="28"/>
      <c r="R67" s="28"/>
      <c r="S67" s="28"/>
      <c r="T67" s="28"/>
      <c r="U67" s="28"/>
      <c r="V67" s="28"/>
    </row>
    <row r="68" spans="1:22" s="3" customFormat="1" hidden="1" x14ac:dyDescent="0.45">
      <c r="A68" s="5" t="str">
        <f t="shared" si="1"/>
        <v/>
      </c>
      <c r="B68"/>
      <c r="C68"/>
      <c r="D68"/>
      <c r="E68"/>
      <c r="F68"/>
      <c r="G68"/>
      <c r="H68"/>
      <c r="I68"/>
      <c r="M68" s="4" t="str">
        <f t="shared" si="0"/>
        <v/>
      </c>
      <c r="N68" s="28"/>
      <c r="O68" s="28"/>
      <c r="P68" s="28"/>
      <c r="Q68" s="28"/>
      <c r="R68" s="28"/>
      <c r="S68" s="28"/>
      <c r="T68" s="28"/>
      <c r="U68" s="28"/>
      <c r="V68" s="28"/>
    </row>
    <row r="69" spans="1:22" s="3" customFormat="1" hidden="1" x14ac:dyDescent="0.45">
      <c r="A69" s="5" t="str">
        <f t="shared" si="1"/>
        <v/>
      </c>
      <c r="B69"/>
      <c r="C69"/>
      <c r="D69"/>
      <c r="E69"/>
      <c r="F69"/>
      <c r="G69"/>
      <c r="H69"/>
      <c r="I69"/>
      <c r="M69" s="4" t="str">
        <f t="shared" ref="M69:M132" si="2">IF(B69&lt;&gt;"","visible","")</f>
        <v/>
      </c>
      <c r="N69" s="28"/>
      <c r="O69" s="28"/>
      <c r="P69" s="28"/>
      <c r="Q69" s="28"/>
      <c r="R69" s="28"/>
      <c r="S69" s="28"/>
      <c r="T69" s="28"/>
      <c r="U69" s="28"/>
      <c r="V69" s="28"/>
    </row>
    <row r="70" spans="1:22" s="3" customFormat="1" hidden="1" x14ac:dyDescent="0.45">
      <c r="A70" s="5" t="str">
        <f t="shared" si="1"/>
        <v/>
      </c>
      <c r="B70"/>
      <c r="C70"/>
      <c r="D70"/>
      <c r="E70"/>
      <c r="F70"/>
      <c r="G70"/>
      <c r="H70"/>
      <c r="I70"/>
      <c r="M70" s="4" t="str">
        <f t="shared" si="2"/>
        <v/>
      </c>
      <c r="N70" s="28"/>
      <c r="O70" s="28"/>
      <c r="P70" s="28"/>
      <c r="Q70" s="28"/>
      <c r="R70" s="28"/>
      <c r="S70" s="28"/>
      <c r="T70" s="28"/>
      <c r="U70" s="28"/>
      <c r="V70" s="28"/>
    </row>
    <row r="71" spans="1:22" s="3" customFormat="1" hidden="1" x14ac:dyDescent="0.45">
      <c r="A71" s="5" t="str">
        <f t="shared" si="1"/>
        <v/>
      </c>
      <c r="B71"/>
      <c r="C71"/>
      <c r="D71"/>
      <c r="E71"/>
      <c r="F71"/>
      <c r="G71"/>
      <c r="H71"/>
      <c r="I71"/>
      <c r="M71" s="4" t="str">
        <f t="shared" si="2"/>
        <v/>
      </c>
      <c r="N71" s="28"/>
      <c r="O71" s="28"/>
      <c r="P71" s="28"/>
      <c r="Q71" s="28"/>
      <c r="R71" s="28"/>
      <c r="S71" s="28"/>
      <c r="T71" s="28"/>
      <c r="U71" s="28"/>
      <c r="V71" s="28"/>
    </row>
    <row r="72" spans="1:22" s="3" customFormat="1" hidden="1" x14ac:dyDescent="0.45">
      <c r="A72" s="5" t="str">
        <f t="shared" si="1"/>
        <v/>
      </c>
      <c r="B72"/>
      <c r="C72"/>
      <c r="D72"/>
      <c r="E72"/>
      <c r="F72"/>
      <c r="G72"/>
      <c r="H72"/>
      <c r="I72"/>
      <c r="M72" s="4" t="str">
        <f t="shared" si="2"/>
        <v/>
      </c>
      <c r="N72" s="28"/>
      <c r="O72" s="28"/>
      <c r="P72" s="28"/>
      <c r="Q72" s="28"/>
      <c r="R72" s="28"/>
      <c r="S72" s="28"/>
      <c r="T72" s="28"/>
      <c r="U72" s="28"/>
      <c r="V72" s="28"/>
    </row>
    <row r="73" spans="1:22" s="3" customFormat="1" hidden="1" x14ac:dyDescent="0.45">
      <c r="A73" s="5" t="str">
        <f t="shared" si="1"/>
        <v/>
      </c>
      <c r="B73"/>
      <c r="C73"/>
      <c r="D73"/>
      <c r="E73"/>
      <c r="F73"/>
      <c r="G73"/>
      <c r="H73"/>
      <c r="I73"/>
      <c r="M73" s="4" t="str">
        <f t="shared" si="2"/>
        <v/>
      </c>
      <c r="N73" s="28"/>
      <c r="O73" s="28"/>
      <c r="P73" s="28"/>
      <c r="Q73" s="28"/>
      <c r="R73" s="28"/>
      <c r="S73" s="28"/>
      <c r="T73" s="28"/>
      <c r="U73" s="28"/>
      <c r="V73" s="28"/>
    </row>
    <row r="74" spans="1:22" s="3" customFormat="1" hidden="1" x14ac:dyDescent="0.45">
      <c r="A74" s="5" t="str">
        <f t="shared" ref="A74:A105" si="3">IF(M74 ="visible",IF(B74 = "Total","",A73+1),"")</f>
        <v/>
      </c>
      <c r="B74"/>
      <c r="C74"/>
      <c r="D74"/>
      <c r="E74"/>
      <c r="F74"/>
      <c r="G74"/>
      <c r="H74"/>
      <c r="I74"/>
      <c r="M74" s="4" t="str">
        <f t="shared" si="2"/>
        <v/>
      </c>
      <c r="N74" s="28"/>
      <c r="O74" s="28"/>
      <c r="P74" s="28"/>
      <c r="Q74" s="28"/>
      <c r="R74" s="28"/>
      <c r="S74" s="28"/>
      <c r="T74" s="28"/>
      <c r="U74" s="28"/>
      <c r="V74" s="28"/>
    </row>
    <row r="75" spans="1:22" s="3" customFormat="1" hidden="1" x14ac:dyDescent="0.45">
      <c r="A75" s="5" t="str">
        <f t="shared" si="3"/>
        <v/>
      </c>
      <c r="B75"/>
      <c r="C75"/>
      <c r="D75"/>
      <c r="E75"/>
      <c r="F75"/>
      <c r="G75"/>
      <c r="H75"/>
      <c r="I75"/>
      <c r="M75" s="4" t="str">
        <f t="shared" si="2"/>
        <v/>
      </c>
      <c r="N75" s="28"/>
      <c r="O75" s="28"/>
      <c r="P75" s="28"/>
      <c r="Q75" s="28"/>
      <c r="R75" s="28"/>
      <c r="S75" s="28"/>
      <c r="T75" s="28"/>
      <c r="U75" s="28"/>
      <c r="V75" s="28"/>
    </row>
    <row r="76" spans="1:22" s="3" customFormat="1" hidden="1" x14ac:dyDescent="0.45">
      <c r="A76" s="5" t="str">
        <f t="shared" si="3"/>
        <v/>
      </c>
      <c r="B76"/>
      <c r="C76"/>
      <c r="D76"/>
      <c r="E76"/>
      <c r="F76"/>
      <c r="G76"/>
      <c r="H76"/>
      <c r="I76"/>
      <c r="M76" s="4" t="str">
        <f t="shared" si="2"/>
        <v/>
      </c>
      <c r="N76" s="28"/>
      <c r="O76" s="28"/>
      <c r="P76" s="28"/>
      <c r="Q76" s="28"/>
      <c r="R76" s="28"/>
      <c r="S76" s="28"/>
      <c r="T76" s="28"/>
      <c r="U76" s="28"/>
      <c r="V76" s="28"/>
    </row>
    <row r="77" spans="1:22" s="3" customFormat="1" hidden="1" x14ac:dyDescent="0.45">
      <c r="A77" s="5" t="str">
        <f t="shared" si="3"/>
        <v/>
      </c>
      <c r="B77"/>
      <c r="C77"/>
      <c r="D77"/>
      <c r="E77"/>
      <c r="F77"/>
      <c r="G77"/>
      <c r="H77"/>
      <c r="I77"/>
      <c r="M77" s="4" t="str">
        <f t="shared" si="2"/>
        <v/>
      </c>
      <c r="N77" s="28"/>
      <c r="O77" s="28"/>
      <c r="P77" s="28"/>
      <c r="Q77" s="28"/>
      <c r="R77" s="28"/>
      <c r="S77" s="28"/>
      <c r="T77" s="28"/>
      <c r="U77" s="28"/>
      <c r="V77" s="28"/>
    </row>
    <row r="78" spans="1:22" s="3" customFormat="1" hidden="1" x14ac:dyDescent="0.45">
      <c r="A78" s="5" t="str">
        <f t="shared" si="3"/>
        <v/>
      </c>
      <c r="B78"/>
      <c r="C78"/>
      <c r="D78"/>
      <c r="E78"/>
      <c r="F78"/>
      <c r="G78"/>
      <c r="H78"/>
      <c r="I78"/>
      <c r="M78" s="4" t="str">
        <f t="shared" si="2"/>
        <v/>
      </c>
      <c r="N78" s="28"/>
      <c r="O78" s="28"/>
      <c r="P78" s="28"/>
      <c r="Q78" s="28"/>
      <c r="R78" s="28"/>
      <c r="S78" s="28"/>
      <c r="T78" s="28"/>
      <c r="U78" s="28"/>
      <c r="V78" s="28"/>
    </row>
    <row r="79" spans="1:22" s="3" customFormat="1" hidden="1" x14ac:dyDescent="0.45">
      <c r="A79" s="5" t="str">
        <f t="shared" si="3"/>
        <v/>
      </c>
      <c r="B79"/>
      <c r="C79"/>
      <c r="D79"/>
      <c r="E79"/>
      <c r="F79"/>
      <c r="G79"/>
      <c r="H79"/>
      <c r="I79"/>
      <c r="M79" s="4" t="str">
        <f t="shared" si="2"/>
        <v/>
      </c>
      <c r="N79" s="28"/>
      <c r="O79" s="28"/>
      <c r="P79" s="28"/>
      <c r="Q79" s="28"/>
      <c r="R79" s="28"/>
      <c r="S79" s="28"/>
      <c r="T79" s="28"/>
      <c r="U79" s="28"/>
      <c r="V79" s="28"/>
    </row>
    <row r="80" spans="1:22" s="3" customFormat="1" hidden="1" x14ac:dyDescent="0.45">
      <c r="A80" s="5" t="str">
        <f t="shared" si="3"/>
        <v/>
      </c>
      <c r="B80"/>
      <c r="C80"/>
      <c r="D80"/>
      <c r="E80"/>
      <c r="F80"/>
      <c r="G80"/>
      <c r="H80"/>
      <c r="I80"/>
      <c r="M80" s="4" t="str">
        <f t="shared" si="2"/>
        <v/>
      </c>
      <c r="N80" s="28"/>
      <c r="O80" s="28"/>
      <c r="P80" s="28"/>
      <c r="Q80" s="28"/>
      <c r="R80" s="28"/>
      <c r="S80" s="28"/>
      <c r="T80" s="28"/>
      <c r="U80" s="28"/>
      <c r="V80" s="28"/>
    </row>
    <row r="81" spans="1:22" s="3" customFormat="1" hidden="1" x14ac:dyDescent="0.45">
      <c r="A81" s="5" t="str">
        <f t="shared" si="3"/>
        <v/>
      </c>
      <c r="B81"/>
      <c r="C81"/>
      <c r="D81"/>
      <c r="E81"/>
      <c r="F81"/>
      <c r="G81"/>
      <c r="H81"/>
      <c r="I81"/>
      <c r="M81" s="4" t="str">
        <f t="shared" si="2"/>
        <v/>
      </c>
      <c r="N81" s="28"/>
      <c r="O81" s="28"/>
      <c r="P81" s="28"/>
      <c r="Q81" s="28"/>
      <c r="R81" s="28"/>
      <c r="S81" s="28"/>
      <c r="T81" s="28"/>
      <c r="U81" s="28"/>
      <c r="V81" s="28"/>
    </row>
    <row r="82" spans="1:22" s="3" customFormat="1" hidden="1" x14ac:dyDescent="0.45">
      <c r="A82" s="5" t="str">
        <f t="shared" si="3"/>
        <v/>
      </c>
      <c r="B82"/>
      <c r="C82"/>
      <c r="D82"/>
      <c r="E82"/>
      <c r="F82"/>
      <c r="G82"/>
      <c r="H82"/>
      <c r="I82"/>
      <c r="M82" s="4" t="str">
        <f t="shared" si="2"/>
        <v/>
      </c>
      <c r="N82" s="28"/>
      <c r="O82" s="28"/>
      <c r="P82" s="28"/>
      <c r="Q82" s="28"/>
      <c r="R82" s="28"/>
      <c r="S82" s="28"/>
      <c r="T82" s="28"/>
      <c r="U82" s="28"/>
      <c r="V82" s="28"/>
    </row>
    <row r="83" spans="1:22" s="3" customFormat="1" hidden="1" x14ac:dyDescent="0.45">
      <c r="A83" s="5" t="str">
        <f t="shared" si="3"/>
        <v/>
      </c>
      <c r="B83"/>
      <c r="C83"/>
      <c r="D83"/>
      <c r="E83"/>
      <c r="F83"/>
      <c r="G83"/>
      <c r="H83"/>
      <c r="I83"/>
      <c r="M83" s="4" t="str">
        <f t="shared" si="2"/>
        <v/>
      </c>
      <c r="N83" s="28"/>
      <c r="O83" s="28"/>
      <c r="P83" s="28"/>
      <c r="Q83" s="28"/>
      <c r="R83" s="28"/>
      <c r="S83" s="28"/>
      <c r="T83" s="28"/>
      <c r="U83" s="28"/>
      <c r="V83" s="28"/>
    </row>
    <row r="84" spans="1:22" s="3" customFormat="1" hidden="1" x14ac:dyDescent="0.45">
      <c r="A84" s="5" t="str">
        <f t="shared" si="3"/>
        <v/>
      </c>
      <c r="B84"/>
      <c r="C84"/>
      <c r="D84"/>
      <c r="E84"/>
      <c r="F84"/>
      <c r="G84"/>
      <c r="H84"/>
      <c r="I84"/>
      <c r="M84" s="4" t="str">
        <f t="shared" si="2"/>
        <v/>
      </c>
      <c r="N84" s="28"/>
      <c r="O84" s="28"/>
      <c r="P84" s="28"/>
      <c r="Q84" s="28"/>
      <c r="R84" s="28"/>
      <c r="S84" s="28"/>
      <c r="T84" s="28"/>
      <c r="U84" s="28"/>
      <c r="V84" s="28"/>
    </row>
    <row r="85" spans="1:22" s="3" customFormat="1" hidden="1" x14ac:dyDescent="0.45">
      <c r="A85" s="5" t="str">
        <f t="shared" si="3"/>
        <v/>
      </c>
      <c r="B85"/>
      <c r="C85"/>
      <c r="D85"/>
      <c r="E85"/>
      <c r="F85"/>
      <c r="G85"/>
      <c r="H85"/>
      <c r="I85"/>
      <c r="M85" s="4" t="str">
        <f t="shared" si="2"/>
        <v/>
      </c>
      <c r="N85" s="28"/>
      <c r="O85" s="28"/>
      <c r="P85" s="28"/>
      <c r="Q85" s="28"/>
      <c r="R85" s="28"/>
      <c r="S85" s="28"/>
      <c r="T85" s="28"/>
      <c r="U85" s="28"/>
      <c r="V85" s="28"/>
    </row>
    <row r="86" spans="1:22" s="3" customFormat="1" hidden="1" x14ac:dyDescent="0.45">
      <c r="A86" s="5" t="str">
        <f t="shared" si="3"/>
        <v/>
      </c>
      <c r="B86"/>
      <c r="C86"/>
      <c r="D86"/>
      <c r="E86"/>
      <c r="F86"/>
      <c r="G86"/>
      <c r="H86"/>
      <c r="I86"/>
      <c r="M86" s="4" t="str">
        <f t="shared" si="2"/>
        <v/>
      </c>
      <c r="N86" s="28"/>
      <c r="O86" s="28"/>
      <c r="P86" s="28"/>
      <c r="Q86" s="28"/>
      <c r="R86" s="28"/>
      <c r="S86" s="28"/>
      <c r="T86" s="28"/>
      <c r="U86" s="28"/>
      <c r="V86" s="28"/>
    </row>
    <row r="87" spans="1:22" s="3" customFormat="1" hidden="1" x14ac:dyDescent="0.45">
      <c r="A87" s="5" t="str">
        <f t="shared" si="3"/>
        <v/>
      </c>
      <c r="B87"/>
      <c r="C87"/>
      <c r="D87"/>
      <c r="E87"/>
      <c r="F87"/>
      <c r="G87"/>
      <c r="H87"/>
      <c r="I87"/>
      <c r="M87" s="4" t="str">
        <f t="shared" si="2"/>
        <v/>
      </c>
      <c r="N87" s="28"/>
      <c r="O87" s="28"/>
      <c r="P87" s="28"/>
      <c r="Q87" s="28"/>
      <c r="R87" s="28"/>
      <c r="S87" s="28"/>
      <c r="T87" s="28"/>
      <c r="U87" s="28"/>
      <c r="V87" s="28"/>
    </row>
    <row r="88" spans="1:22" s="3" customFormat="1" hidden="1" x14ac:dyDescent="0.45">
      <c r="A88" s="5" t="str">
        <f t="shared" si="3"/>
        <v/>
      </c>
      <c r="B88"/>
      <c r="C88"/>
      <c r="D88"/>
      <c r="E88"/>
      <c r="F88"/>
      <c r="G88"/>
      <c r="H88"/>
      <c r="I88"/>
      <c r="M88" s="4" t="str">
        <f t="shared" si="2"/>
        <v/>
      </c>
      <c r="N88" s="28"/>
      <c r="O88" s="28"/>
      <c r="P88" s="28"/>
      <c r="Q88" s="28"/>
      <c r="R88" s="28"/>
      <c r="S88" s="28"/>
      <c r="T88" s="28"/>
      <c r="U88" s="28"/>
      <c r="V88" s="28"/>
    </row>
    <row r="89" spans="1:22" s="3" customFormat="1" hidden="1" x14ac:dyDescent="0.45">
      <c r="A89" s="5" t="str">
        <f t="shared" si="3"/>
        <v/>
      </c>
      <c r="B89"/>
      <c r="C89"/>
      <c r="D89"/>
      <c r="E89"/>
      <c r="F89"/>
      <c r="G89"/>
      <c r="H89"/>
      <c r="I89"/>
      <c r="M89" s="4" t="str">
        <f t="shared" si="2"/>
        <v/>
      </c>
      <c r="N89" s="28"/>
      <c r="O89" s="28"/>
      <c r="P89" s="28"/>
      <c r="Q89" s="28"/>
      <c r="R89" s="28"/>
      <c r="S89" s="28"/>
      <c r="T89" s="28"/>
      <c r="U89" s="28"/>
      <c r="V89" s="28"/>
    </row>
    <row r="90" spans="1:22" s="3" customFormat="1" hidden="1" x14ac:dyDescent="0.45">
      <c r="A90" s="5" t="str">
        <f t="shared" si="3"/>
        <v/>
      </c>
      <c r="B90"/>
      <c r="C90"/>
      <c r="D90"/>
      <c r="E90"/>
      <c r="F90"/>
      <c r="G90"/>
      <c r="H90"/>
      <c r="I90"/>
      <c r="M90" s="4" t="str">
        <f t="shared" si="2"/>
        <v/>
      </c>
      <c r="N90" s="28"/>
      <c r="O90" s="28"/>
      <c r="P90" s="28"/>
      <c r="Q90" s="28"/>
      <c r="R90" s="28"/>
      <c r="S90" s="28"/>
      <c r="T90" s="28"/>
      <c r="U90" s="28"/>
      <c r="V90" s="28"/>
    </row>
    <row r="91" spans="1:22" s="3" customFormat="1" hidden="1" x14ac:dyDescent="0.45">
      <c r="A91" s="5" t="str">
        <f t="shared" si="3"/>
        <v/>
      </c>
      <c r="B91"/>
      <c r="C91"/>
      <c r="D91"/>
      <c r="E91"/>
      <c r="F91"/>
      <c r="G91"/>
      <c r="H91"/>
      <c r="I91"/>
      <c r="M91" s="4" t="str">
        <f t="shared" si="2"/>
        <v/>
      </c>
      <c r="N91" s="28"/>
      <c r="O91" s="28"/>
      <c r="P91" s="28"/>
      <c r="Q91" s="28"/>
      <c r="R91" s="28"/>
      <c r="S91" s="28"/>
      <c r="T91" s="28"/>
      <c r="U91" s="28"/>
      <c r="V91" s="28"/>
    </row>
    <row r="92" spans="1:22" s="3" customFormat="1" hidden="1" x14ac:dyDescent="0.45">
      <c r="A92" s="5" t="str">
        <f t="shared" si="3"/>
        <v/>
      </c>
      <c r="B92"/>
      <c r="C92"/>
      <c r="D92"/>
      <c r="E92"/>
      <c r="F92"/>
      <c r="G92"/>
      <c r="H92"/>
      <c r="I92"/>
      <c r="M92" s="4" t="str">
        <f t="shared" si="2"/>
        <v/>
      </c>
      <c r="N92" s="28"/>
      <c r="O92" s="28"/>
      <c r="P92" s="28"/>
      <c r="Q92" s="28"/>
      <c r="R92" s="28"/>
      <c r="S92" s="28"/>
      <c r="T92" s="28"/>
      <c r="U92" s="28"/>
      <c r="V92" s="28"/>
    </row>
    <row r="93" spans="1:22" s="3" customFormat="1" hidden="1" x14ac:dyDescent="0.45">
      <c r="A93" s="5" t="str">
        <f t="shared" si="3"/>
        <v/>
      </c>
      <c r="B93"/>
      <c r="C93"/>
      <c r="D93"/>
      <c r="E93"/>
      <c r="F93"/>
      <c r="G93"/>
      <c r="H93"/>
      <c r="I93"/>
      <c r="M93" s="4" t="str">
        <f t="shared" si="2"/>
        <v/>
      </c>
      <c r="N93" s="28"/>
      <c r="O93" s="28"/>
      <c r="P93" s="28"/>
      <c r="Q93" s="28"/>
      <c r="R93" s="28"/>
      <c r="S93" s="28"/>
      <c r="T93" s="28"/>
      <c r="U93" s="28"/>
      <c r="V93" s="28"/>
    </row>
    <row r="94" spans="1:22" s="3" customFormat="1" hidden="1" x14ac:dyDescent="0.45">
      <c r="A94" s="5" t="str">
        <f t="shared" si="3"/>
        <v/>
      </c>
      <c r="B94"/>
      <c r="C94"/>
      <c r="D94"/>
      <c r="E94"/>
      <c r="F94"/>
      <c r="G94"/>
      <c r="H94"/>
      <c r="I94"/>
      <c r="M94" s="4" t="str">
        <f t="shared" si="2"/>
        <v/>
      </c>
      <c r="N94" s="28"/>
      <c r="O94" s="28"/>
      <c r="P94" s="28"/>
      <c r="Q94" s="28"/>
      <c r="R94" s="28"/>
      <c r="S94" s="28"/>
      <c r="T94" s="28"/>
      <c r="U94" s="28"/>
      <c r="V94" s="28"/>
    </row>
    <row r="95" spans="1:22" s="3" customFormat="1" hidden="1" x14ac:dyDescent="0.45">
      <c r="A95" s="5" t="str">
        <f t="shared" si="3"/>
        <v/>
      </c>
      <c r="B95"/>
      <c r="C95"/>
      <c r="D95"/>
      <c r="E95"/>
      <c r="F95"/>
      <c r="G95"/>
      <c r="H95"/>
      <c r="I95"/>
      <c r="M95" s="4" t="str">
        <f t="shared" si="2"/>
        <v/>
      </c>
      <c r="N95" s="28"/>
      <c r="O95" s="28"/>
      <c r="P95" s="28"/>
      <c r="Q95" s="28"/>
      <c r="R95" s="28"/>
      <c r="S95" s="28"/>
      <c r="T95" s="28"/>
      <c r="U95" s="28"/>
      <c r="V95" s="28"/>
    </row>
    <row r="96" spans="1:22" s="3" customFormat="1" hidden="1" x14ac:dyDescent="0.45">
      <c r="A96" s="5" t="str">
        <f t="shared" si="3"/>
        <v/>
      </c>
      <c r="B96"/>
      <c r="C96"/>
      <c r="D96"/>
      <c r="E96"/>
      <c r="F96"/>
      <c r="G96"/>
      <c r="H96"/>
      <c r="I96"/>
      <c r="M96" s="4" t="str">
        <f t="shared" si="2"/>
        <v/>
      </c>
      <c r="N96" s="28"/>
      <c r="O96" s="28"/>
      <c r="P96" s="28"/>
      <c r="Q96" s="28"/>
      <c r="R96" s="28"/>
      <c r="S96" s="28"/>
      <c r="T96" s="28"/>
      <c r="U96" s="28"/>
      <c r="V96" s="28"/>
    </row>
    <row r="97" spans="1:22" s="3" customFormat="1" hidden="1" x14ac:dyDescent="0.45">
      <c r="A97" s="5" t="str">
        <f t="shared" si="3"/>
        <v/>
      </c>
      <c r="B97"/>
      <c r="C97"/>
      <c r="D97"/>
      <c r="E97"/>
      <c r="F97"/>
      <c r="G97"/>
      <c r="H97"/>
      <c r="I97"/>
      <c r="M97" s="4" t="str">
        <f t="shared" si="2"/>
        <v/>
      </c>
      <c r="N97" s="28"/>
      <c r="O97" s="28"/>
      <c r="P97" s="28"/>
      <c r="Q97" s="28"/>
      <c r="R97" s="28"/>
      <c r="S97" s="28"/>
      <c r="T97" s="28"/>
      <c r="U97" s="28"/>
      <c r="V97" s="28"/>
    </row>
    <row r="98" spans="1:22" s="3" customFormat="1" hidden="1" x14ac:dyDescent="0.45">
      <c r="A98" s="5" t="str">
        <f t="shared" si="3"/>
        <v/>
      </c>
      <c r="B98"/>
      <c r="C98"/>
      <c r="D98"/>
      <c r="E98"/>
      <c r="F98"/>
      <c r="G98"/>
      <c r="H98"/>
      <c r="I98"/>
      <c r="M98" s="4" t="str">
        <f t="shared" si="2"/>
        <v/>
      </c>
      <c r="N98" s="28"/>
      <c r="O98" s="28"/>
      <c r="P98" s="28"/>
      <c r="Q98" s="28"/>
      <c r="R98" s="28"/>
      <c r="S98" s="28"/>
      <c r="T98" s="28"/>
      <c r="U98" s="28"/>
      <c r="V98" s="28"/>
    </row>
    <row r="99" spans="1:22" s="3" customFormat="1" hidden="1" x14ac:dyDescent="0.45">
      <c r="A99" s="5" t="str">
        <f t="shared" si="3"/>
        <v/>
      </c>
      <c r="B99"/>
      <c r="C99"/>
      <c r="D99"/>
      <c r="E99"/>
      <c r="F99"/>
      <c r="G99"/>
      <c r="H99"/>
      <c r="I99"/>
      <c r="M99" s="4" t="str">
        <f t="shared" si="2"/>
        <v/>
      </c>
      <c r="N99" s="28"/>
      <c r="O99" s="28"/>
      <c r="P99" s="28"/>
      <c r="Q99" s="28"/>
      <c r="R99" s="28"/>
      <c r="S99" s="28"/>
      <c r="T99" s="28"/>
      <c r="U99" s="28"/>
      <c r="V99" s="28"/>
    </row>
    <row r="100" spans="1:22" s="3" customFormat="1" hidden="1" x14ac:dyDescent="0.45">
      <c r="A100" s="5" t="str">
        <f t="shared" si="3"/>
        <v/>
      </c>
      <c r="B100"/>
      <c r="C100"/>
      <c r="D100"/>
      <c r="E100"/>
      <c r="F100"/>
      <c r="G100"/>
      <c r="H100"/>
      <c r="I100"/>
      <c r="M100" s="4" t="str">
        <f t="shared" si="2"/>
        <v/>
      </c>
      <c r="N100" s="28"/>
      <c r="O100" s="28"/>
      <c r="P100" s="28"/>
      <c r="Q100" s="28"/>
      <c r="R100" s="28"/>
      <c r="S100" s="28"/>
      <c r="T100" s="28"/>
      <c r="U100" s="28"/>
      <c r="V100" s="28"/>
    </row>
    <row r="101" spans="1:22" s="3" customFormat="1" ht="14.25" hidden="1" x14ac:dyDescent="0.45">
      <c r="A101" s="5" t="str">
        <f t="shared" si="3"/>
        <v/>
      </c>
      <c r="B101"/>
      <c r="C101"/>
      <c r="D101"/>
      <c r="E101"/>
      <c r="F101"/>
      <c r="G101"/>
      <c r="H101"/>
      <c r="I101"/>
      <c r="M101" s="4" t="str">
        <f t="shared" si="2"/>
        <v/>
      </c>
    </row>
    <row r="102" spans="1:22" s="3" customFormat="1" ht="14.25" hidden="1" x14ac:dyDescent="0.45">
      <c r="A102" s="5" t="str">
        <f t="shared" si="3"/>
        <v/>
      </c>
      <c r="B102"/>
      <c r="C102"/>
      <c r="D102"/>
      <c r="E102"/>
      <c r="F102"/>
      <c r="G102"/>
      <c r="H102"/>
      <c r="I102"/>
      <c r="M102" s="4" t="str">
        <f t="shared" si="2"/>
        <v/>
      </c>
    </row>
    <row r="103" spans="1:22" s="3" customFormat="1" ht="14.25" hidden="1" x14ac:dyDescent="0.45">
      <c r="A103" s="5" t="str">
        <f t="shared" si="3"/>
        <v/>
      </c>
      <c r="B103"/>
      <c r="C103"/>
      <c r="D103"/>
      <c r="E103"/>
      <c r="F103"/>
      <c r="G103"/>
      <c r="H103"/>
      <c r="I103"/>
      <c r="M103" s="4" t="str">
        <f t="shared" si="2"/>
        <v/>
      </c>
    </row>
    <row r="104" spans="1:22" s="3" customFormat="1" ht="14.25" hidden="1" x14ac:dyDescent="0.45">
      <c r="A104" s="5" t="str">
        <f t="shared" si="3"/>
        <v/>
      </c>
      <c r="B104"/>
      <c r="C104"/>
      <c r="D104"/>
      <c r="E104"/>
      <c r="F104"/>
      <c r="G104"/>
      <c r="H104"/>
      <c r="I104"/>
      <c r="M104" s="4" t="str">
        <f t="shared" si="2"/>
        <v/>
      </c>
    </row>
    <row r="105" spans="1:22" s="3" customFormat="1" ht="14.25" hidden="1" x14ac:dyDescent="0.45">
      <c r="A105" s="5" t="str">
        <f t="shared" si="3"/>
        <v/>
      </c>
      <c r="B105"/>
      <c r="C105"/>
      <c r="D105"/>
      <c r="E105"/>
      <c r="F105"/>
      <c r="G105"/>
      <c r="H105"/>
      <c r="I105"/>
      <c r="M105" s="4" t="str">
        <f t="shared" si="2"/>
        <v/>
      </c>
    </row>
    <row r="106" spans="1:22" s="3" customFormat="1" ht="14.25" hidden="1" x14ac:dyDescent="0.45">
      <c r="A106" s="5" t="str">
        <f>IF(M106 ="visible",IF(B106 = "Gesamtergebnis","",A105+1),"")</f>
        <v/>
      </c>
      <c r="B106"/>
      <c r="C106"/>
      <c r="D106"/>
      <c r="E106"/>
      <c r="F106"/>
      <c r="G106"/>
      <c r="H106"/>
      <c r="I106"/>
      <c r="M106" s="4" t="str">
        <f t="shared" si="2"/>
        <v/>
      </c>
    </row>
    <row r="107" spans="1:22" s="3" customFormat="1" ht="14.25" x14ac:dyDescent="0.45">
      <c r="A107" s="5"/>
      <c r="B107" s="156" t="s">
        <v>136</v>
      </c>
      <c r="C107"/>
      <c r="D107"/>
      <c r="E107"/>
      <c r="F107"/>
      <c r="G107"/>
      <c r="H107"/>
      <c r="I107"/>
      <c r="M107" s="4" t="str">
        <f t="shared" si="2"/>
        <v>visible</v>
      </c>
    </row>
    <row r="108" spans="1:22" x14ac:dyDescent="0.45">
      <c r="A108" s="7"/>
      <c r="B108" s="196" t="s">
        <v>523</v>
      </c>
      <c r="C108" s="192" t="s">
        <v>244</v>
      </c>
      <c r="M108" s="4" t="str">
        <f t="shared" si="2"/>
        <v>visible</v>
      </c>
    </row>
    <row r="109" spans="1:22" s="3" customFormat="1" ht="13.9" hidden="1" x14ac:dyDescent="0.4">
      <c r="A109" s="5"/>
      <c r="M109" s="4" t="str">
        <f t="shared" si="2"/>
        <v/>
      </c>
    </row>
    <row r="110" spans="1:22" x14ac:dyDescent="0.45">
      <c r="A110" s="8"/>
      <c r="B110" s="202" t="s">
        <v>5</v>
      </c>
      <c r="C110" s="202" t="s">
        <v>7</v>
      </c>
      <c r="D110" s="202" t="s">
        <v>23</v>
      </c>
      <c r="E110" s="202" t="s">
        <v>14</v>
      </c>
      <c r="F110" s="203" t="s">
        <v>135</v>
      </c>
      <c r="G110" s="192" t="s">
        <v>257</v>
      </c>
      <c r="H110" s="192" t="s">
        <v>258</v>
      </c>
      <c r="I110" s="203" t="s">
        <v>263</v>
      </c>
      <c r="J110"/>
      <c r="M110" s="4" t="str">
        <f t="shared" si="2"/>
        <v>visible</v>
      </c>
    </row>
    <row r="111" spans="1:22" x14ac:dyDescent="0.45">
      <c r="A111" s="5">
        <f>IF(M111 ="visible",IF(B111 = "Total","",A110+1),"")</f>
        <v>1</v>
      </c>
      <c r="B111" s="192" t="s">
        <v>167</v>
      </c>
      <c r="C111" s="192" t="s">
        <v>2</v>
      </c>
      <c r="D111" s="192" t="s">
        <v>96</v>
      </c>
      <c r="E111" s="192" t="s">
        <v>133</v>
      </c>
      <c r="F111" s="194">
        <v>27425.668622857276</v>
      </c>
      <c r="G111" s="194">
        <v>0</v>
      </c>
      <c r="H111" s="194">
        <v>27425.668622857276</v>
      </c>
      <c r="I111" s="194">
        <v>0</v>
      </c>
      <c r="J111"/>
      <c r="M111" s="4" t="str">
        <f t="shared" si="2"/>
        <v>visible</v>
      </c>
    </row>
    <row r="112" spans="1:22" x14ac:dyDescent="0.45">
      <c r="A112" s="5">
        <f t="shared" ref="A112:A175" si="4">IF(M112 ="visible",IF(B112 = "Total","",A111+1),"")</f>
        <v>2</v>
      </c>
      <c r="B112" s="192" t="s">
        <v>168</v>
      </c>
      <c r="C112" s="192" t="s">
        <v>2</v>
      </c>
      <c r="D112" s="192" t="s">
        <v>0</v>
      </c>
      <c r="E112" s="192" t="s">
        <v>169</v>
      </c>
      <c r="F112" s="194">
        <v>33333</v>
      </c>
      <c r="G112" s="194">
        <v>0</v>
      </c>
      <c r="H112" s="194">
        <v>33333</v>
      </c>
      <c r="I112" s="194">
        <v>0</v>
      </c>
      <c r="J112"/>
      <c r="M112" s="4" t="str">
        <f t="shared" si="2"/>
        <v>visible</v>
      </c>
    </row>
    <row r="113" spans="1:22" x14ac:dyDescent="0.45">
      <c r="A113" s="5">
        <f t="shared" si="4"/>
        <v>3</v>
      </c>
      <c r="B113" s="192" t="s">
        <v>350</v>
      </c>
      <c r="C113" s="192" t="s">
        <v>2</v>
      </c>
      <c r="D113" s="192" t="s">
        <v>0</v>
      </c>
      <c r="E113" s="192" t="s">
        <v>344</v>
      </c>
      <c r="F113" s="194">
        <v>16063.575113808802</v>
      </c>
      <c r="G113" s="194">
        <v>0</v>
      </c>
      <c r="H113" s="194">
        <v>16063.575113808802</v>
      </c>
      <c r="I113" s="194">
        <v>0</v>
      </c>
      <c r="J113"/>
      <c r="M113" s="4" t="str">
        <f t="shared" si="2"/>
        <v>visible</v>
      </c>
    </row>
    <row r="114" spans="1:22" x14ac:dyDescent="0.45">
      <c r="A114" s="5">
        <f t="shared" si="4"/>
        <v>4</v>
      </c>
      <c r="B114" s="192" t="s">
        <v>356</v>
      </c>
      <c r="C114" s="192" t="s">
        <v>2</v>
      </c>
      <c r="D114" s="192" t="s">
        <v>0</v>
      </c>
      <c r="E114" s="192" t="s">
        <v>358</v>
      </c>
      <c r="F114" s="194">
        <v>60331.825037707393</v>
      </c>
      <c r="G114" s="194">
        <v>0</v>
      </c>
      <c r="H114" s="194">
        <v>60331.825037707393</v>
      </c>
      <c r="I114" s="194">
        <v>0</v>
      </c>
      <c r="J114"/>
      <c r="M114" s="4" t="str">
        <f t="shared" si="2"/>
        <v>visible</v>
      </c>
    </row>
    <row r="115" spans="1:22" x14ac:dyDescent="0.45">
      <c r="A115" s="5">
        <f t="shared" si="4"/>
        <v>5</v>
      </c>
      <c r="B115" s="192" t="s">
        <v>379</v>
      </c>
      <c r="C115" s="192" t="s">
        <v>2</v>
      </c>
      <c r="D115" s="192" t="s">
        <v>0</v>
      </c>
      <c r="E115" s="192" t="s">
        <v>555</v>
      </c>
      <c r="F115" s="194">
        <v>77605.321507760542</v>
      </c>
      <c r="G115" s="194">
        <v>0</v>
      </c>
      <c r="H115" s="194">
        <v>77605.321507760542</v>
      </c>
      <c r="I115" s="194">
        <v>0</v>
      </c>
      <c r="J115"/>
      <c r="M115" s="4" t="str">
        <f t="shared" si="2"/>
        <v>visible</v>
      </c>
    </row>
    <row r="116" spans="1:22" x14ac:dyDescent="0.45">
      <c r="A116" s="5">
        <f t="shared" si="4"/>
        <v>6</v>
      </c>
      <c r="B116" s="192" t="s">
        <v>381</v>
      </c>
      <c r="C116" s="192" t="s">
        <v>2</v>
      </c>
      <c r="D116" s="192" t="s">
        <v>0</v>
      </c>
      <c r="E116" s="192" t="s">
        <v>383</v>
      </c>
      <c r="F116" s="194">
        <v>45112.781954887214</v>
      </c>
      <c r="G116" s="194">
        <v>0</v>
      </c>
      <c r="H116" s="194">
        <v>45112.781954887214</v>
      </c>
      <c r="I116" s="194">
        <v>0</v>
      </c>
      <c r="J116"/>
      <c r="M116" s="4" t="str">
        <f t="shared" si="2"/>
        <v>visible</v>
      </c>
    </row>
    <row r="117" spans="1:22" x14ac:dyDescent="0.45">
      <c r="A117" s="5">
        <f t="shared" si="4"/>
        <v>7</v>
      </c>
      <c r="B117" s="192" t="s">
        <v>388</v>
      </c>
      <c r="C117" s="192" t="s">
        <v>2</v>
      </c>
      <c r="D117" s="192" t="s">
        <v>96</v>
      </c>
      <c r="E117" s="192" t="s">
        <v>453</v>
      </c>
      <c r="F117" s="194">
        <v>1090208.9953840089</v>
      </c>
      <c r="G117" s="194">
        <v>0</v>
      </c>
      <c r="H117" s="194">
        <v>1090208.9953840089</v>
      </c>
      <c r="I117" s="194">
        <v>0</v>
      </c>
      <c r="J117"/>
      <c r="M117" s="4" t="str">
        <f t="shared" si="2"/>
        <v>visible</v>
      </c>
    </row>
    <row r="118" spans="1:22" x14ac:dyDescent="0.45">
      <c r="A118" s="5">
        <f t="shared" si="4"/>
        <v>8</v>
      </c>
      <c r="B118" s="192" t="s">
        <v>430</v>
      </c>
      <c r="C118" s="192" t="s">
        <v>2</v>
      </c>
      <c r="D118" s="192" t="s">
        <v>0</v>
      </c>
      <c r="E118" s="192" t="s">
        <v>426</v>
      </c>
      <c r="F118" s="194">
        <v>83273.410498480676</v>
      </c>
      <c r="G118" s="194">
        <v>0</v>
      </c>
      <c r="H118" s="194">
        <v>83273.410498480676</v>
      </c>
      <c r="I118" s="194">
        <v>0</v>
      </c>
      <c r="J118"/>
      <c r="M118" s="4" t="str">
        <f t="shared" si="2"/>
        <v>visible</v>
      </c>
    </row>
    <row r="119" spans="1:22" s="3" customFormat="1" x14ac:dyDescent="0.45">
      <c r="A119" s="5">
        <f t="shared" si="4"/>
        <v>9</v>
      </c>
      <c r="B119" s="192" t="s">
        <v>478</v>
      </c>
      <c r="C119" s="192" t="s">
        <v>1</v>
      </c>
      <c r="D119" s="192" t="s">
        <v>0</v>
      </c>
      <c r="E119" s="192" t="s">
        <v>475</v>
      </c>
      <c r="F119" s="194">
        <v>250000</v>
      </c>
      <c r="G119" s="194">
        <v>250000</v>
      </c>
      <c r="H119" s="194">
        <v>0</v>
      </c>
      <c r="I119" s="194">
        <v>0</v>
      </c>
      <c r="M119" s="4" t="str">
        <f t="shared" si="2"/>
        <v>visible</v>
      </c>
      <c r="N119" s="28"/>
      <c r="O119" s="28"/>
      <c r="P119" s="28"/>
      <c r="Q119" s="28"/>
      <c r="R119" s="28"/>
      <c r="S119" s="28"/>
      <c r="T119" s="28"/>
      <c r="U119" s="28"/>
      <c r="V119" s="28"/>
    </row>
    <row r="120" spans="1:22" s="3" customFormat="1" x14ac:dyDescent="0.45">
      <c r="A120" s="5">
        <f t="shared" si="4"/>
        <v>10</v>
      </c>
      <c r="B120" s="192" t="s">
        <v>494</v>
      </c>
      <c r="C120" s="192" t="s">
        <v>1</v>
      </c>
      <c r="D120" s="192" t="s">
        <v>0</v>
      </c>
      <c r="E120" s="192" t="s">
        <v>495</v>
      </c>
      <c r="F120" s="194">
        <v>3000000</v>
      </c>
      <c r="G120" s="194">
        <v>3000000</v>
      </c>
      <c r="H120" s="194">
        <v>0</v>
      </c>
      <c r="I120" s="194">
        <v>0</v>
      </c>
      <c r="M120" s="4" t="str">
        <f t="shared" si="2"/>
        <v>visible</v>
      </c>
      <c r="N120" s="28"/>
      <c r="O120" s="28"/>
      <c r="P120" s="28"/>
      <c r="Q120" s="28"/>
      <c r="R120" s="28"/>
      <c r="S120" s="28"/>
      <c r="T120" s="28"/>
      <c r="U120" s="28"/>
      <c r="V120" s="28"/>
    </row>
    <row r="121" spans="1:22" s="3" customFormat="1" x14ac:dyDescent="0.45">
      <c r="A121" s="5">
        <f t="shared" si="4"/>
        <v>11</v>
      </c>
      <c r="B121" s="192" t="s">
        <v>491</v>
      </c>
      <c r="C121" s="192" t="s">
        <v>1</v>
      </c>
      <c r="D121" s="192" t="s">
        <v>96</v>
      </c>
      <c r="E121" s="192" t="s">
        <v>569</v>
      </c>
      <c r="F121" s="194">
        <v>10000</v>
      </c>
      <c r="G121" s="194">
        <v>10000</v>
      </c>
      <c r="H121" s="194">
        <v>0</v>
      </c>
      <c r="I121" s="194">
        <v>0</v>
      </c>
      <c r="M121" s="4" t="str">
        <f t="shared" si="2"/>
        <v>visible</v>
      </c>
      <c r="N121" s="28"/>
      <c r="O121" s="28"/>
      <c r="P121" s="28"/>
      <c r="Q121" s="28"/>
      <c r="R121" s="28"/>
      <c r="S121" s="28"/>
      <c r="T121" s="28"/>
      <c r="U121" s="28"/>
      <c r="V121" s="28"/>
    </row>
    <row r="122" spans="1:22" s="3" customFormat="1" x14ac:dyDescent="0.45">
      <c r="A122" s="5">
        <f t="shared" si="4"/>
        <v>12</v>
      </c>
      <c r="B122" s="192" t="s">
        <v>579</v>
      </c>
      <c r="C122" s="192" t="s">
        <v>2</v>
      </c>
      <c r="D122" s="192" t="s">
        <v>0</v>
      </c>
      <c r="E122" s="192" t="s">
        <v>399</v>
      </c>
      <c r="F122" s="194">
        <v>14335.088492496116</v>
      </c>
      <c r="G122" s="194">
        <v>0</v>
      </c>
      <c r="H122" s="194">
        <v>14335.088492496116</v>
      </c>
      <c r="I122" s="194">
        <v>0</v>
      </c>
      <c r="M122" s="4" t="str">
        <f t="shared" si="2"/>
        <v>visible</v>
      </c>
      <c r="N122" s="28"/>
      <c r="O122" s="28"/>
      <c r="P122" s="28"/>
      <c r="Q122" s="28"/>
      <c r="R122" s="28"/>
      <c r="S122" s="28"/>
      <c r="T122" s="28"/>
      <c r="U122" s="28"/>
      <c r="V122" s="28"/>
    </row>
    <row r="123" spans="1:22" s="3" customFormat="1" x14ac:dyDescent="0.45">
      <c r="A123" s="5">
        <f t="shared" si="4"/>
        <v>13</v>
      </c>
      <c r="B123" s="192" t="s">
        <v>590</v>
      </c>
      <c r="C123" s="192" t="s">
        <v>2</v>
      </c>
      <c r="D123" s="192" t="s">
        <v>96</v>
      </c>
      <c r="E123" s="192" t="s">
        <v>453</v>
      </c>
      <c r="F123" s="194">
        <v>1043817.1232400084</v>
      </c>
      <c r="G123" s="194">
        <v>0</v>
      </c>
      <c r="H123" s="194">
        <v>1043817.1232400084</v>
      </c>
      <c r="I123" s="194">
        <v>0</v>
      </c>
      <c r="M123" s="4" t="str">
        <f t="shared" si="2"/>
        <v>visible</v>
      </c>
      <c r="N123" s="28"/>
      <c r="O123" s="28"/>
      <c r="P123" s="28"/>
      <c r="Q123" s="28"/>
      <c r="R123" s="28"/>
      <c r="S123" s="28"/>
      <c r="T123" s="28"/>
      <c r="U123" s="28"/>
      <c r="V123" s="28"/>
    </row>
    <row r="124" spans="1:22" s="3" customFormat="1" x14ac:dyDescent="0.45">
      <c r="A124" s="5">
        <f t="shared" si="4"/>
        <v>14</v>
      </c>
      <c r="B124" s="192" t="s">
        <v>592</v>
      </c>
      <c r="C124" s="192" t="s">
        <v>2</v>
      </c>
      <c r="D124" s="192" t="s">
        <v>96</v>
      </c>
      <c r="E124" s="192" t="s">
        <v>133</v>
      </c>
      <c r="F124" s="194">
        <v>8100.8500344008698</v>
      </c>
      <c r="G124" s="194">
        <v>0</v>
      </c>
      <c r="H124" s="194">
        <v>8100.8500344008698</v>
      </c>
      <c r="I124" s="194">
        <v>0</v>
      </c>
      <c r="M124" s="4" t="str">
        <f t="shared" si="2"/>
        <v>visible</v>
      </c>
      <c r="N124" s="28"/>
      <c r="O124" s="28"/>
      <c r="P124" s="28"/>
      <c r="Q124" s="28"/>
      <c r="R124" s="28"/>
      <c r="S124" s="28"/>
      <c r="T124" s="28"/>
      <c r="U124" s="28"/>
      <c r="V124" s="28"/>
    </row>
    <row r="125" spans="1:22" s="3" customFormat="1" x14ac:dyDescent="0.45">
      <c r="A125" s="5">
        <f t="shared" si="4"/>
        <v>15</v>
      </c>
      <c r="B125" s="192" t="s">
        <v>600</v>
      </c>
      <c r="C125" s="192" t="s">
        <v>1</v>
      </c>
      <c r="D125" s="192" t="s">
        <v>96</v>
      </c>
      <c r="E125" s="192" t="s">
        <v>599</v>
      </c>
      <c r="F125" s="194">
        <v>669614</v>
      </c>
      <c r="G125" s="194">
        <v>219614</v>
      </c>
      <c r="H125" s="194">
        <v>0</v>
      </c>
      <c r="I125" s="194">
        <v>450000</v>
      </c>
      <c r="M125" s="4" t="str">
        <f t="shared" si="2"/>
        <v>visible</v>
      </c>
      <c r="N125" s="28"/>
      <c r="O125" s="28"/>
      <c r="P125" s="28"/>
      <c r="Q125" s="28"/>
      <c r="R125" s="28"/>
      <c r="S125" s="28"/>
      <c r="T125" s="28"/>
      <c r="U125" s="28"/>
      <c r="V125" s="28"/>
    </row>
    <row r="126" spans="1:22" s="3" customFormat="1" x14ac:dyDescent="0.45">
      <c r="A126" s="5">
        <f t="shared" si="4"/>
        <v>16</v>
      </c>
      <c r="B126" s="192" t="s">
        <v>627</v>
      </c>
      <c r="C126" s="192" t="s">
        <v>2</v>
      </c>
      <c r="D126" s="192" t="s">
        <v>96</v>
      </c>
      <c r="E126" s="192" t="s">
        <v>545</v>
      </c>
      <c r="F126" s="194">
        <v>0</v>
      </c>
      <c r="G126" s="194">
        <v>0</v>
      </c>
      <c r="H126" s="194">
        <v>0</v>
      </c>
      <c r="I126" s="194">
        <v>0</v>
      </c>
      <c r="M126" s="4" t="str">
        <f t="shared" si="2"/>
        <v>visible</v>
      </c>
      <c r="N126" s="28"/>
      <c r="O126" s="28"/>
      <c r="P126" s="28"/>
      <c r="Q126" s="28"/>
      <c r="R126" s="28"/>
      <c r="S126" s="28"/>
      <c r="T126" s="28"/>
      <c r="U126" s="28"/>
      <c r="V126" s="28"/>
    </row>
    <row r="127" spans="1:22" s="3" customFormat="1" x14ac:dyDescent="0.45">
      <c r="A127" s="5">
        <f t="shared" si="4"/>
        <v>17</v>
      </c>
      <c r="B127" s="192" t="s">
        <v>626</v>
      </c>
      <c r="C127" s="192" t="s">
        <v>2</v>
      </c>
      <c r="D127" s="192" t="s">
        <v>0</v>
      </c>
      <c r="E127" s="192" t="s">
        <v>545</v>
      </c>
      <c r="F127" s="194">
        <v>470219.43573667714</v>
      </c>
      <c r="G127" s="194">
        <v>0</v>
      </c>
      <c r="H127" s="194">
        <v>470219.43573667714</v>
      </c>
      <c r="I127" s="194">
        <v>0</v>
      </c>
      <c r="M127" s="4" t="str">
        <f t="shared" si="2"/>
        <v>visible</v>
      </c>
      <c r="N127" s="28"/>
      <c r="O127" s="28"/>
      <c r="P127" s="28"/>
      <c r="Q127" s="28"/>
      <c r="R127" s="28"/>
      <c r="S127" s="28"/>
      <c r="T127" s="28"/>
      <c r="U127" s="28"/>
      <c r="V127" s="28"/>
    </row>
    <row r="128" spans="1:22" s="3" customFormat="1" x14ac:dyDescent="0.45">
      <c r="A128" s="5">
        <f t="shared" si="4"/>
        <v>18</v>
      </c>
      <c r="B128" s="192" t="s">
        <v>634</v>
      </c>
      <c r="C128" s="192" t="s">
        <v>2</v>
      </c>
      <c r="D128" s="192" t="s">
        <v>96</v>
      </c>
      <c r="E128" s="192" t="s">
        <v>545</v>
      </c>
      <c r="F128" s="194">
        <v>649378.68338557996</v>
      </c>
      <c r="G128" s="194">
        <v>0</v>
      </c>
      <c r="H128" s="194">
        <v>649378.68338557996</v>
      </c>
      <c r="I128" s="194">
        <v>0</v>
      </c>
      <c r="M128" s="4" t="str">
        <f t="shared" si="2"/>
        <v>visible</v>
      </c>
      <c r="N128" s="28"/>
      <c r="O128" s="28"/>
      <c r="P128" s="28"/>
      <c r="Q128" s="28"/>
      <c r="R128" s="28"/>
      <c r="S128" s="28"/>
      <c r="T128" s="28"/>
      <c r="U128" s="28"/>
      <c r="V128" s="28"/>
    </row>
    <row r="129" spans="1:22" s="3" customFormat="1" x14ac:dyDescent="0.45">
      <c r="A129" s="5">
        <f t="shared" si="4"/>
        <v>19</v>
      </c>
      <c r="B129" s="192" t="s">
        <v>686</v>
      </c>
      <c r="C129" s="192" t="s">
        <v>2</v>
      </c>
      <c r="D129" s="192" t="s">
        <v>0</v>
      </c>
      <c r="E129" s="192" t="s">
        <v>757</v>
      </c>
      <c r="F129" s="194">
        <v>11433.385579937305</v>
      </c>
      <c r="G129" s="194">
        <v>0</v>
      </c>
      <c r="H129" s="194">
        <v>11433.385579937305</v>
      </c>
      <c r="I129" s="194">
        <v>0</v>
      </c>
      <c r="M129" s="4" t="str">
        <f t="shared" si="2"/>
        <v>visible</v>
      </c>
      <c r="N129" s="28"/>
      <c r="O129" s="28"/>
      <c r="P129" s="28"/>
      <c r="Q129" s="28"/>
      <c r="R129" s="28"/>
      <c r="S129" s="28"/>
      <c r="T129" s="28"/>
      <c r="U129" s="28"/>
      <c r="V129" s="28"/>
    </row>
    <row r="130" spans="1:22" s="3" customFormat="1" x14ac:dyDescent="0.45">
      <c r="A130" s="5">
        <f t="shared" si="4"/>
        <v>20</v>
      </c>
      <c r="B130" s="192" t="s">
        <v>663</v>
      </c>
      <c r="C130" s="192" t="s">
        <v>2</v>
      </c>
      <c r="D130" s="192" t="s">
        <v>96</v>
      </c>
      <c r="E130" s="192" t="s">
        <v>545</v>
      </c>
      <c r="F130" s="194">
        <v>20597.014925373132</v>
      </c>
      <c r="G130" s="194">
        <v>0</v>
      </c>
      <c r="H130" s="194">
        <v>20597.014925373132</v>
      </c>
      <c r="I130" s="194">
        <v>0</v>
      </c>
      <c r="M130" s="4" t="str">
        <f t="shared" si="2"/>
        <v>visible</v>
      </c>
      <c r="N130" s="28"/>
      <c r="O130" s="28"/>
      <c r="P130" s="28"/>
      <c r="Q130" s="28"/>
      <c r="R130" s="28"/>
      <c r="S130" s="28"/>
      <c r="T130" s="28"/>
      <c r="U130" s="28"/>
      <c r="V130" s="28"/>
    </row>
    <row r="131" spans="1:22" s="3" customFormat="1" x14ac:dyDescent="0.45">
      <c r="A131" s="5">
        <f t="shared" si="4"/>
        <v>21</v>
      </c>
      <c r="B131" s="192" t="s">
        <v>675</v>
      </c>
      <c r="C131" s="192" t="s">
        <v>2</v>
      </c>
      <c r="D131" s="192" t="s">
        <v>0</v>
      </c>
      <c r="E131" s="192" t="s">
        <v>426</v>
      </c>
      <c r="F131" s="194">
        <v>122388.05970149253</v>
      </c>
      <c r="G131" s="194">
        <v>0</v>
      </c>
      <c r="H131" s="194">
        <v>122388.05970149253</v>
      </c>
      <c r="I131" s="194">
        <v>0</v>
      </c>
      <c r="M131" s="4" t="str">
        <f t="shared" si="2"/>
        <v>visible</v>
      </c>
      <c r="N131" s="28"/>
      <c r="O131" s="28"/>
      <c r="P131" s="28"/>
      <c r="Q131" s="28"/>
      <c r="R131" s="28"/>
      <c r="S131" s="28"/>
      <c r="T131" s="28"/>
      <c r="U131" s="28"/>
      <c r="V131" s="28"/>
    </row>
    <row r="132" spans="1:22" s="3" customFormat="1" x14ac:dyDescent="0.45">
      <c r="A132" s="5">
        <f t="shared" si="4"/>
        <v>22</v>
      </c>
      <c r="B132" s="192" t="s">
        <v>672</v>
      </c>
      <c r="C132" s="192" t="s">
        <v>2</v>
      </c>
      <c r="D132" s="192" t="s">
        <v>96</v>
      </c>
      <c r="E132" s="192" t="s">
        <v>673</v>
      </c>
      <c r="F132" s="194">
        <v>119402.98507462686</v>
      </c>
      <c r="G132" s="194">
        <v>0</v>
      </c>
      <c r="H132" s="194">
        <v>119402.98507462686</v>
      </c>
      <c r="I132" s="194">
        <v>0</v>
      </c>
      <c r="M132" s="4" t="str">
        <f t="shared" si="2"/>
        <v>visible</v>
      </c>
      <c r="N132" s="28"/>
      <c r="O132" s="28"/>
      <c r="P132" s="28"/>
      <c r="Q132" s="28"/>
      <c r="R132" s="28"/>
      <c r="S132" s="28"/>
      <c r="T132" s="28"/>
      <c r="U132" s="28"/>
      <c r="V132" s="28"/>
    </row>
    <row r="133" spans="1:22" s="3" customFormat="1" x14ac:dyDescent="0.45">
      <c r="A133" s="5">
        <f t="shared" si="4"/>
        <v>23</v>
      </c>
      <c r="B133" s="192" t="s">
        <v>676</v>
      </c>
      <c r="C133" s="192" t="s">
        <v>2</v>
      </c>
      <c r="D133" s="192" t="s">
        <v>0</v>
      </c>
      <c r="E133" s="192" t="s">
        <v>206</v>
      </c>
      <c r="F133" s="194">
        <v>70895.522388059704</v>
      </c>
      <c r="G133" s="194">
        <v>0</v>
      </c>
      <c r="H133" s="194">
        <v>70895.522388059704</v>
      </c>
      <c r="I133" s="194">
        <v>0</v>
      </c>
      <c r="M133" s="4" t="str">
        <f t="shared" ref="M133:M196" si="5">IF(B133&lt;&gt;"","visible","")</f>
        <v>visible</v>
      </c>
      <c r="N133" s="28"/>
      <c r="O133" s="28"/>
      <c r="P133" s="28"/>
      <c r="Q133" s="28"/>
      <c r="R133" s="28"/>
      <c r="S133" s="28"/>
      <c r="T133" s="28"/>
      <c r="U133" s="28"/>
      <c r="V133" s="28"/>
    </row>
    <row r="134" spans="1:22" s="3" customFormat="1" x14ac:dyDescent="0.45">
      <c r="A134" s="5">
        <f t="shared" si="4"/>
        <v>24</v>
      </c>
      <c r="B134" s="192" t="s">
        <v>697</v>
      </c>
      <c r="C134" s="192" t="s">
        <v>1</v>
      </c>
      <c r="D134" s="192" t="s">
        <v>0</v>
      </c>
      <c r="E134" s="192" t="s">
        <v>699</v>
      </c>
      <c r="F134" s="194">
        <v>29000</v>
      </c>
      <c r="G134" s="194">
        <v>29000</v>
      </c>
      <c r="H134" s="194">
        <v>0</v>
      </c>
      <c r="I134" s="194">
        <v>0</v>
      </c>
      <c r="M134" s="4" t="str">
        <f t="shared" si="5"/>
        <v>visible</v>
      </c>
      <c r="N134" s="28"/>
      <c r="O134" s="28"/>
      <c r="P134" s="28"/>
      <c r="Q134" s="28"/>
      <c r="R134" s="28"/>
      <c r="S134" s="28"/>
      <c r="T134" s="28"/>
      <c r="U134" s="28"/>
      <c r="V134" s="28"/>
    </row>
    <row r="135" spans="1:22" s="3" customFormat="1" x14ac:dyDescent="0.45">
      <c r="A135" s="5">
        <f t="shared" si="4"/>
        <v>25</v>
      </c>
      <c r="B135" s="192" t="s">
        <v>726</v>
      </c>
      <c r="C135" s="192" t="s">
        <v>2</v>
      </c>
      <c r="D135" s="192" t="s">
        <v>0</v>
      </c>
      <c r="E135" s="192" t="s">
        <v>744</v>
      </c>
      <c r="F135" s="194">
        <v>0</v>
      </c>
      <c r="G135" s="194">
        <v>0</v>
      </c>
      <c r="H135" s="194">
        <v>0</v>
      </c>
      <c r="I135" s="194">
        <v>0</v>
      </c>
      <c r="M135" s="4" t="str">
        <f t="shared" si="5"/>
        <v>visible</v>
      </c>
      <c r="N135" s="28"/>
      <c r="O135" s="28"/>
      <c r="P135" s="28"/>
      <c r="Q135" s="28"/>
      <c r="R135" s="28"/>
      <c r="S135" s="28"/>
      <c r="T135" s="28"/>
      <c r="U135" s="28"/>
      <c r="V135" s="28"/>
    </row>
    <row r="136" spans="1:22" s="3" customFormat="1" x14ac:dyDescent="0.45">
      <c r="A136" s="5">
        <f t="shared" si="4"/>
        <v>26</v>
      </c>
      <c r="B136" s="192" t="s">
        <v>750</v>
      </c>
      <c r="C136" s="192" t="s">
        <v>97</v>
      </c>
      <c r="D136" s="192" t="s">
        <v>0</v>
      </c>
      <c r="E136" s="192" t="s">
        <v>545</v>
      </c>
      <c r="F136" s="194">
        <v>876171.24394184165</v>
      </c>
      <c r="G136" s="194">
        <v>150000</v>
      </c>
      <c r="H136" s="194">
        <v>241518.57835218092</v>
      </c>
      <c r="I136" s="194">
        <v>484652.6655896607</v>
      </c>
      <c r="M136" s="4" t="str">
        <f t="shared" si="5"/>
        <v>visible</v>
      </c>
      <c r="N136" s="28"/>
      <c r="O136" s="28"/>
      <c r="P136" s="28"/>
      <c r="Q136" s="28"/>
      <c r="R136" s="28"/>
      <c r="S136" s="28"/>
      <c r="T136" s="28"/>
      <c r="U136" s="28"/>
      <c r="V136" s="28"/>
    </row>
    <row r="137" spans="1:22" s="3" customFormat="1" x14ac:dyDescent="0.45">
      <c r="A137" s="5">
        <f t="shared" si="4"/>
        <v>27</v>
      </c>
      <c r="B137" s="192" t="s">
        <v>817</v>
      </c>
      <c r="C137" s="192" t="s">
        <v>97</v>
      </c>
      <c r="D137" s="192" t="s">
        <v>96</v>
      </c>
      <c r="E137" s="192" t="s">
        <v>157</v>
      </c>
      <c r="F137" s="194">
        <v>17160</v>
      </c>
      <c r="G137" s="194">
        <v>17160</v>
      </c>
      <c r="H137" s="194">
        <v>0</v>
      </c>
      <c r="I137" s="194">
        <v>0</v>
      </c>
      <c r="M137" s="4" t="str">
        <f t="shared" si="5"/>
        <v>visible</v>
      </c>
      <c r="N137" s="28"/>
      <c r="O137" s="28"/>
      <c r="P137" s="28"/>
      <c r="Q137" s="28"/>
      <c r="R137" s="28"/>
      <c r="S137" s="28"/>
      <c r="T137" s="28"/>
      <c r="U137" s="28"/>
      <c r="V137" s="28"/>
    </row>
    <row r="138" spans="1:22" s="3" customFormat="1" x14ac:dyDescent="0.45">
      <c r="A138" s="5">
        <f t="shared" si="4"/>
        <v>28</v>
      </c>
      <c r="B138" s="192" t="s">
        <v>824</v>
      </c>
      <c r="C138" s="192" t="s">
        <v>2</v>
      </c>
      <c r="D138" s="192" t="s">
        <v>0</v>
      </c>
      <c r="E138" s="192" t="s">
        <v>748</v>
      </c>
      <c r="F138" s="194">
        <v>42444.821731748729</v>
      </c>
      <c r="G138" s="194">
        <v>0</v>
      </c>
      <c r="H138" s="194">
        <v>42444.821731748729</v>
      </c>
      <c r="I138" s="194">
        <v>0</v>
      </c>
      <c r="M138" s="4" t="str">
        <f t="shared" si="5"/>
        <v>visible</v>
      </c>
      <c r="N138" s="28"/>
      <c r="O138" s="28"/>
      <c r="P138" s="28"/>
      <c r="Q138" s="28"/>
      <c r="R138" s="28"/>
      <c r="S138" s="28"/>
      <c r="T138" s="28"/>
      <c r="U138" s="28"/>
      <c r="V138" s="28"/>
    </row>
    <row r="139" spans="1:22" s="3" customFormat="1" x14ac:dyDescent="0.45">
      <c r="A139" s="5" t="str">
        <f t="shared" si="4"/>
        <v/>
      </c>
      <c r="B139" s="202" t="s">
        <v>429</v>
      </c>
      <c r="C139" s="202"/>
      <c r="D139" s="202"/>
      <c r="E139" s="202"/>
      <c r="F139" s="203">
        <v>8858312.7923517507</v>
      </c>
      <c r="G139" s="203">
        <v>3675774</v>
      </c>
      <c r="H139" s="203">
        <v>4247886.1267620921</v>
      </c>
      <c r="I139" s="203">
        <v>934652.66558966064</v>
      </c>
      <c r="M139" s="4" t="str">
        <f t="shared" si="5"/>
        <v>visible</v>
      </c>
      <c r="N139" s="28"/>
      <c r="O139" s="28"/>
      <c r="P139" s="28"/>
      <c r="Q139" s="28"/>
      <c r="R139" s="28"/>
      <c r="S139" s="28"/>
      <c r="T139" s="28"/>
      <c r="U139" s="28"/>
      <c r="V139" s="28"/>
    </row>
    <row r="140" spans="1:22" s="3" customFormat="1" hidden="1" x14ac:dyDescent="0.45">
      <c r="A140" s="5" t="str">
        <f t="shared" si="4"/>
        <v/>
      </c>
      <c r="B140"/>
      <c r="C140"/>
      <c r="D140"/>
      <c r="E140"/>
      <c r="F140"/>
      <c r="G140"/>
      <c r="H140"/>
      <c r="I140"/>
      <c r="M140" s="4" t="str">
        <f t="shared" si="5"/>
        <v/>
      </c>
      <c r="N140" s="28"/>
      <c r="O140" s="28"/>
      <c r="P140" s="28"/>
      <c r="Q140" s="28"/>
      <c r="R140" s="28"/>
      <c r="S140" s="28"/>
      <c r="T140" s="28"/>
      <c r="U140" s="28"/>
      <c r="V140" s="28"/>
    </row>
    <row r="141" spans="1:22" s="3" customFormat="1" hidden="1" x14ac:dyDescent="0.45">
      <c r="A141" s="5" t="str">
        <f t="shared" si="4"/>
        <v/>
      </c>
      <c r="B141"/>
      <c r="C141"/>
      <c r="D141"/>
      <c r="E141"/>
      <c r="F141"/>
      <c r="G141"/>
      <c r="H141"/>
      <c r="I141"/>
      <c r="M141" s="4" t="str">
        <f t="shared" si="5"/>
        <v/>
      </c>
      <c r="N141" s="28"/>
      <c r="O141" s="28"/>
      <c r="P141" s="28"/>
      <c r="Q141" s="28"/>
      <c r="R141" s="28"/>
      <c r="S141" s="28"/>
      <c r="T141" s="28"/>
      <c r="U141" s="28"/>
      <c r="V141" s="28"/>
    </row>
    <row r="142" spans="1:22" s="3" customFormat="1" hidden="1" x14ac:dyDescent="0.45">
      <c r="A142" s="5" t="str">
        <f t="shared" si="4"/>
        <v/>
      </c>
      <c r="B142"/>
      <c r="C142"/>
      <c r="D142"/>
      <c r="E142"/>
      <c r="F142"/>
      <c r="G142"/>
      <c r="H142"/>
      <c r="I142"/>
      <c r="M142" s="4" t="str">
        <f t="shared" si="5"/>
        <v/>
      </c>
      <c r="N142" s="28"/>
      <c r="O142" s="28"/>
      <c r="P142" s="28"/>
      <c r="Q142" s="28"/>
      <c r="R142" s="28"/>
      <c r="S142" s="28"/>
      <c r="T142" s="28"/>
      <c r="U142" s="28"/>
      <c r="V142" s="28"/>
    </row>
    <row r="143" spans="1:22" s="3" customFormat="1" hidden="1" x14ac:dyDescent="0.45">
      <c r="A143" s="5" t="str">
        <f t="shared" si="4"/>
        <v/>
      </c>
      <c r="B143"/>
      <c r="C143"/>
      <c r="D143"/>
      <c r="E143"/>
      <c r="F143"/>
      <c r="G143"/>
      <c r="H143"/>
      <c r="I143"/>
      <c r="M143" s="4" t="str">
        <f t="shared" si="5"/>
        <v/>
      </c>
      <c r="N143" s="28"/>
      <c r="O143" s="28"/>
      <c r="P143" s="28"/>
      <c r="Q143" s="28"/>
      <c r="R143" s="28"/>
      <c r="S143" s="28"/>
      <c r="T143" s="28"/>
      <c r="U143" s="28"/>
      <c r="V143" s="28"/>
    </row>
    <row r="144" spans="1:22" s="3" customFormat="1" hidden="1" x14ac:dyDescent="0.45">
      <c r="A144" s="5" t="str">
        <f t="shared" si="4"/>
        <v/>
      </c>
      <c r="B144"/>
      <c r="C144"/>
      <c r="D144"/>
      <c r="E144"/>
      <c r="F144"/>
      <c r="G144"/>
      <c r="H144"/>
      <c r="I144"/>
      <c r="M144" s="4" t="str">
        <f t="shared" si="5"/>
        <v/>
      </c>
      <c r="N144" s="28"/>
      <c r="O144" s="28"/>
      <c r="P144" s="28"/>
      <c r="Q144" s="28"/>
      <c r="R144" s="28"/>
      <c r="S144" s="28"/>
      <c r="T144" s="28"/>
      <c r="U144" s="28"/>
      <c r="V144" s="28"/>
    </row>
    <row r="145" spans="1:22" s="3" customFormat="1" hidden="1" x14ac:dyDescent="0.45">
      <c r="A145" s="5" t="str">
        <f t="shared" si="4"/>
        <v/>
      </c>
      <c r="B145"/>
      <c r="C145"/>
      <c r="D145"/>
      <c r="E145"/>
      <c r="F145"/>
      <c r="G145"/>
      <c r="H145"/>
      <c r="I145"/>
      <c r="M145" s="4" t="str">
        <f t="shared" si="5"/>
        <v/>
      </c>
      <c r="N145" s="28"/>
      <c r="O145" s="28"/>
      <c r="P145" s="28"/>
      <c r="Q145" s="28"/>
      <c r="R145" s="28"/>
      <c r="S145" s="28"/>
      <c r="T145" s="28"/>
      <c r="U145" s="28"/>
      <c r="V145" s="28"/>
    </row>
    <row r="146" spans="1:22" s="3" customFormat="1" hidden="1" x14ac:dyDescent="0.45">
      <c r="A146" s="5" t="str">
        <f t="shared" si="4"/>
        <v/>
      </c>
      <c r="B146"/>
      <c r="C146"/>
      <c r="D146"/>
      <c r="E146"/>
      <c r="F146"/>
      <c r="G146"/>
      <c r="H146"/>
      <c r="I146"/>
      <c r="M146" s="4" t="str">
        <f t="shared" si="5"/>
        <v/>
      </c>
      <c r="N146" s="28"/>
      <c r="O146" s="28"/>
      <c r="P146" s="28"/>
      <c r="Q146" s="28"/>
      <c r="R146" s="28"/>
      <c r="S146" s="28"/>
      <c r="T146" s="28"/>
      <c r="U146" s="28"/>
      <c r="V146" s="28"/>
    </row>
    <row r="147" spans="1:22" s="3" customFormat="1" hidden="1" x14ac:dyDescent="0.45">
      <c r="A147" s="5" t="str">
        <f t="shared" si="4"/>
        <v/>
      </c>
      <c r="B147"/>
      <c r="C147"/>
      <c r="D147"/>
      <c r="E147"/>
      <c r="F147"/>
      <c r="G147"/>
      <c r="H147"/>
      <c r="I147"/>
      <c r="M147" s="4" t="str">
        <f t="shared" si="5"/>
        <v/>
      </c>
      <c r="N147" s="28"/>
      <c r="O147" s="28"/>
      <c r="P147" s="28"/>
      <c r="Q147" s="28"/>
      <c r="R147" s="28"/>
      <c r="S147" s="28"/>
      <c r="T147" s="28"/>
      <c r="U147" s="28"/>
      <c r="V147" s="28"/>
    </row>
    <row r="148" spans="1:22" s="3" customFormat="1" hidden="1" x14ac:dyDescent="0.45">
      <c r="A148" s="5" t="str">
        <f t="shared" si="4"/>
        <v/>
      </c>
      <c r="B148"/>
      <c r="C148"/>
      <c r="D148"/>
      <c r="E148"/>
      <c r="F148"/>
      <c r="G148"/>
      <c r="H148"/>
      <c r="I148"/>
      <c r="M148" s="4" t="str">
        <f t="shared" si="5"/>
        <v/>
      </c>
      <c r="N148" s="28"/>
      <c r="O148" s="28"/>
      <c r="P148" s="28"/>
      <c r="Q148" s="28"/>
      <c r="R148" s="28"/>
      <c r="S148" s="28"/>
      <c r="T148" s="28"/>
      <c r="U148" s="28"/>
      <c r="V148" s="28"/>
    </row>
    <row r="149" spans="1:22" s="3" customFormat="1" hidden="1" x14ac:dyDescent="0.45">
      <c r="A149" s="5" t="str">
        <f t="shared" si="4"/>
        <v/>
      </c>
      <c r="B149"/>
      <c r="C149"/>
      <c r="D149"/>
      <c r="E149"/>
      <c r="F149"/>
      <c r="G149"/>
      <c r="H149"/>
      <c r="I149"/>
      <c r="M149" s="4" t="str">
        <f t="shared" si="5"/>
        <v/>
      </c>
      <c r="N149" s="28"/>
      <c r="O149" s="28"/>
      <c r="P149" s="28"/>
      <c r="Q149" s="28"/>
      <c r="R149" s="28"/>
      <c r="S149" s="28"/>
      <c r="T149" s="28"/>
      <c r="U149" s="28"/>
      <c r="V149" s="28"/>
    </row>
    <row r="150" spans="1:22" s="3" customFormat="1" hidden="1" x14ac:dyDescent="0.45">
      <c r="A150" s="5" t="str">
        <f t="shared" si="4"/>
        <v/>
      </c>
      <c r="B150"/>
      <c r="C150"/>
      <c r="D150"/>
      <c r="E150"/>
      <c r="F150"/>
      <c r="G150"/>
      <c r="H150"/>
      <c r="I150"/>
      <c r="M150" s="4" t="str">
        <f t="shared" si="5"/>
        <v/>
      </c>
      <c r="N150" s="28"/>
      <c r="O150" s="28"/>
      <c r="P150" s="28"/>
      <c r="Q150" s="28"/>
      <c r="R150" s="28"/>
      <c r="S150" s="28"/>
      <c r="T150" s="28"/>
      <c r="U150" s="28"/>
      <c r="V150" s="28"/>
    </row>
    <row r="151" spans="1:22" s="3" customFormat="1" hidden="1" x14ac:dyDescent="0.45">
      <c r="A151" s="5" t="str">
        <f t="shared" si="4"/>
        <v/>
      </c>
      <c r="B151"/>
      <c r="C151"/>
      <c r="D151"/>
      <c r="E151"/>
      <c r="F151"/>
      <c r="G151"/>
      <c r="H151"/>
      <c r="I151"/>
      <c r="M151" s="4" t="str">
        <f t="shared" si="5"/>
        <v/>
      </c>
      <c r="N151" s="28"/>
      <c r="O151" s="28"/>
      <c r="P151" s="28"/>
      <c r="Q151" s="28"/>
      <c r="R151" s="28"/>
      <c r="S151" s="28"/>
      <c r="T151" s="28"/>
      <c r="U151" s="28"/>
      <c r="V151" s="28"/>
    </row>
    <row r="152" spans="1:22" s="3" customFormat="1" hidden="1" x14ac:dyDescent="0.45">
      <c r="A152" s="5" t="str">
        <f t="shared" si="4"/>
        <v/>
      </c>
      <c r="B152"/>
      <c r="C152"/>
      <c r="D152"/>
      <c r="E152"/>
      <c r="F152"/>
      <c r="G152"/>
      <c r="H152"/>
      <c r="I152"/>
      <c r="M152" s="4" t="str">
        <f t="shared" si="5"/>
        <v/>
      </c>
      <c r="N152" s="28"/>
      <c r="O152" s="28"/>
      <c r="P152" s="28"/>
      <c r="Q152" s="28"/>
      <c r="R152" s="28"/>
      <c r="S152" s="28"/>
      <c r="T152" s="28"/>
      <c r="U152" s="28"/>
      <c r="V152" s="28"/>
    </row>
    <row r="153" spans="1:22" s="3" customFormat="1" hidden="1" x14ac:dyDescent="0.45">
      <c r="A153" s="5" t="str">
        <f t="shared" si="4"/>
        <v/>
      </c>
      <c r="B153"/>
      <c r="C153"/>
      <c r="D153"/>
      <c r="E153"/>
      <c r="F153"/>
      <c r="G153"/>
      <c r="H153"/>
      <c r="I153"/>
      <c r="M153" s="4" t="str">
        <f t="shared" si="5"/>
        <v/>
      </c>
      <c r="N153" s="28"/>
      <c r="O153" s="28"/>
      <c r="P153" s="28"/>
      <c r="Q153" s="28"/>
      <c r="R153" s="28"/>
      <c r="S153" s="28"/>
      <c r="T153" s="28"/>
      <c r="U153" s="28"/>
      <c r="V153" s="28"/>
    </row>
    <row r="154" spans="1:22" s="3" customFormat="1" hidden="1" x14ac:dyDescent="0.45">
      <c r="A154" s="5" t="str">
        <f t="shared" si="4"/>
        <v/>
      </c>
      <c r="B154"/>
      <c r="C154"/>
      <c r="D154"/>
      <c r="E154"/>
      <c r="F154"/>
      <c r="G154"/>
      <c r="H154"/>
      <c r="I154"/>
      <c r="M154" s="4" t="str">
        <f t="shared" si="5"/>
        <v/>
      </c>
      <c r="N154" s="28"/>
      <c r="O154" s="28"/>
      <c r="P154" s="28"/>
      <c r="Q154" s="28"/>
      <c r="R154" s="28"/>
      <c r="S154" s="28"/>
      <c r="T154" s="28"/>
      <c r="U154" s="28"/>
      <c r="V154" s="28"/>
    </row>
    <row r="155" spans="1:22" s="3" customFormat="1" hidden="1" x14ac:dyDescent="0.45">
      <c r="A155" s="5" t="str">
        <f t="shared" si="4"/>
        <v/>
      </c>
      <c r="B155"/>
      <c r="C155"/>
      <c r="D155"/>
      <c r="E155"/>
      <c r="F155"/>
      <c r="G155"/>
      <c r="H155"/>
      <c r="I155"/>
      <c r="M155" s="4" t="str">
        <f t="shared" si="5"/>
        <v/>
      </c>
      <c r="N155" s="28"/>
      <c r="O155" s="28"/>
      <c r="P155" s="28"/>
      <c r="Q155" s="28"/>
      <c r="R155" s="28"/>
      <c r="S155" s="28"/>
      <c r="T155" s="28"/>
      <c r="U155" s="28"/>
      <c r="V155" s="28"/>
    </row>
    <row r="156" spans="1:22" s="3" customFormat="1" hidden="1" x14ac:dyDescent="0.45">
      <c r="A156" s="5" t="str">
        <f t="shared" si="4"/>
        <v/>
      </c>
      <c r="B156"/>
      <c r="C156"/>
      <c r="D156"/>
      <c r="E156"/>
      <c r="F156"/>
      <c r="G156"/>
      <c r="H156"/>
      <c r="I156"/>
      <c r="M156" s="4" t="str">
        <f t="shared" si="5"/>
        <v/>
      </c>
      <c r="N156" s="28"/>
      <c r="O156" s="28"/>
      <c r="P156" s="28"/>
      <c r="Q156" s="28"/>
      <c r="R156" s="28"/>
      <c r="S156" s="28"/>
      <c r="T156" s="28"/>
      <c r="U156" s="28"/>
      <c r="V156" s="28"/>
    </row>
    <row r="157" spans="1:22" s="3" customFormat="1" hidden="1" x14ac:dyDescent="0.45">
      <c r="A157" s="5" t="str">
        <f t="shared" si="4"/>
        <v/>
      </c>
      <c r="B157"/>
      <c r="C157"/>
      <c r="D157"/>
      <c r="E157"/>
      <c r="F157"/>
      <c r="G157"/>
      <c r="H157"/>
      <c r="I157"/>
      <c r="M157" s="4" t="str">
        <f t="shared" si="5"/>
        <v/>
      </c>
      <c r="N157" s="28"/>
      <c r="O157" s="28"/>
      <c r="P157" s="28"/>
      <c r="Q157" s="28"/>
      <c r="R157" s="28"/>
      <c r="S157" s="28"/>
      <c r="T157" s="28"/>
      <c r="U157" s="28"/>
      <c r="V157" s="28"/>
    </row>
    <row r="158" spans="1:22" s="3" customFormat="1" hidden="1" x14ac:dyDescent="0.45">
      <c r="A158" s="5" t="str">
        <f t="shared" si="4"/>
        <v/>
      </c>
      <c r="B158"/>
      <c r="C158"/>
      <c r="D158"/>
      <c r="E158"/>
      <c r="F158"/>
      <c r="G158"/>
      <c r="H158"/>
      <c r="I158"/>
      <c r="M158" s="4" t="str">
        <f t="shared" si="5"/>
        <v/>
      </c>
      <c r="N158" s="28"/>
      <c r="O158" s="28"/>
      <c r="P158" s="28"/>
      <c r="Q158" s="28"/>
      <c r="R158" s="28"/>
      <c r="S158" s="28"/>
      <c r="T158" s="28"/>
      <c r="U158" s="28"/>
      <c r="V158" s="28"/>
    </row>
    <row r="159" spans="1:22" s="3" customFormat="1" ht="14.25" hidden="1" x14ac:dyDescent="0.45">
      <c r="A159" s="5" t="str">
        <f t="shared" si="4"/>
        <v/>
      </c>
      <c r="B159"/>
      <c r="C159"/>
      <c r="D159"/>
      <c r="E159"/>
      <c r="F159"/>
      <c r="G159"/>
      <c r="H159"/>
      <c r="I159"/>
      <c r="M159" s="4" t="str">
        <f t="shared" si="5"/>
        <v/>
      </c>
    </row>
    <row r="160" spans="1:22" s="3" customFormat="1" ht="14.25" hidden="1" x14ac:dyDescent="0.45">
      <c r="A160" s="5" t="str">
        <f t="shared" si="4"/>
        <v/>
      </c>
      <c r="B160"/>
      <c r="C160"/>
      <c r="D160"/>
      <c r="E160"/>
      <c r="F160"/>
      <c r="G160"/>
      <c r="H160"/>
      <c r="I160"/>
      <c r="M160" s="4" t="str">
        <f t="shared" si="5"/>
        <v/>
      </c>
    </row>
    <row r="161" spans="1:13" s="3" customFormat="1" ht="14.25" hidden="1" x14ac:dyDescent="0.45">
      <c r="A161" s="5" t="str">
        <f t="shared" si="4"/>
        <v/>
      </c>
      <c r="B161"/>
      <c r="C161"/>
      <c r="D161"/>
      <c r="E161"/>
      <c r="F161"/>
      <c r="G161"/>
      <c r="H161"/>
      <c r="I161"/>
      <c r="M161" s="4" t="str">
        <f t="shared" si="5"/>
        <v/>
      </c>
    </row>
    <row r="162" spans="1:13" s="3" customFormat="1" ht="14.25" hidden="1" x14ac:dyDescent="0.45">
      <c r="A162" s="5" t="str">
        <f t="shared" si="4"/>
        <v/>
      </c>
      <c r="B162"/>
      <c r="C162"/>
      <c r="D162"/>
      <c r="E162"/>
      <c r="F162"/>
      <c r="G162"/>
      <c r="H162"/>
      <c r="I162"/>
      <c r="M162" s="4" t="str">
        <f t="shared" si="5"/>
        <v/>
      </c>
    </row>
    <row r="163" spans="1:13" s="3" customFormat="1" ht="14.25" hidden="1" x14ac:dyDescent="0.45">
      <c r="A163" s="5" t="str">
        <f t="shared" si="4"/>
        <v/>
      </c>
      <c r="B163"/>
      <c r="C163"/>
      <c r="D163"/>
      <c r="E163"/>
      <c r="F163"/>
      <c r="G163"/>
      <c r="H163"/>
      <c r="I163"/>
      <c r="M163" s="4" t="str">
        <f t="shared" si="5"/>
        <v/>
      </c>
    </row>
    <row r="164" spans="1:13" s="3" customFormat="1" ht="14.25" hidden="1" x14ac:dyDescent="0.45">
      <c r="A164" s="5" t="str">
        <f t="shared" si="4"/>
        <v/>
      </c>
      <c r="B164"/>
      <c r="C164"/>
      <c r="D164"/>
      <c r="E164"/>
      <c r="F164"/>
      <c r="G164"/>
      <c r="H164"/>
      <c r="I164"/>
      <c r="M164" s="4" t="str">
        <f t="shared" si="5"/>
        <v/>
      </c>
    </row>
    <row r="165" spans="1:13" s="3" customFormat="1" ht="14.25" hidden="1" x14ac:dyDescent="0.45">
      <c r="A165" s="5" t="str">
        <f t="shared" si="4"/>
        <v/>
      </c>
      <c r="B165"/>
      <c r="C165"/>
      <c r="D165"/>
      <c r="E165"/>
      <c r="F165"/>
      <c r="G165"/>
      <c r="H165"/>
      <c r="I165"/>
      <c r="M165" s="4" t="str">
        <f t="shared" si="5"/>
        <v/>
      </c>
    </row>
    <row r="166" spans="1:13" s="3" customFormat="1" ht="14.25" hidden="1" x14ac:dyDescent="0.45">
      <c r="A166" s="5" t="str">
        <f t="shared" si="4"/>
        <v/>
      </c>
      <c r="B166"/>
      <c r="C166"/>
      <c r="D166"/>
      <c r="E166"/>
      <c r="F166"/>
      <c r="G166"/>
      <c r="H166"/>
      <c r="I166"/>
      <c r="M166" s="4" t="str">
        <f t="shared" si="5"/>
        <v/>
      </c>
    </row>
    <row r="167" spans="1:13" s="3" customFormat="1" ht="14.25" hidden="1" x14ac:dyDescent="0.45">
      <c r="A167" s="5" t="str">
        <f t="shared" si="4"/>
        <v/>
      </c>
      <c r="B167"/>
      <c r="C167"/>
      <c r="D167"/>
      <c r="E167"/>
      <c r="F167"/>
      <c r="G167"/>
      <c r="H167"/>
      <c r="I167"/>
      <c r="M167" s="4" t="str">
        <f t="shared" si="5"/>
        <v/>
      </c>
    </row>
    <row r="168" spans="1:13" s="3" customFormat="1" ht="14.25" hidden="1" x14ac:dyDescent="0.45">
      <c r="A168" s="5" t="str">
        <f t="shared" si="4"/>
        <v/>
      </c>
      <c r="B168"/>
      <c r="C168"/>
      <c r="D168"/>
      <c r="E168"/>
      <c r="F168"/>
      <c r="G168"/>
      <c r="H168"/>
      <c r="I168"/>
      <c r="M168" s="4" t="str">
        <f t="shared" si="5"/>
        <v/>
      </c>
    </row>
    <row r="169" spans="1:13" s="3" customFormat="1" ht="14.25" hidden="1" x14ac:dyDescent="0.45">
      <c r="A169" s="5" t="str">
        <f t="shared" si="4"/>
        <v/>
      </c>
      <c r="B169"/>
      <c r="C169"/>
      <c r="D169"/>
      <c r="E169"/>
      <c r="F169"/>
      <c r="G169"/>
      <c r="H169"/>
      <c r="I169"/>
      <c r="M169" s="4" t="str">
        <f t="shared" si="5"/>
        <v/>
      </c>
    </row>
    <row r="170" spans="1:13" s="3" customFormat="1" ht="14.25" hidden="1" x14ac:dyDescent="0.45">
      <c r="A170" s="5" t="str">
        <f t="shared" si="4"/>
        <v/>
      </c>
      <c r="B170"/>
      <c r="C170"/>
      <c r="D170"/>
      <c r="E170"/>
      <c r="F170"/>
      <c r="G170"/>
      <c r="H170"/>
      <c r="I170"/>
      <c r="M170" s="4" t="str">
        <f t="shared" si="5"/>
        <v/>
      </c>
    </row>
    <row r="171" spans="1:13" s="3" customFormat="1" ht="13.9" hidden="1" x14ac:dyDescent="0.4">
      <c r="A171" s="5" t="str">
        <f t="shared" si="4"/>
        <v/>
      </c>
      <c r="M171" s="4" t="str">
        <f t="shared" si="5"/>
        <v/>
      </c>
    </row>
    <row r="172" spans="1:13" s="3" customFormat="1" ht="13.9" hidden="1" x14ac:dyDescent="0.4">
      <c r="A172" s="5" t="str">
        <f t="shared" si="4"/>
        <v/>
      </c>
      <c r="M172" s="4" t="str">
        <f t="shared" si="5"/>
        <v/>
      </c>
    </row>
    <row r="173" spans="1:13" s="3" customFormat="1" ht="13.9" hidden="1" x14ac:dyDescent="0.4">
      <c r="A173" s="5" t="str">
        <f t="shared" si="4"/>
        <v/>
      </c>
      <c r="M173" s="4" t="str">
        <f t="shared" si="5"/>
        <v/>
      </c>
    </row>
    <row r="174" spans="1:13" s="3" customFormat="1" ht="13.9" hidden="1" x14ac:dyDescent="0.4">
      <c r="A174" s="5" t="str">
        <f t="shared" si="4"/>
        <v/>
      </c>
      <c r="M174" s="4" t="str">
        <f t="shared" si="5"/>
        <v/>
      </c>
    </row>
    <row r="175" spans="1:13" s="3" customFormat="1" ht="13.9" hidden="1" x14ac:dyDescent="0.4">
      <c r="A175" s="5" t="str">
        <f t="shared" si="4"/>
        <v/>
      </c>
      <c r="M175" s="4" t="str">
        <f t="shared" si="5"/>
        <v/>
      </c>
    </row>
    <row r="176" spans="1:13" s="3" customFormat="1" ht="13.9" hidden="1" x14ac:dyDescent="0.4">
      <c r="A176" s="5" t="str">
        <f t="shared" ref="A176:A208" si="6">IF(M176 ="visible",IF(B176 = "Total","",A175+1),"")</f>
        <v/>
      </c>
      <c r="M176" s="4" t="str">
        <f t="shared" si="5"/>
        <v/>
      </c>
    </row>
    <row r="177" spans="1:13" s="3" customFormat="1" ht="13.9" hidden="1" x14ac:dyDescent="0.4">
      <c r="A177" s="5" t="str">
        <f t="shared" si="6"/>
        <v/>
      </c>
      <c r="M177" s="4" t="str">
        <f t="shared" si="5"/>
        <v/>
      </c>
    </row>
    <row r="178" spans="1:13" s="3" customFormat="1" ht="13.9" hidden="1" x14ac:dyDescent="0.4">
      <c r="A178" s="5" t="str">
        <f t="shared" si="6"/>
        <v/>
      </c>
      <c r="M178" s="4" t="str">
        <f t="shared" si="5"/>
        <v/>
      </c>
    </row>
    <row r="179" spans="1:13" s="3" customFormat="1" ht="13.9" hidden="1" x14ac:dyDescent="0.4">
      <c r="A179" s="5" t="str">
        <f t="shared" si="6"/>
        <v/>
      </c>
      <c r="M179" s="4" t="str">
        <f t="shared" si="5"/>
        <v/>
      </c>
    </row>
    <row r="180" spans="1:13" s="3" customFormat="1" ht="13.9" hidden="1" x14ac:dyDescent="0.4">
      <c r="A180" s="5" t="str">
        <f t="shared" si="6"/>
        <v/>
      </c>
      <c r="M180" s="4" t="str">
        <f t="shared" si="5"/>
        <v/>
      </c>
    </row>
    <row r="181" spans="1:13" s="3" customFormat="1" ht="13.9" hidden="1" x14ac:dyDescent="0.4">
      <c r="A181" s="5" t="str">
        <f t="shared" si="6"/>
        <v/>
      </c>
      <c r="M181" s="4" t="str">
        <f t="shared" si="5"/>
        <v/>
      </c>
    </row>
    <row r="182" spans="1:13" s="3" customFormat="1" ht="13.9" hidden="1" x14ac:dyDescent="0.4">
      <c r="A182" s="5" t="str">
        <f t="shared" si="6"/>
        <v/>
      </c>
      <c r="M182" s="4" t="str">
        <f t="shared" si="5"/>
        <v/>
      </c>
    </row>
    <row r="183" spans="1:13" s="3" customFormat="1" ht="13.9" hidden="1" x14ac:dyDescent="0.4">
      <c r="A183" s="5" t="str">
        <f t="shared" si="6"/>
        <v/>
      </c>
      <c r="M183" s="4" t="str">
        <f t="shared" si="5"/>
        <v/>
      </c>
    </row>
    <row r="184" spans="1:13" s="3" customFormat="1" ht="13.9" hidden="1" x14ac:dyDescent="0.4">
      <c r="A184" s="5" t="str">
        <f t="shared" si="6"/>
        <v/>
      </c>
      <c r="M184" s="4" t="str">
        <f t="shared" si="5"/>
        <v/>
      </c>
    </row>
    <row r="185" spans="1:13" s="3" customFormat="1" ht="13.9" hidden="1" x14ac:dyDescent="0.4">
      <c r="A185" s="5" t="str">
        <f t="shared" si="6"/>
        <v/>
      </c>
      <c r="M185" s="4" t="str">
        <f t="shared" si="5"/>
        <v/>
      </c>
    </row>
    <row r="186" spans="1:13" s="3" customFormat="1" ht="13.9" hidden="1" x14ac:dyDescent="0.4">
      <c r="A186" s="5" t="str">
        <f t="shared" si="6"/>
        <v/>
      </c>
      <c r="M186" s="4" t="str">
        <f t="shared" si="5"/>
        <v/>
      </c>
    </row>
    <row r="187" spans="1:13" s="3" customFormat="1" ht="13.9" hidden="1" x14ac:dyDescent="0.4">
      <c r="A187" s="5" t="str">
        <f t="shared" si="6"/>
        <v/>
      </c>
      <c r="M187" s="4" t="str">
        <f t="shared" si="5"/>
        <v/>
      </c>
    </row>
    <row r="188" spans="1:13" s="3" customFormat="1" ht="13.9" hidden="1" x14ac:dyDescent="0.4">
      <c r="A188" s="5" t="str">
        <f t="shared" si="6"/>
        <v/>
      </c>
      <c r="M188" s="4" t="str">
        <f t="shared" si="5"/>
        <v/>
      </c>
    </row>
    <row r="189" spans="1:13" s="3" customFormat="1" ht="13.9" hidden="1" x14ac:dyDescent="0.4">
      <c r="A189" s="5" t="str">
        <f t="shared" si="6"/>
        <v/>
      </c>
      <c r="M189" s="4" t="str">
        <f t="shared" si="5"/>
        <v/>
      </c>
    </row>
    <row r="190" spans="1:13" s="3" customFormat="1" ht="13.9" hidden="1" x14ac:dyDescent="0.4">
      <c r="A190" s="5" t="str">
        <f t="shared" si="6"/>
        <v/>
      </c>
      <c r="M190" s="4" t="str">
        <f t="shared" si="5"/>
        <v/>
      </c>
    </row>
    <row r="191" spans="1:13" s="3" customFormat="1" ht="13.9" hidden="1" x14ac:dyDescent="0.4">
      <c r="A191" s="5" t="str">
        <f t="shared" si="6"/>
        <v/>
      </c>
      <c r="M191" s="4" t="str">
        <f t="shared" si="5"/>
        <v/>
      </c>
    </row>
    <row r="192" spans="1:13" s="3" customFormat="1" ht="13.9" hidden="1" x14ac:dyDescent="0.4">
      <c r="A192" s="5" t="str">
        <f t="shared" si="6"/>
        <v/>
      </c>
      <c r="M192" s="4" t="str">
        <f t="shared" si="5"/>
        <v/>
      </c>
    </row>
    <row r="193" spans="1:13" s="3" customFormat="1" ht="13.9" hidden="1" x14ac:dyDescent="0.4">
      <c r="A193" s="5" t="str">
        <f t="shared" si="6"/>
        <v/>
      </c>
      <c r="M193" s="4" t="str">
        <f t="shared" si="5"/>
        <v/>
      </c>
    </row>
    <row r="194" spans="1:13" s="3" customFormat="1" ht="13.9" hidden="1" x14ac:dyDescent="0.4">
      <c r="A194" s="5" t="str">
        <f t="shared" si="6"/>
        <v/>
      </c>
      <c r="M194" s="4" t="str">
        <f t="shared" si="5"/>
        <v/>
      </c>
    </row>
    <row r="195" spans="1:13" s="3" customFormat="1" ht="13.9" hidden="1" x14ac:dyDescent="0.4">
      <c r="A195" s="5" t="str">
        <f t="shared" si="6"/>
        <v/>
      </c>
      <c r="M195" s="4" t="str">
        <f t="shared" si="5"/>
        <v/>
      </c>
    </row>
    <row r="196" spans="1:13" s="3" customFormat="1" ht="13.9" hidden="1" x14ac:dyDescent="0.4">
      <c r="A196" s="5" t="str">
        <f t="shared" si="6"/>
        <v/>
      </c>
      <c r="M196" s="4" t="str">
        <f t="shared" si="5"/>
        <v/>
      </c>
    </row>
    <row r="197" spans="1:13" s="3" customFormat="1" ht="13.9" hidden="1" x14ac:dyDescent="0.4">
      <c r="A197" s="5" t="str">
        <f t="shared" si="6"/>
        <v/>
      </c>
      <c r="M197" s="4" t="str">
        <f t="shared" ref="M197:M260" si="7">IF(B197&lt;&gt;"","visible","")</f>
        <v/>
      </c>
    </row>
    <row r="198" spans="1:13" s="3" customFormat="1" ht="13.9" hidden="1" x14ac:dyDescent="0.4">
      <c r="A198" s="5" t="str">
        <f t="shared" si="6"/>
        <v/>
      </c>
      <c r="M198" s="4" t="str">
        <f t="shared" si="7"/>
        <v/>
      </c>
    </row>
    <row r="199" spans="1:13" s="3" customFormat="1" ht="13.9" hidden="1" x14ac:dyDescent="0.4">
      <c r="A199" s="5" t="str">
        <f t="shared" si="6"/>
        <v/>
      </c>
      <c r="M199" s="4" t="str">
        <f t="shared" si="7"/>
        <v/>
      </c>
    </row>
    <row r="200" spans="1:13" s="3" customFormat="1" ht="13.9" hidden="1" x14ac:dyDescent="0.4">
      <c r="A200" s="5" t="str">
        <f t="shared" si="6"/>
        <v/>
      </c>
      <c r="M200" s="4" t="str">
        <f t="shared" si="7"/>
        <v/>
      </c>
    </row>
    <row r="201" spans="1:13" s="3" customFormat="1" ht="13.9" hidden="1" x14ac:dyDescent="0.4">
      <c r="A201" s="5" t="str">
        <f t="shared" si="6"/>
        <v/>
      </c>
      <c r="M201" s="4" t="str">
        <f t="shared" si="7"/>
        <v/>
      </c>
    </row>
    <row r="202" spans="1:13" s="3" customFormat="1" ht="13.9" hidden="1" x14ac:dyDescent="0.4">
      <c r="A202" s="5" t="str">
        <f t="shared" si="6"/>
        <v/>
      </c>
      <c r="M202" s="4" t="str">
        <f t="shared" si="7"/>
        <v/>
      </c>
    </row>
    <row r="203" spans="1:13" s="3" customFormat="1" ht="13.9" hidden="1" x14ac:dyDescent="0.4">
      <c r="A203" s="5" t="str">
        <f t="shared" si="6"/>
        <v/>
      </c>
      <c r="M203" s="4" t="str">
        <f t="shared" si="7"/>
        <v/>
      </c>
    </row>
    <row r="204" spans="1:13" s="3" customFormat="1" ht="13.9" hidden="1" x14ac:dyDescent="0.4">
      <c r="A204" s="5" t="str">
        <f t="shared" si="6"/>
        <v/>
      </c>
      <c r="M204" s="4" t="str">
        <f t="shared" si="7"/>
        <v/>
      </c>
    </row>
    <row r="205" spans="1:13" s="3" customFormat="1" ht="13.9" hidden="1" x14ac:dyDescent="0.4">
      <c r="A205" s="5" t="str">
        <f t="shared" si="6"/>
        <v/>
      </c>
      <c r="M205" s="4" t="str">
        <f t="shared" si="7"/>
        <v/>
      </c>
    </row>
    <row r="206" spans="1:13" s="3" customFormat="1" ht="13.9" hidden="1" x14ac:dyDescent="0.4">
      <c r="A206" s="5" t="str">
        <f t="shared" si="6"/>
        <v/>
      </c>
      <c r="M206" s="4" t="str">
        <f t="shared" si="7"/>
        <v/>
      </c>
    </row>
    <row r="207" spans="1:13" s="3" customFormat="1" ht="13.9" hidden="1" x14ac:dyDescent="0.4">
      <c r="A207" s="5" t="str">
        <f t="shared" si="6"/>
        <v/>
      </c>
      <c r="M207" s="4" t="str">
        <f t="shared" si="7"/>
        <v/>
      </c>
    </row>
    <row r="208" spans="1:13" s="3" customFormat="1" ht="13.9" hidden="1" x14ac:dyDescent="0.4">
      <c r="A208" s="5" t="str">
        <f t="shared" si="6"/>
        <v/>
      </c>
      <c r="M208" s="4" t="str">
        <f t="shared" si="7"/>
        <v/>
      </c>
    </row>
    <row r="209" spans="1:22" s="3" customFormat="1" ht="13.9" hidden="1" x14ac:dyDescent="0.4">
      <c r="A209" s="5" t="str">
        <f>IF(M209 ="visible",IF(B209 = "Gesamtergebnis","",A208+1),"")</f>
        <v/>
      </c>
      <c r="M209" s="4" t="str">
        <f t="shared" si="7"/>
        <v/>
      </c>
    </row>
    <row r="210" spans="1:22" x14ac:dyDescent="0.45">
      <c r="B210" s="9" t="s">
        <v>136</v>
      </c>
      <c r="M210" s="4" t="str">
        <f t="shared" si="7"/>
        <v>visible</v>
      </c>
    </row>
    <row r="211" spans="1:22" x14ac:dyDescent="0.45">
      <c r="A211" s="10"/>
      <c r="B211" s="196" t="s">
        <v>310</v>
      </c>
      <c r="C211" s="192" t="s">
        <v>243</v>
      </c>
      <c r="M211" s="4" t="str">
        <f t="shared" si="7"/>
        <v>visible</v>
      </c>
    </row>
    <row r="212" spans="1:22" s="3" customFormat="1" ht="13.9" hidden="1" x14ac:dyDescent="0.4">
      <c r="A212" s="5"/>
      <c r="M212" s="4" t="str">
        <f t="shared" si="7"/>
        <v/>
      </c>
    </row>
    <row r="213" spans="1:22" x14ac:dyDescent="0.45">
      <c r="A213" s="11"/>
      <c r="B213" s="200" t="s">
        <v>5</v>
      </c>
      <c r="C213" s="200" t="s">
        <v>7</v>
      </c>
      <c r="D213" s="200" t="s">
        <v>23</v>
      </c>
      <c r="E213" s="200" t="s">
        <v>14</v>
      </c>
      <c r="F213" s="201" t="s">
        <v>135</v>
      </c>
      <c r="G213" s="192" t="s">
        <v>257</v>
      </c>
      <c r="H213" s="192" t="s">
        <v>258</v>
      </c>
      <c r="I213" s="201" t="s">
        <v>263</v>
      </c>
      <c r="M213" s="4" t="str">
        <f t="shared" si="7"/>
        <v>visible</v>
      </c>
    </row>
    <row r="214" spans="1:22" x14ac:dyDescent="0.45">
      <c r="A214" s="5">
        <f>IF(M214 ="visible",IF(B214 = "Total","",A213+1),"")</f>
        <v>1</v>
      </c>
      <c r="B214" s="192" t="s">
        <v>400</v>
      </c>
      <c r="C214" s="192" t="s">
        <v>2</v>
      </c>
      <c r="D214" s="192" t="s">
        <v>96</v>
      </c>
      <c r="E214" s="192" t="s">
        <v>863</v>
      </c>
      <c r="F214" s="194">
        <v>345327.96897810214</v>
      </c>
      <c r="G214" s="194">
        <v>0</v>
      </c>
      <c r="H214" s="194">
        <v>345327.96897810214</v>
      </c>
      <c r="I214" s="194">
        <v>0</v>
      </c>
      <c r="M214" s="4" t="str">
        <f t="shared" si="7"/>
        <v>visible</v>
      </c>
    </row>
    <row r="215" spans="1:22" x14ac:dyDescent="0.45">
      <c r="A215" s="5">
        <f t="shared" ref="A215:A278" si="8">IF(M215 ="visible",IF(B215 = "Total","",A214+1),"")</f>
        <v>2</v>
      </c>
      <c r="B215" s="192" t="s">
        <v>479</v>
      </c>
      <c r="C215" s="192" t="s">
        <v>97</v>
      </c>
      <c r="D215" s="192" t="s">
        <v>96</v>
      </c>
      <c r="E215" s="192" t="s">
        <v>864</v>
      </c>
      <c r="F215" s="194">
        <v>280128.35820895521</v>
      </c>
      <c r="G215" s="194">
        <v>145800</v>
      </c>
      <c r="H215" s="194">
        <v>134328.35820895521</v>
      </c>
      <c r="I215" s="194">
        <v>0</v>
      </c>
      <c r="M215" s="4" t="str">
        <f t="shared" si="7"/>
        <v>visible</v>
      </c>
    </row>
    <row r="216" spans="1:22" s="3" customFormat="1" x14ac:dyDescent="0.45">
      <c r="A216" s="5">
        <f t="shared" si="8"/>
        <v>3</v>
      </c>
      <c r="B216" s="192" t="s">
        <v>625</v>
      </c>
      <c r="C216" s="192" t="s">
        <v>2</v>
      </c>
      <c r="D216" s="192" t="s">
        <v>96</v>
      </c>
      <c r="E216" s="192" t="s">
        <v>624</v>
      </c>
      <c r="F216" s="194">
        <v>0</v>
      </c>
      <c r="G216" s="194">
        <v>0</v>
      </c>
      <c r="H216" s="194">
        <v>0</v>
      </c>
      <c r="I216" s="194">
        <v>0</v>
      </c>
      <c r="M216" s="4" t="str">
        <f t="shared" si="7"/>
        <v>visible</v>
      </c>
      <c r="N216" s="28"/>
      <c r="O216" s="28"/>
      <c r="P216" s="28"/>
      <c r="Q216" s="28"/>
      <c r="R216" s="28"/>
      <c r="S216" s="28"/>
      <c r="T216" s="28"/>
      <c r="U216" s="28"/>
      <c r="V216" s="28"/>
    </row>
    <row r="217" spans="1:22" s="3" customFormat="1" x14ac:dyDescent="0.45">
      <c r="A217" s="5">
        <f t="shared" si="8"/>
        <v>4</v>
      </c>
      <c r="B217" s="192" t="s">
        <v>684</v>
      </c>
      <c r="C217" s="192" t="s">
        <v>2</v>
      </c>
      <c r="D217" s="192" t="s">
        <v>96</v>
      </c>
      <c r="E217" s="192" t="s">
        <v>545</v>
      </c>
      <c r="F217" s="194">
        <v>0</v>
      </c>
      <c r="G217" s="194">
        <v>0</v>
      </c>
      <c r="H217" s="194">
        <v>0</v>
      </c>
      <c r="I217" s="194">
        <v>0</v>
      </c>
      <c r="M217" s="4" t="str">
        <f t="shared" si="7"/>
        <v>visible</v>
      </c>
      <c r="N217" s="28"/>
      <c r="O217" s="28"/>
      <c r="P217" s="28"/>
      <c r="Q217" s="28"/>
      <c r="R217" s="28"/>
      <c r="S217" s="28"/>
      <c r="T217" s="28"/>
      <c r="U217" s="28"/>
      <c r="V217" s="28"/>
    </row>
    <row r="218" spans="1:22" s="3" customFormat="1" x14ac:dyDescent="0.45">
      <c r="A218" s="5">
        <f t="shared" si="8"/>
        <v>5</v>
      </c>
      <c r="B218" s="192" t="s">
        <v>771</v>
      </c>
      <c r="C218" s="192" t="s">
        <v>2</v>
      </c>
      <c r="D218" s="192" t="s">
        <v>96</v>
      </c>
      <c r="E218" s="192" t="s">
        <v>773</v>
      </c>
      <c r="F218" s="194">
        <v>2507598.7841945291</v>
      </c>
      <c r="G218" s="194">
        <v>0</v>
      </c>
      <c r="H218" s="194">
        <v>2507598.7841945291</v>
      </c>
      <c r="I218" s="194">
        <v>0</v>
      </c>
      <c r="M218" s="4" t="str">
        <f t="shared" si="7"/>
        <v>visible</v>
      </c>
      <c r="N218" s="28"/>
      <c r="O218" s="28"/>
      <c r="P218" s="28"/>
      <c r="Q218" s="28"/>
      <c r="R218" s="28"/>
      <c r="S218" s="28"/>
      <c r="T218" s="28"/>
      <c r="U218" s="28"/>
      <c r="V218" s="28"/>
    </row>
    <row r="219" spans="1:22" s="3" customFormat="1" x14ac:dyDescent="0.45">
      <c r="A219" s="5">
        <f t="shared" si="8"/>
        <v>6</v>
      </c>
      <c r="B219" s="192" t="s">
        <v>739</v>
      </c>
      <c r="C219" s="192" t="s">
        <v>2</v>
      </c>
      <c r="D219" s="192" t="s">
        <v>0</v>
      </c>
      <c r="E219" s="192" t="s">
        <v>399</v>
      </c>
      <c r="F219" s="194">
        <v>0</v>
      </c>
      <c r="G219" s="194">
        <v>0</v>
      </c>
      <c r="H219" s="194">
        <v>0</v>
      </c>
      <c r="I219" s="194">
        <v>0</v>
      </c>
      <c r="M219" s="4" t="str">
        <f t="shared" si="7"/>
        <v>visible</v>
      </c>
      <c r="N219" s="28"/>
      <c r="O219" s="28"/>
      <c r="P219" s="28"/>
      <c r="Q219" s="28"/>
      <c r="R219" s="28"/>
      <c r="S219" s="28"/>
      <c r="T219" s="28"/>
      <c r="U219" s="28"/>
      <c r="V219" s="28"/>
    </row>
    <row r="220" spans="1:22" s="3" customFormat="1" x14ac:dyDescent="0.45">
      <c r="A220" s="5">
        <f t="shared" si="8"/>
        <v>7</v>
      </c>
      <c r="B220" s="192" t="s">
        <v>759</v>
      </c>
      <c r="C220" s="192" t="s">
        <v>2</v>
      </c>
      <c r="D220" s="192" t="s">
        <v>0</v>
      </c>
      <c r="E220" s="192" t="s">
        <v>852</v>
      </c>
      <c r="F220" s="194">
        <v>402358.49056603777</v>
      </c>
      <c r="G220" s="194">
        <v>0</v>
      </c>
      <c r="H220" s="194">
        <v>402358.49056603777</v>
      </c>
      <c r="I220" s="194">
        <v>0</v>
      </c>
      <c r="M220" s="4" t="str">
        <f t="shared" si="7"/>
        <v>visible</v>
      </c>
      <c r="N220" s="28"/>
      <c r="O220" s="28"/>
      <c r="P220" s="28"/>
      <c r="Q220" s="28"/>
      <c r="R220" s="28"/>
      <c r="S220" s="28"/>
      <c r="T220" s="28"/>
      <c r="U220" s="28"/>
      <c r="V220" s="28"/>
    </row>
    <row r="221" spans="1:22" s="3" customFormat="1" x14ac:dyDescent="0.45">
      <c r="A221" s="5">
        <f t="shared" si="8"/>
        <v>8</v>
      </c>
      <c r="B221" s="192" t="s">
        <v>799</v>
      </c>
      <c r="C221" s="192" t="s">
        <v>1</v>
      </c>
      <c r="D221" s="192" t="s">
        <v>0</v>
      </c>
      <c r="E221" s="192" t="s">
        <v>801</v>
      </c>
      <c r="F221" s="194">
        <v>250000</v>
      </c>
      <c r="G221" s="194">
        <v>250000</v>
      </c>
      <c r="H221" s="194">
        <v>0</v>
      </c>
      <c r="I221" s="194">
        <v>0</v>
      </c>
      <c r="M221" s="4" t="str">
        <f t="shared" si="7"/>
        <v>visible</v>
      </c>
      <c r="N221" s="28"/>
      <c r="O221" s="28"/>
      <c r="P221" s="28"/>
      <c r="Q221" s="28"/>
      <c r="R221" s="28"/>
      <c r="S221" s="28"/>
      <c r="T221" s="28"/>
      <c r="U221" s="28"/>
      <c r="V221" s="28"/>
    </row>
    <row r="222" spans="1:22" s="3" customFormat="1" x14ac:dyDescent="0.45">
      <c r="A222" s="5">
        <f t="shared" si="8"/>
        <v>9</v>
      </c>
      <c r="B222" s="192" t="s">
        <v>796</v>
      </c>
      <c r="C222" s="192" t="s">
        <v>1</v>
      </c>
      <c r="D222" s="192" t="s">
        <v>0</v>
      </c>
      <c r="E222" s="192" t="s">
        <v>797</v>
      </c>
      <c r="F222" s="194">
        <v>290000</v>
      </c>
      <c r="G222" s="194">
        <v>290000</v>
      </c>
      <c r="H222" s="194">
        <v>0</v>
      </c>
      <c r="I222" s="194">
        <v>0</v>
      </c>
      <c r="M222" s="4" t="str">
        <f t="shared" si="7"/>
        <v>visible</v>
      </c>
      <c r="N222" s="28"/>
      <c r="O222" s="28"/>
      <c r="P222" s="28"/>
      <c r="Q222" s="28"/>
      <c r="R222" s="28"/>
      <c r="S222" s="28"/>
      <c r="T222" s="28"/>
      <c r="U222" s="28"/>
      <c r="V222" s="28"/>
    </row>
    <row r="223" spans="1:22" s="3" customFormat="1" x14ac:dyDescent="0.45">
      <c r="A223" s="5">
        <f t="shared" si="8"/>
        <v>10</v>
      </c>
      <c r="B223" s="192" t="s">
        <v>825</v>
      </c>
      <c r="C223" s="192" t="s">
        <v>2</v>
      </c>
      <c r="D223" s="192" t="s">
        <v>96</v>
      </c>
      <c r="E223" s="192" t="s">
        <v>545</v>
      </c>
      <c r="F223" s="194">
        <v>864914.30849220103</v>
      </c>
      <c r="G223" s="194">
        <v>0</v>
      </c>
      <c r="H223" s="194">
        <v>864914.30849220103</v>
      </c>
      <c r="I223" s="194">
        <v>0</v>
      </c>
      <c r="M223" s="4" t="str">
        <f t="shared" si="7"/>
        <v>visible</v>
      </c>
      <c r="N223" s="28"/>
      <c r="O223" s="28"/>
      <c r="P223" s="28"/>
      <c r="Q223" s="28"/>
      <c r="R223" s="28"/>
      <c r="S223" s="28"/>
      <c r="T223" s="28"/>
      <c r="U223" s="28"/>
      <c r="V223" s="28"/>
    </row>
    <row r="224" spans="1:22" s="3" customFormat="1" x14ac:dyDescent="0.45">
      <c r="A224" s="5">
        <f t="shared" si="8"/>
        <v>11</v>
      </c>
      <c r="B224" s="192" t="s">
        <v>804</v>
      </c>
      <c r="C224" s="192" t="s">
        <v>1</v>
      </c>
      <c r="D224" s="192" t="s">
        <v>0</v>
      </c>
      <c r="E224" s="192" t="s">
        <v>163</v>
      </c>
      <c r="F224" s="194">
        <v>250000</v>
      </c>
      <c r="G224" s="194">
        <v>250000</v>
      </c>
      <c r="H224" s="194">
        <v>0</v>
      </c>
      <c r="I224" s="194">
        <v>0</v>
      </c>
      <c r="M224" s="4" t="str">
        <f t="shared" si="7"/>
        <v>visible</v>
      </c>
      <c r="N224" s="28"/>
      <c r="O224" s="28"/>
      <c r="P224" s="28"/>
      <c r="Q224" s="28"/>
      <c r="R224" s="28"/>
      <c r="S224" s="28"/>
      <c r="T224" s="28"/>
      <c r="U224" s="28"/>
      <c r="V224" s="28"/>
    </row>
    <row r="225" spans="1:22" s="3" customFormat="1" x14ac:dyDescent="0.45">
      <c r="A225" s="5">
        <f t="shared" si="8"/>
        <v>12</v>
      </c>
      <c r="B225" s="192" t="s">
        <v>831</v>
      </c>
      <c r="C225" s="192" t="s">
        <v>1</v>
      </c>
      <c r="D225" s="192" t="s">
        <v>0</v>
      </c>
      <c r="E225" s="192" t="s">
        <v>827</v>
      </c>
      <c r="F225" s="194">
        <v>250000</v>
      </c>
      <c r="G225" s="194">
        <v>250000</v>
      </c>
      <c r="H225" s="194">
        <v>0</v>
      </c>
      <c r="I225" s="194">
        <v>0</v>
      </c>
      <c r="M225" s="4" t="str">
        <f t="shared" si="7"/>
        <v>visible</v>
      </c>
      <c r="N225" s="28"/>
      <c r="O225" s="28"/>
      <c r="P225" s="28"/>
      <c r="Q225" s="28"/>
      <c r="R225" s="28"/>
      <c r="S225" s="28"/>
      <c r="T225" s="28"/>
      <c r="U225" s="28"/>
      <c r="V225" s="28"/>
    </row>
    <row r="226" spans="1:22" s="3" customFormat="1" x14ac:dyDescent="0.45">
      <c r="A226" s="5" t="str">
        <f t="shared" si="8"/>
        <v/>
      </c>
      <c r="B226" s="200" t="s">
        <v>429</v>
      </c>
      <c r="C226" s="200"/>
      <c r="D226" s="200"/>
      <c r="E226" s="200"/>
      <c r="F226" s="201">
        <v>5440327.9104398256</v>
      </c>
      <c r="G226" s="201">
        <v>1185800</v>
      </c>
      <c r="H226" s="201">
        <v>4254527.9104398256</v>
      </c>
      <c r="I226" s="201">
        <v>0</v>
      </c>
      <c r="M226" s="4" t="str">
        <f t="shared" si="7"/>
        <v>visible</v>
      </c>
      <c r="N226" s="28"/>
      <c r="O226" s="28"/>
      <c r="P226" s="28"/>
      <c r="Q226" s="28"/>
      <c r="R226" s="28"/>
      <c r="S226" s="28"/>
      <c r="T226" s="28"/>
      <c r="U226" s="28"/>
      <c r="V226" s="28"/>
    </row>
    <row r="227" spans="1:22" s="3" customFormat="1" hidden="1" x14ac:dyDescent="0.45">
      <c r="A227" s="5" t="str">
        <f t="shared" si="8"/>
        <v/>
      </c>
      <c r="B227"/>
      <c r="C227"/>
      <c r="D227"/>
      <c r="E227"/>
      <c r="F227"/>
      <c r="G227"/>
      <c r="H227"/>
      <c r="I227"/>
      <c r="M227" s="4" t="str">
        <f t="shared" si="7"/>
        <v/>
      </c>
      <c r="N227" s="28"/>
      <c r="O227" s="28"/>
      <c r="P227" s="28"/>
      <c r="Q227" s="28"/>
      <c r="R227" s="28"/>
      <c r="S227" s="28"/>
      <c r="T227" s="28"/>
      <c r="U227" s="28"/>
      <c r="V227" s="28"/>
    </row>
    <row r="228" spans="1:22" s="3" customFormat="1" hidden="1" x14ac:dyDescent="0.45">
      <c r="A228" s="5" t="str">
        <f t="shared" si="8"/>
        <v/>
      </c>
      <c r="B228"/>
      <c r="C228"/>
      <c r="D228"/>
      <c r="E228"/>
      <c r="F228"/>
      <c r="G228"/>
      <c r="H228"/>
      <c r="I228"/>
      <c r="M228" s="4" t="str">
        <f t="shared" si="7"/>
        <v/>
      </c>
      <c r="N228" s="28"/>
      <c r="O228" s="28"/>
      <c r="P228" s="28"/>
      <c r="Q228" s="28"/>
      <c r="R228" s="28"/>
      <c r="S228" s="28"/>
      <c r="T228" s="28"/>
      <c r="U228" s="28"/>
      <c r="V228" s="28"/>
    </row>
    <row r="229" spans="1:22" s="3" customFormat="1" hidden="1" x14ac:dyDescent="0.45">
      <c r="A229" s="5" t="str">
        <f t="shared" si="8"/>
        <v/>
      </c>
      <c r="B229"/>
      <c r="C229"/>
      <c r="D229"/>
      <c r="E229"/>
      <c r="F229"/>
      <c r="G229"/>
      <c r="H229"/>
      <c r="I229"/>
      <c r="M229" s="4" t="str">
        <f t="shared" si="7"/>
        <v/>
      </c>
      <c r="N229" s="28"/>
      <c r="O229" s="28"/>
      <c r="P229" s="28"/>
      <c r="Q229" s="28"/>
      <c r="R229" s="28"/>
      <c r="S229" s="28"/>
      <c r="T229" s="28"/>
      <c r="U229" s="28"/>
      <c r="V229" s="28"/>
    </row>
    <row r="230" spans="1:22" s="3" customFormat="1" ht="14.25" hidden="1" x14ac:dyDescent="0.45">
      <c r="A230" s="5" t="str">
        <f t="shared" si="8"/>
        <v/>
      </c>
      <c r="B230"/>
      <c r="C230"/>
      <c r="D230"/>
      <c r="E230"/>
      <c r="F230"/>
      <c r="G230"/>
      <c r="H230"/>
      <c r="I230"/>
      <c r="M230" s="4" t="str">
        <f t="shared" si="7"/>
        <v/>
      </c>
    </row>
    <row r="231" spans="1:22" s="3" customFormat="1" ht="14.25" hidden="1" x14ac:dyDescent="0.45">
      <c r="A231" s="5" t="str">
        <f t="shared" si="8"/>
        <v/>
      </c>
      <c r="B231"/>
      <c r="C231"/>
      <c r="D231"/>
      <c r="E231"/>
      <c r="F231"/>
      <c r="G231"/>
      <c r="H231"/>
      <c r="I231"/>
      <c r="M231" s="4" t="str">
        <f t="shared" si="7"/>
        <v/>
      </c>
    </row>
    <row r="232" spans="1:22" s="3" customFormat="1" ht="14.25" hidden="1" x14ac:dyDescent="0.45">
      <c r="A232" s="5" t="str">
        <f t="shared" si="8"/>
        <v/>
      </c>
      <c r="B232"/>
      <c r="C232"/>
      <c r="D232"/>
      <c r="E232"/>
      <c r="F232"/>
      <c r="G232"/>
      <c r="H232"/>
      <c r="I232"/>
      <c r="M232" s="4" t="str">
        <f t="shared" si="7"/>
        <v/>
      </c>
    </row>
    <row r="233" spans="1:22" s="3" customFormat="1" ht="14.25" hidden="1" x14ac:dyDescent="0.45">
      <c r="A233" s="5" t="str">
        <f t="shared" si="8"/>
        <v/>
      </c>
      <c r="B233"/>
      <c r="C233"/>
      <c r="D233"/>
      <c r="E233"/>
      <c r="F233"/>
      <c r="G233"/>
      <c r="H233"/>
      <c r="I233"/>
      <c r="M233" s="4" t="str">
        <f t="shared" si="7"/>
        <v/>
      </c>
    </row>
    <row r="234" spans="1:22" s="3" customFormat="1" ht="14.25" hidden="1" x14ac:dyDescent="0.45">
      <c r="A234" s="5" t="str">
        <f t="shared" si="8"/>
        <v/>
      </c>
      <c r="B234"/>
      <c r="C234"/>
      <c r="D234"/>
      <c r="E234"/>
      <c r="F234"/>
      <c r="G234"/>
      <c r="H234"/>
      <c r="I234"/>
      <c r="M234" s="4" t="str">
        <f t="shared" si="7"/>
        <v/>
      </c>
    </row>
    <row r="235" spans="1:22" s="3" customFormat="1" ht="14.25" hidden="1" x14ac:dyDescent="0.45">
      <c r="A235" s="5" t="str">
        <f t="shared" si="8"/>
        <v/>
      </c>
      <c r="B235"/>
      <c r="C235"/>
      <c r="D235"/>
      <c r="E235"/>
      <c r="F235"/>
      <c r="G235"/>
      <c r="H235"/>
      <c r="I235"/>
      <c r="M235" s="4" t="str">
        <f t="shared" si="7"/>
        <v/>
      </c>
    </row>
    <row r="236" spans="1:22" s="3" customFormat="1" ht="14.25" hidden="1" x14ac:dyDescent="0.45">
      <c r="A236" s="5" t="str">
        <f t="shared" si="8"/>
        <v/>
      </c>
      <c r="B236"/>
      <c r="C236"/>
      <c r="D236"/>
      <c r="E236"/>
      <c r="F236"/>
      <c r="G236"/>
      <c r="H236"/>
      <c r="I236"/>
      <c r="M236" s="4" t="str">
        <f t="shared" si="7"/>
        <v/>
      </c>
    </row>
    <row r="237" spans="1:22" s="3" customFormat="1" ht="14.25" hidden="1" x14ac:dyDescent="0.45">
      <c r="A237" s="5" t="str">
        <f t="shared" si="8"/>
        <v/>
      </c>
      <c r="B237"/>
      <c r="C237"/>
      <c r="D237"/>
      <c r="E237"/>
      <c r="F237"/>
      <c r="G237"/>
      <c r="H237"/>
      <c r="I237"/>
      <c r="M237" s="4" t="str">
        <f t="shared" si="7"/>
        <v/>
      </c>
    </row>
    <row r="238" spans="1:22" s="3" customFormat="1" ht="14.25" hidden="1" x14ac:dyDescent="0.45">
      <c r="A238" s="5" t="str">
        <f t="shared" si="8"/>
        <v/>
      </c>
      <c r="B238"/>
      <c r="C238"/>
      <c r="D238"/>
      <c r="E238"/>
      <c r="F238"/>
      <c r="G238"/>
      <c r="H238"/>
      <c r="I238"/>
      <c r="M238" s="4" t="str">
        <f t="shared" si="7"/>
        <v/>
      </c>
    </row>
    <row r="239" spans="1:22" s="3" customFormat="1" ht="14.25" hidden="1" x14ac:dyDescent="0.45">
      <c r="A239" s="5" t="str">
        <f t="shared" si="8"/>
        <v/>
      </c>
      <c r="B239"/>
      <c r="C239"/>
      <c r="D239"/>
      <c r="E239"/>
      <c r="F239"/>
      <c r="G239"/>
      <c r="H239"/>
      <c r="I239"/>
      <c r="M239" s="4" t="str">
        <f t="shared" si="7"/>
        <v/>
      </c>
    </row>
    <row r="240" spans="1:22" s="3" customFormat="1" ht="14.25" hidden="1" x14ac:dyDescent="0.45">
      <c r="A240" s="5" t="str">
        <f t="shared" si="8"/>
        <v/>
      </c>
      <c r="B240"/>
      <c r="C240"/>
      <c r="D240"/>
      <c r="E240"/>
      <c r="F240"/>
      <c r="G240"/>
      <c r="H240"/>
      <c r="I240"/>
      <c r="M240" s="4" t="str">
        <f t="shared" si="7"/>
        <v/>
      </c>
    </row>
    <row r="241" spans="1:13" s="3" customFormat="1" ht="14.25" hidden="1" x14ac:dyDescent="0.45">
      <c r="A241" s="5" t="str">
        <f t="shared" si="8"/>
        <v/>
      </c>
      <c r="B241"/>
      <c r="C241"/>
      <c r="D241"/>
      <c r="E241"/>
      <c r="F241"/>
      <c r="G241"/>
      <c r="H241"/>
      <c r="I241"/>
      <c r="M241" s="4" t="str">
        <f t="shared" si="7"/>
        <v/>
      </c>
    </row>
    <row r="242" spans="1:13" s="3" customFormat="1" ht="14.25" hidden="1" x14ac:dyDescent="0.45">
      <c r="A242" s="5" t="str">
        <f t="shared" si="8"/>
        <v/>
      </c>
      <c r="B242"/>
      <c r="C242"/>
      <c r="D242"/>
      <c r="E242"/>
      <c r="F242"/>
      <c r="G242"/>
      <c r="H242"/>
      <c r="I242"/>
      <c r="M242" s="4" t="str">
        <f t="shared" si="7"/>
        <v/>
      </c>
    </row>
    <row r="243" spans="1:13" s="3" customFormat="1" ht="14.25" hidden="1" x14ac:dyDescent="0.45">
      <c r="A243" s="5" t="str">
        <f t="shared" si="8"/>
        <v/>
      </c>
      <c r="B243"/>
      <c r="C243"/>
      <c r="D243"/>
      <c r="E243"/>
      <c r="F243"/>
      <c r="G243"/>
      <c r="H243"/>
      <c r="I243"/>
      <c r="M243" s="4" t="str">
        <f t="shared" si="7"/>
        <v/>
      </c>
    </row>
    <row r="244" spans="1:13" s="3" customFormat="1" ht="14.25" hidden="1" x14ac:dyDescent="0.45">
      <c r="A244" s="5" t="str">
        <f t="shared" si="8"/>
        <v/>
      </c>
      <c r="B244"/>
      <c r="C244"/>
      <c r="D244"/>
      <c r="E244"/>
      <c r="F244"/>
      <c r="G244"/>
      <c r="H244"/>
      <c r="I244"/>
      <c r="M244" s="4" t="str">
        <f t="shared" si="7"/>
        <v/>
      </c>
    </row>
    <row r="245" spans="1:13" s="3" customFormat="1" ht="14.25" hidden="1" x14ac:dyDescent="0.45">
      <c r="A245" s="5" t="str">
        <f t="shared" si="8"/>
        <v/>
      </c>
      <c r="B245"/>
      <c r="C245"/>
      <c r="D245"/>
      <c r="E245"/>
      <c r="F245"/>
      <c r="G245"/>
      <c r="H245"/>
      <c r="I245"/>
      <c r="M245" s="4" t="str">
        <f t="shared" si="7"/>
        <v/>
      </c>
    </row>
    <row r="246" spans="1:13" s="3" customFormat="1" ht="14.25" hidden="1" x14ac:dyDescent="0.45">
      <c r="A246" s="5" t="str">
        <f t="shared" si="8"/>
        <v/>
      </c>
      <c r="B246"/>
      <c r="C246"/>
      <c r="D246"/>
      <c r="E246"/>
      <c r="F246"/>
      <c r="G246"/>
      <c r="H246"/>
      <c r="I246"/>
      <c r="M246" s="4" t="str">
        <f t="shared" si="7"/>
        <v/>
      </c>
    </row>
    <row r="247" spans="1:13" s="3" customFormat="1" ht="14.25" hidden="1" x14ac:dyDescent="0.45">
      <c r="A247" s="5" t="str">
        <f t="shared" si="8"/>
        <v/>
      </c>
      <c r="B247"/>
      <c r="C247"/>
      <c r="D247"/>
      <c r="E247"/>
      <c r="F247"/>
      <c r="G247"/>
      <c r="H247"/>
      <c r="I247"/>
      <c r="M247" s="4" t="str">
        <f t="shared" si="7"/>
        <v/>
      </c>
    </row>
    <row r="248" spans="1:13" s="3" customFormat="1" ht="14.25" hidden="1" x14ac:dyDescent="0.45">
      <c r="A248" s="5" t="str">
        <f t="shared" si="8"/>
        <v/>
      </c>
      <c r="B248"/>
      <c r="C248"/>
      <c r="D248"/>
      <c r="E248"/>
      <c r="F248"/>
      <c r="G248"/>
      <c r="H248"/>
      <c r="I248"/>
      <c r="M248" s="4" t="str">
        <f t="shared" si="7"/>
        <v/>
      </c>
    </row>
    <row r="249" spans="1:13" s="3" customFormat="1" ht="14.25" hidden="1" x14ac:dyDescent="0.45">
      <c r="A249" s="5" t="str">
        <f t="shared" si="8"/>
        <v/>
      </c>
      <c r="B249"/>
      <c r="C249"/>
      <c r="D249"/>
      <c r="E249"/>
      <c r="F249"/>
      <c r="G249"/>
      <c r="H249"/>
      <c r="I249"/>
      <c r="M249" s="4" t="str">
        <f t="shared" si="7"/>
        <v/>
      </c>
    </row>
    <row r="250" spans="1:13" s="3" customFormat="1" ht="14.25" hidden="1" x14ac:dyDescent="0.45">
      <c r="A250" s="5" t="str">
        <f t="shared" si="8"/>
        <v/>
      </c>
      <c r="B250"/>
      <c r="C250"/>
      <c r="D250"/>
      <c r="E250"/>
      <c r="F250"/>
      <c r="G250"/>
      <c r="H250"/>
      <c r="I250"/>
      <c r="M250" s="4" t="str">
        <f t="shared" si="7"/>
        <v/>
      </c>
    </row>
    <row r="251" spans="1:13" s="3" customFormat="1" ht="14.25" hidden="1" x14ac:dyDescent="0.45">
      <c r="A251" s="5" t="str">
        <f t="shared" si="8"/>
        <v/>
      </c>
      <c r="B251"/>
      <c r="C251"/>
      <c r="D251"/>
      <c r="E251"/>
      <c r="F251"/>
      <c r="G251"/>
      <c r="H251"/>
      <c r="I251"/>
      <c r="M251" s="4" t="str">
        <f t="shared" si="7"/>
        <v/>
      </c>
    </row>
    <row r="252" spans="1:13" s="3" customFormat="1" ht="14.25" hidden="1" x14ac:dyDescent="0.45">
      <c r="A252" s="5" t="str">
        <f t="shared" si="8"/>
        <v/>
      </c>
      <c r="B252"/>
      <c r="C252"/>
      <c r="D252"/>
      <c r="E252"/>
      <c r="F252"/>
      <c r="G252"/>
      <c r="H252"/>
      <c r="I252"/>
      <c r="M252" s="4" t="str">
        <f t="shared" si="7"/>
        <v/>
      </c>
    </row>
    <row r="253" spans="1:13" s="3" customFormat="1" ht="14.25" hidden="1" x14ac:dyDescent="0.45">
      <c r="A253" s="5" t="str">
        <f t="shared" si="8"/>
        <v/>
      </c>
      <c r="B253"/>
      <c r="C253"/>
      <c r="D253"/>
      <c r="E253"/>
      <c r="F253"/>
      <c r="G253"/>
      <c r="H253"/>
      <c r="I253"/>
      <c r="M253" s="4" t="str">
        <f t="shared" si="7"/>
        <v/>
      </c>
    </row>
    <row r="254" spans="1:13" s="3" customFormat="1" ht="14.25" hidden="1" x14ac:dyDescent="0.45">
      <c r="A254" s="5" t="str">
        <f t="shared" si="8"/>
        <v/>
      </c>
      <c r="B254"/>
      <c r="C254"/>
      <c r="D254"/>
      <c r="E254"/>
      <c r="F254"/>
      <c r="G254"/>
      <c r="H254"/>
      <c r="I254"/>
      <c r="M254" s="4" t="str">
        <f t="shared" si="7"/>
        <v/>
      </c>
    </row>
    <row r="255" spans="1:13" s="3" customFormat="1" ht="14.25" hidden="1" x14ac:dyDescent="0.45">
      <c r="A255" s="5" t="str">
        <f t="shared" si="8"/>
        <v/>
      </c>
      <c r="B255"/>
      <c r="C255"/>
      <c r="D255"/>
      <c r="E255"/>
      <c r="F255"/>
      <c r="G255"/>
      <c r="H255"/>
      <c r="I255"/>
      <c r="M255" s="4" t="str">
        <f t="shared" si="7"/>
        <v/>
      </c>
    </row>
    <row r="256" spans="1:13" s="3" customFormat="1" ht="14.25" hidden="1" x14ac:dyDescent="0.45">
      <c r="A256" s="5" t="str">
        <f t="shared" si="8"/>
        <v/>
      </c>
      <c r="B256"/>
      <c r="C256"/>
      <c r="D256"/>
      <c r="E256"/>
      <c r="F256"/>
      <c r="G256"/>
      <c r="H256"/>
      <c r="I256"/>
      <c r="M256" s="4" t="str">
        <f t="shared" si="7"/>
        <v/>
      </c>
    </row>
    <row r="257" spans="1:13" s="3" customFormat="1" ht="14.25" hidden="1" x14ac:dyDescent="0.45">
      <c r="A257" s="5" t="str">
        <f t="shared" si="8"/>
        <v/>
      </c>
      <c r="B257"/>
      <c r="C257"/>
      <c r="D257"/>
      <c r="E257"/>
      <c r="F257"/>
      <c r="G257"/>
      <c r="H257"/>
      <c r="I257"/>
      <c r="M257" s="4" t="str">
        <f t="shared" si="7"/>
        <v/>
      </c>
    </row>
    <row r="258" spans="1:13" s="3" customFormat="1" ht="14.25" hidden="1" x14ac:dyDescent="0.45">
      <c r="A258" s="5" t="str">
        <f t="shared" si="8"/>
        <v/>
      </c>
      <c r="B258"/>
      <c r="C258"/>
      <c r="D258"/>
      <c r="E258"/>
      <c r="F258"/>
      <c r="G258"/>
      <c r="H258"/>
      <c r="I258"/>
      <c r="M258" s="4" t="str">
        <f t="shared" si="7"/>
        <v/>
      </c>
    </row>
    <row r="259" spans="1:13" s="3" customFormat="1" ht="14.25" hidden="1" x14ac:dyDescent="0.45">
      <c r="A259" s="5" t="str">
        <f t="shared" si="8"/>
        <v/>
      </c>
      <c r="B259"/>
      <c r="C259"/>
      <c r="D259"/>
      <c r="E259"/>
      <c r="F259"/>
      <c r="G259"/>
      <c r="H259"/>
      <c r="I259"/>
      <c r="M259" s="4" t="str">
        <f t="shared" si="7"/>
        <v/>
      </c>
    </row>
    <row r="260" spans="1:13" s="3" customFormat="1" ht="14.25" hidden="1" x14ac:dyDescent="0.45">
      <c r="A260" s="5" t="str">
        <f t="shared" si="8"/>
        <v/>
      </c>
      <c r="B260"/>
      <c r="C260"/>
      <c r="D260"/>
      <c r="E260"/>
      <c r="F260"/>
      <c r="G260"/>
      <c r="H260"/>
      <c r="I260"/>
      <c r="M260" s="4" t="str">
        <f t="shared" si="7"/>
        <v/>
      </c>
    </row>
    <row r="261" spans="1:13" s="3" customFormat="1" ht="14.25" hidden="1" x14ac:dyDescent="0.45">
      <c r="A261" s="5" t="str">
        <f t="shared" si="8"/>
        <v/>
      </c>
      <c r="B261"/>
      <c r="C261"/>
      <c r="D261"/>
      <c r="E261"/>
      <c r="F261"/>
      <c r="G261"/>
      <c r="H261"/>
      <c r="I261"/>
      <c r="M261" s="4" t="str">
        <f t="shared" ref="M261:M324" si="9">IF(B261&lt;&gt;"","visible","")</f>
        <v/>
      </c>
    </row>
    <row r="262" spans="1:13" s="3" customFormat="1" ht="14.25" hidden="1" x14ac:dyDescent="0.45">
      <c r="A262" s="5" t="str">
        <f t="shared" si="8"/>
        <v/>
      </c>
      <c r="B262"/>
      <c r="C262"/>
      <c r="D262"/>
      <c r="E262"/>
      <c r="F262"/>
      <c r="G262"/>
      <c r="H262"/>
      <c r="I262"/>
      <c r="M262" s="4" t="str">
        <f t="shared" si="9"/>
        <v/>
      </c>
    </row>
    <row r="263" spans="1:13" s="3" customFormat="1" ht="14.25" hidden="1" x14ac:dyDescent="0.45">
      <c r="A263" s="5" t="str">
        <f t="shared" si="8"/>
        <v/>
      </c>
      <c r="B263"/>
      <c r="C263"/>
      <c r="D263"/>
      <c r="E263"/>
      <c r="F263"/>
      <c r="G263"/>
      <c r="H263"/>
      <c r="I263"/>
      <c r="M263" s="4" t="str">
        <f t="shared" si="9"/>
        <v/>
      </c>
    </row>
    <row r="264" spans="1:13" s="3" customFormat="1" ht="14.25" hidden="1" x14ac:dyDescent="0.45">
      <c r="A264" s="5" t="str">
        <f t="shared" si="8"/>
        <v/>
      </c>
      <c r="B264"/>
      <c r="C264"/>
      <c r="D264"/>
      <c r="E264"/>
      <c r="F264"/>
      <c r="G264"/>
      <c r="H264"/>
      <c r="I264"/>
      <c r="M264" s="4" t="str">
        <f t="shared" si="9"/>
        <v/>
      </c>
    </row>
    <row r="265" spans="1:13" s="3" customFormat="1" ht="14.25" hidden="1" x14ac:dyDescent="0.45">
      <c r="A265" s="5" t="str">
        <f t="shared" si="8"/>
        <v/>
      </c>
      <c r="B265"/>
      <c r="C265"/>
      <c r="D265"/>
      <c r="E265"/>
      <c r="F265"/>
      <c r="G265"/>
      <c r="H265"/>
      <c r="I265"/>
      <c r="M265" s="4" t="str">
        <f t="shared" si="9"/>
        <v/>
      </c>
    </row>
    <row r="266" spans="1:13" s="3" customFormat="1" ht="14.25" hidden="1" x14ac:dyDescent="0.45">
      <c r="A266" s="5" t="str">
        <f t="shared" si="8"/>
        <v/>
      </c>
      <c r="B266"/>
      <c r="C266"/>
      <c r="D266"/>
      <c r="E266"/>
      <c r="F266"/>
      <c r="G266"/>
      <c r="H266"/>
      <c r="I266"/>
      <c r="M266" s="4" t="str">
        <f t="shared" si="9"/>
        <v/>
      </c>
    </row>
    <row r="267" spans="1:13" s="3" customFormat="1" ht="14.25" hidden="1" x14ac:dyDescent="0.45">
      <c r="A267" s="5" t="str">
        <f t="shared" si="8"/>
        <v/>
      </c>
      <c r="B267"/>
      <c r="C267"/>
      <c r="D267"/>
      <c r="E267"/>
      <c r="F267"/>
      <c r="G267"/>
      <c r="H267"/>
      <c r="I267"/>
      <c r="M267" s="4" t="str">
        <f t="shared" si="9"/>
        <v/>
      </c>
    </row>
    <row r="268" spans="1:13" s="3" customFormat="1" ht="14.25" hidden="1" x14ac:dyDescent="0.45">
      <c r="A268" s="5" t="str">
        <f t="shared" si="8"/>
        <v/>
      </c>
      <c r="B268"/>
      <c r="C268"/>
      <c r="D268"/>
      <c r="E268"/>
      <c r="F268"/>
      <c r="G268"/>
      <c r="H268"/>
      <c r="I268"/>
      <c r="M268" s="4" t="str">
        <f t="shared" si="9"/>
        <v/>
      </c>
    </row>
    <row r="269" spans="1:13" s="3" customFormat="1" ht="14.25" hidden="1" x14ac:dyDescent="0.45">
      <c r="A269" s="5" t="str">
        <f t="shared" si="8"/>
        <v/>
      </c>
      <c r="B269"/>
      <c r="C269"/>
      <c r="D269"/>
      <c r="E269"/>
      <c r="F269"/>
      <c r="G269"/>
      <c r="H269"/>
      <c r="I269"/>
      <c r="M269" s="4" t="str">
        <f t="shared" si="9"/>
        <v/>
      </c>
    </row>
    <row r="270" spans="1:13" s="3" customFormat="1" ht="14.25" hidden="1" x14ac:dyDescent="0.45">
      <c r="A270" s="5" t="str">
        <f t="shared" si="8"/>
        <v/>
      </c>
      <c r="B270"/>
      <c r="C270"/>
      <c r="D270"/>
      <c r="E270"/>
      <c r="F270"/>
      <c r="G270"/>
      <c r="H270"/>
      <c r="I270"/>
      <c r="M270" s="4" t="str">
        <f t="shared" si="9"/>
        <v/>
      </c>
    </row>
    <row r="271" spans="1:13" s="3" customFormat="1" ht="14.25" hidden="1" x14ac:dyDescent="0.45">
      <c r="A271" s="5" t="str">
        <f t="shared" si="8"/>
        <v/>
      </c>
      <c r="B271"/>
      <c r="C271"/>
      <c r="D271"/>
      <c r="E271"/>
      <c r="F271"/>
      <c r="G271"/>
      <c r="H271"/>
      <c r="I271"/>
      <c r="M271" s="4" t="str">
        <f t="shared" si="9"/>
        <v/>
      </c>
    </row>
    <row r="272" spans="1:13" s="3" customFormat="1" ht="14.25" hidden="1" x14ac:dyDescent="0.45">
      <c r="A272" s="5" t="str">
        <f t="shared" si="8"/>
        <v/>
      </c>
      <c r="B272"/>
      <c r="C272"/>
      <c r="D272"/>
      <c r="E272"/>
      <c r="F272"/>
      <c r="G272"/>
      <c r="H272"/>
      <c r="I272"/>
      <c r="M272" s="4" t="str">
        <f t="shared" si="9"/>
        <v/>
      </c>
    </row>
    <row r="273" spans="1:13" s="3" customFormat="1" ht="14.25" hidden="1" x14ac:dyDescent="0.45">
      <c r="A273" s="5" t="str">
        <f t="shared" si="8"/>
        <v/>
      </c>
      <c r="B273"/>
      <c r="C273"/>
      <c r="D273"/>
      <c r="E273"/>
      <c r="F273"/>
      <c r="G273"/>
      <c r="H273"/>
      <c r="I273"/>
      <c r="M273" s="4" t="str">
        <f t="shared" si="9"/>
        <v/>
      </c>
    </row>
    <row r="274" spans="1:13" s="3" customFormat="1" ht="14.25" hidden="1" x14ac:dyDescent="0.45">
      <c r="A274" s="5" t="str">
        <f t="shared" si="8"/>
        <v/>
      </c>
      <c r="B274"/>
      <c r="C274"/>
      <c r="D274"/>
      <c r="E274"/>
      <c r="F274"/>
      <c r="G274"/>
      <c r="H274"/>
      <c r="I274"/>
      <c r="M274" s="4" t="str">
        <f t="shared" si="9"/>
        <v/>
      </c>
    </row>
    <row r="275" spans="1:13" s="3" customFormat="1" ht="14.25" hidden="1" x14ac:dyDescent="0.45">
      <c r="A275" s="5" t="str">
        <f t="shared" si="8"/>
        <v/>
      </c>
      <c r="B275"/>
      <c r="C275"/>
      <c r="D275"/>
      <c r="E275"/>
      <c r="F275"/>
      <c r="G275"/>
      <c r="H275"/>
      <c r="I275"/>
      <c r="M275" s="4" t="str">
        <f t="shared" si="9"/>
        <v/>
      </c>
    </row>
    <row r="276" spans="1:13" s="3" customFormat="1" ht="14.25" hidden="1" x14ac:dyDescent="0.45">
      <c r="A276" s="5" t="str">
        <f t="shared" si="8"/>
        <v/>
      </c>
      <c r="B276"/>
      <c r="C276"/>
      <c r="D276"/>
      <c r="E276"/>
      <c r="F276"/>
      <c r="G276"/>
      <c r="H276"/>
      <c r="I276"/>
      <c r="M276" s="4" t="str">
        <f t="shared" si="9"/>
        <v/>
      </c>
    </row>
    <row r="277" spans="1:13" s="3" customFormat="1" ht="14.25" hidden="1" x14ac:dyDescent="0.45">
      <c r="A277" s="5" t="str">
        <f t="shared" si="8"/>
        <v/>
      </c>
      <c r="B277"/>
      <c r="C277"/>
      <c r="D277"/>
      <c r="E277"/>
      <c r="F277"/>
      <c r="G277"/>
      <c r="H277"/>
      <c r="I277"/>
      <c r="M277" s="4" t="str">
        <f t="shared" si="9"/>
        <v/>
      </c>
    </row>
    <row r="278" spans="1:13" s="3" customFormat="1" ht="14.25" hidden="1" x14ac:dyDescent="0.45">
      <c r="A278" s="5" t="str">
        <f t="shared" si="8"/>
        <v/>
      </c>
      <c r="B278"/>
      <c r="C278"/>
      <c r="D278"/>
      <c r="E278"/>
      <c r="F278"/>
      <c r="G278"/>
      <c r="H278"/>
      <c r="I278"/>
      <c r="M278" s="4" t="str">
        <f t="shared" si="9"/>
        <v/>
      </c>
    </row>
    <row r="279" spans="1:13" s="3" customFormat="1" ht="14.25" hidden="1" x14ac:dyDescent="0.45">
      <c r="A279" s="5" t="str">
        <f t="shared" ref="A279:A312" si="10">IF(M279 ="visible",IF(B279 = "Total","",A278+1),"")</f>
        <v/>
      </c>
      <c r="B279"/>
      <c r="C279"/>
      <c r="D279"/>
      <c r="E279"/>
      <c r="F279"/>
      <c r="G279"/>
      <c r="H279"/>
      <c r="I279"/>
      <c r="M279" s="4" t="str">
        <f t="shared" si="9"/>
        <v/>
      </c>
    </row>
    <row r="280" spans="1:13" s="3" customFormat="1" ht="14.25" hidden="1" x14ac:dyDescent="0.45">
      <c r="A280" s="5" t="str">
        <f t="shared" si="10"/>
        <v/>
      </c>
      <c r="B280"/>
      <c r="C280"/>
      <c r="D280"/>
      <c r="E280"/>
      <c r="F280"/>
      <c r="G280"/>
      <c r="H280"/>
      <c r="I280"/>
      <c r="M280" s="4" t="str">
        <f t="shared" si="9"/>
        <v/>
      </c>
    </row>
    <row r="281" spans="1:13" s="3" customFormat="1" ht="14.25" hidden="1" x14ac:dyDescent="0.45">
      <c r="A281" s="5" t="str">
        <f t="shared" si="10"/>
        <v/>
      </c>
      <c r="B281"/>
      <c r="C281"/>
      <c r="D281"/>
      <c r="E281"/>
      <c r="F281"/>
      <c r="G281"/>
      <c r="H281"/>
      <c r="I281"/>
      <c r="M281" s="4" t="str">
        <f t="shared" si="9"/>
        <v/>
      </c>
    </row>
    <row r="282" spans="1:13" s="3" customFormat="1" ht="14.25" hidden="1" x14ac:dyDescent="0.45">
      <c r="A282" s="5" t="str">
        <f t="shared" si="10"/>
        <v/>
      </c>
      <c r="B282"/>
      <c r="C282"/>
      <c r="D282"/>
      <c r="E282"/>
      <c r="F282"/>
      <c r="G282"/>
      <c r="H282"/>
      <c r="I282"/>
      <c r="M282" s="4" t="str">
        <f t="shared" si="9"/>
        <v/>
      </c>
    </row>
    <row r="283" spans="1:13" s="3" customFormat="1" ht="14.25" hidden="1" x14ac:dyDescent="0.45">
      <c r="A283" s="5" t="str">
        <f t="shared" si="10"/>
        <v/>
      </c>
      <c r="B283"/>
      <c r="C283"/>
      <c r="D283"/>
      <c r="E283"/>
      <c r="F283"/>
      <c r="G283"/>
      <c r="H283"/>
      <c r="I283"/>
      <c r="M283" s="4" t="str">
        <f t="shared" si="9"/>
        <v/>
      </c>
    </row>
    <row r="284" spans="1:13" s="3" customFormat="1" ht="14.25" hidden="1" x14ac:dyDescent="0.45">
      <c r="A284" s="5" t="str">
        <f t="shared" si="10"/>
        <v/>
      </c>
      <c r="B284"/>
      <c r="C284"/>
      <c r="D284"/>
      <c r="E284"/>
      <c r="F284"/>
      <c r="G284"/>
      <c r="H284"/>
      <c r="I284"/>
      <c r="M284" s="4" t="str">
        <f t="shared" si="9"/>
        <v/>
      </c>
    </row>
    <row r="285" spans="1:13" s="3" customFormat="1" ht="14.25" hidden="1" x14ac:dyDescent="0.45">
      <c r="A285" s="5" t="str">
        <f t="shared" si="10"/>
        <v/>
      </c>
      <c r="B285"/>
      <c r="C285"/>
      <c r="D285"/>
      <c r="E285"/>
      <c r="F285"/>
      <c r="G285"/>
      <c r="H285"/>
      <c r="I285"/>
      <c r="M285" s="4" t="str">
        <f t="shared" si="9"/>
        <v/>
      </c>
    </row>
    <row r="286" spans="1:13" s="3" customFormat="1" ht="13.9" hidden="1" x14ac:dyDescent="0.4">
      <c r="A286" s="5" t="str">
        <f t="shared" si="10"/>
        <v/>
      </c>
      <c r="M286" s="4" t="str">
        <f t="shared" si="9"/>
        <v/>
      </c>
    </row>
    <row r="287" spans="1:13" s="3" customFormat="1" ht="13.9" hidden="1" x14ac:dyDescent="0.4">
      <c r="A287" s="5" t="str">
        <f t="shared" si="10"/>
        <v/>
      </c>
      <c r="M287" s="4" t="str">
        <f t="shared" si="9"/>
        <v/>
      </c>
    </row>
    <row r="288" spans="1:13" s="3" customFormat="1" ht="13.9" hidden="1" x14ac:dyDescent="0.4">
      <c r="A288" s="5" t="str">
        <f t="shared" si="10"/>
        <v/>
      </c>
      <c r="M288" s="4" t="str">
        <f t="shared" si="9"/>
        <v/>
      </c>
    </row>
    <row r="289" spans="1:13" s="3" customFormat="1" ht="13.9" hidden="1" x14ac:dyDescent="0.4">
      <c r="A289" s="5" t="str">
        <f t="shared" si="10"/>
        <v/>
      </c>
      <c r="M289" s="4" t="str">
        <f t="shared" si="9"/>
        <v/>
      </c>
    </row>
    <row r="290" spans="1:13" s="3" customFormat="1" ht="13.9" hidden="1" x14ac:dyDescent="0.4">
      <c r="A290" s="5" t="str">
        <f t="shared" si="10"/>
        <v/>
      </c>
      <c r="M290" s="4" t="str">
        <f t="shared" si="9"/>
        <v/>
      </c>
    </row>
    <row r="291" spans="1:13" s="3" customFormat="1" ht="13.9" hidden="1" x14ac:dyDescent="0.4">
      <c r="A291" s="5" t="str">
        <f t="shared" si="10"/>
        <v/>
      </c>
      <c r="M291" s="4" t="str">
        <f t="shared" si="9"/>
        <v/>
      </c>
    </row>
    <row r="292" spans="1:13" s="3" customFormat="1" ht="13.9" hidden="1" x14ac:dyDescent="0.4">
      <c r="A292" s="5" t="str">
        <f t="shared" si="10"/>
        <v/>
      </c>
      <c r="M292" s="4" t="str">
        <f t="shared" si="9"/>
        <v/>
      </c>
    </row>
    <row r="293" spans="1:13" s="3" customFormat="1" ht="13.9" hidden="1" x14ac:dyDescent="0.4">
      <c r="A293" s="5" t="str">
        <f t="shared" si="10"/>
        <v/>
      </c>
      <c r="M293" s="4" t="str">
        <f t="shared" si="9"/>
        <v/>
      </c>
    </row>
    <row r="294" spans="1:13" s="3" customFormat="1" ht="13.9" hidden="1" x14ac:dyDescent="0.4">
      <c r="A294" s="5" t="str">
        <f t="shared" si="10"/>
        <v/>
      </c>
      <c r="M294" s="4" t="str">
        <f t="shared" si="9"/>
        <v/>
      </c>
    </row>
    <row r="295" spans="1:13" s="3" customFormat="1" ht="13.9" hidden="1" x14ac:dyDescent="0.4">
      <c r="A295" s="5" t="str">
        <f t="shared" si="10"/>
        <v/>
      </c>
      <c r="M295" s="4" t="str">
        <f t="shared" si="9"/>
        <v/>
      </c>
    </row>
    <row r="296" spans="1:13" s="3" customFormat="1" ht="13.9" hidden="1" x14ac:dyDescent="0.4">
      <c r="A296" s="5" t="str">
        <f t="shared" si="10"/>
        <v/>
      </c>
      <c r="M296" s="4" t="str">
        <f t="shared" si="9"/>
        <v/>
      </c>
    </row>
    <row r="297" spans="1:13" s="3" customFormat="1" ht="13.9" hidden="1" x14ac:dyDescent="0.4">
      <c r="A297" s="5" t="str">
        <f t="shared" si="10"/>
        <v/>
      </c>
      <c r="M297" s="4" t="str">
        <f t="shared" si="9"/>
        <v/>
      </c>
    </row>
    <row r="298" spans="1:13" s="3" customFormat="1" ht="13.9" hidden="1" x14ac:dyDescent="0.4">
      <c r="A298" s="5" t="str">
        <f t="shared" si="10"/>
        <v/>
      </c>
      <c r="M298" s="4" t="str">
        <f t="shared" si="9"/>
        <v/>
      </c>
    </row>
    <row r="299" spans="1:13" s="3" customFormat="1" ht="13.9" hidden="1" x14ac:dyDescent="0.4">
      <c r="A299" s="5" t="str">
        <f t="shared" si="10"/>
        <v/>
      </c>
      <c r="M299" s="4" t="str">
        <f t="shared" si="9"/>
        <v/>
      </c>
    </row>
    <row r="300" spans="1:13" s="3" customFormat="1" ht="13.9" hidden="1" x14ac:dyDescent="0.4">
      <c r="A300" s="5" t="str">
        <f t="shared" si="10"/>
        <v/>
      </c>
      <c r="M300" s="4" t="str">
        <f t="shared" si="9"/>
        <v/>
      </c>
    </row>
    <row r="301" spans="1:13" s="3" customFormat="1" ht="13.9" hidden="1" x14ac:dyDescent="0.4">
      <c r="A301" s="5" t="str">
        <f t="shared" si="10"/>
        <v/>
      </c>
      <c r="M301" s="4" t="str">
        <f t="shared" si="9"/>
        <v/>
      </c>
    </row>
    <row r="302" spans="1:13" s="3" customFormat="1" ht="13.9" hidden="1" x14ac:dyDescent="0.4">
      <c r="A302" s="5" t="str">
        <f t="shared" si="10"/>
        <v/>
      </c>
      <c r="M302" s="4" t="str">
        <f t="shared" si="9"/>
        <v/>
      </c>
    </row>
    <row r="303" spans="1:13" s="3" customFormat="1" ht="13.9" hidden="1" x14ac:dyDescent="0.4">
      <c r="A303" s="5" t="str">
        <f t="shared" si="10"/>
        <v/>
      </c>
      <c r="M303" s="4" t="str">
        <f t="shared" si="9"/>
        <v/>
      </c>
    </row>
    <row r="304" spans="1:13" s="3" customFormat="1" ht="13.9" hidden="1" x14ac:dyDescent="0.4">
      <c r="A304" s="5" t="str">
        <f t="shared" si="10"/>
        <v/>
      </c>
      <c r="M304" s="4" t="str">
        <f t="shared" si="9"/>
        <v/>
      </c>
    </row>
    <row r="305" spans="1:22" s="3" customFormat="1" ht="13.9" hidden="1" x14ac:dyDescent="0.4">
      <c r="A305" s="5" t="str">
        <f t="shared" si="10"/>
        <v/>
      </c>
      <c r="M305" s="4" t="str">
        <f t="shared" si="9"/>
        <v/>
      </c>
    </row>
    <row r="306" spans="1:22" s="3" customFormat="1" ht="13.9" hidden="1" x14ac:dyDescent="0.4">
      <c r="A306" s="5" t="str">
        <f t="shared" si="10"/>
        <v/>
      </c>
      <c r="M306" s="4" t="str">
        <f t="shared" si="9"/>
        <v/>
      </c>
    </row>
    <row r="307" spans="1:22" s="3" customFormat="1" ht="13.9" hidden="1" x14ac:dyDescent="0.4">
      <c r="A307" s="5" t="str">
        <f t="shared" si="10"/>
        <v/>
      </c>
      <c r="M307" s="4" t="str">
        <f t="shared" si="9"/>
        <v/>
      </c>
    </row>
    <row r="308" spans="1:22" s="3" customFormat="1" ht="13.9" hidden="1" x14ac:dyDescent="0.4">
      <c r="A308" s="5" t="str">
        <f t="shared" si="10"/>
        <v/>
      </c>
      <c r="M308" s="4" t="str">
        <f t="shared" si="9"/>
        <v/>
      </c>
    </row>
    <row r="309" spans="1:22" s="3" customFormat="1" ht="13.9" hidden="1" x14ac:dyDescent="0.4">
      <c r="A309" s="5" t="str">
        <f t="shared" si="10"/>
        <v/>
      </c>
      <c r="M309" s="4" t="str">
        <f t="shared" si="9"/>
        <v/>
      </c>
    </row>
    <row r="310" spans="1:22" s="3" customFormat="1" ht="13.9" hidden="1" x14ac:dyDescent="0.4">
      <c r="A310" s="5" t="str">
        <f t="shared" si="10"/>
        <v/>
      </c>
      <c r="M310" s="4" t="str">
        <f t="shared" si="9"/>
        <v/>
      </c>
    </row>
    <row r="311" spans="1:22" s="3" customFormat="1" ht="13.9" hidden="1" x14ac:dyDescent="0.4">
      <c r="A311" s="5" t="str">
        <f t="shared" si="10"/>
        <v/>
      </c>
      <c r="M311" s="4" t="str">
        <f t="shared" si="9"/>
        <v/>
      </c>
    </row>
    <row r="312" spans="1:22" s="3" customFormat="1" ht="13.9" hidden="1" x14ac:dyDescent="0.4">
      <c r="A312" s="5" t="str">
        <f t="shared" si="10"/>
        <v/>
      </c>
      <c r="M312" s="4" t="str">
        <f t="shared" si="9"/>
        <v/>
      </c>
    </row>
    <row r="313" spans="1:22" s="3" customFormat="1" ht="13.9" hidden="1" x14ac:dyDescent="0.4">
      <c r="A313" s="5" t="str">
        <f>IF(M313 ="visible",IF(B313 = "Gesamtergebnis","",A312+1),"")</f>
        <v/>
      </c>
      <c r="M313" s="4" t="str">
        <f t="shared" si="9"/>
        <v/>
      </c>
    </row>
    <row r="314" spans="1:22" x14ac:dyDescent="0.45">
      <c r="B314" s="9" t="s">
        <v>136</v>
      </c>
      <c r="M314" s="4" t="str">
        <f t="shared" si="9"/>
        <v>visible</v>
      </c>
    </row>
    <row r="315" spans="1:22" x14ac:dyDescent="0.45">
      <c r="A315" s="12"/>
      <c r="B315" s="196" t="s">
        <v>311</v>
      </c>
      <c r="C315" s="192" t="s">
        <v>242</v>
      </c>
      <c r="M315" s="4" t="str">
        <f t="shared" si="9"/>
        <v>visible</v>
      </c>
    </row>
    <row r="316" spans="1:22" s="3" customFormat="1" ht="13.9" hidden="1" x14ac:dyDescent="0.4">
      <c r="A316" s="5"/>
      <c r="M316" s="4" t="str">
        <f t="shared" si="9"/>
        <v/>
      </c>
    </row>
    <row r="317" spans="1:22" x14ac:dyDescent="0.45">
      <c r="A317" s="13"/>
      <c r="B317" s="193" t="s">
        <v>5</v>
      </c>
      <c r="C317" s="193" t="s">
        <v>7</v>
      </c>
      <c r="D317" s="193" t="s">
        <v>23</v>
      </c>
      <c r="E317" s="193" t="s">
        <v>14</v>
      </c>
      <c r="F317" s="195" t="s">
        <v>135</v>
      </c>
      <c r="G317" s="192" t="s">
        <v>257</v>
      </c>
      <c r="H317" s="192" t="s">
        <v>258</v>
      </c>
      <c r="I317" s="195" t="s">
        <v>263</v>
      </c>
      <c r="M317" s="4" t="str">
        <f t="shared" si="9"/>
        <v>visible</v>
      </c>
    </row>
    <row r="318" spans="1:22" x14ac:dyDescent="0.45">
      <c r="A318" s="5">
        <f>IF(M318 ="visible",IF(B318 = "Total","",A317+1),"")</f>
        <v>1</v>
      </c>
      <c r="B318" s="192" t="s">
        <v>139</v>
      </c>
      <c r="C318" s="192" t="s">
        <v>97</v>
      </c>
      <c r="D318" s="192" t="s">
        <v>96</v>
      </c>
      <c r="E318" s="192" t="s">
        <v>140</v>
      </c>
      <c r="F318" s="194">
        <v>98000</v>
      </c>
      <c r="G318" s="194">
        <v>98000</v>
      </c>
      <c r="H318" s="194">
        <v>0</v>
      </c>
      <c r="I318" s="194">
        <v>0</v>
      </c>
      <c r="M318" s="4" t="str">
        <f t="shared" si="9"/>
        <v>visible</v>
      </c>
    </row>
    <row r="319" spans="1:22" x14ac:dyDescent="0.45">
      <c r="A319" s="5">
        <f t="shared" ref="A319:A417" si="11">IF(M319 ="visible",IF(B319 = "Total","",A318+1),"")</f>
        <v>2</v>
      </c>
      <c r="B319" s="192" t="s">
        <v>566</v>
      </c>
      <c r="C319" s="192" t="s">
        <v>97</v>
      </c>
      <c r="D319" s="192" t="s">
        <v>0</v>
      </c>
      <c r="E319" s="192" t="s">
        <v>399</v>
      </c>
      <c r="F319" s="194">
        <v>0</v>
      </c>
      <c r="G319" s="194">
        <v>0</v>
      </c>
      <c r="H319" s="194">
        <v>0</v>
      </c>
      <c r="I319" s="194">
        <v>0</v>
      </c>
      <c r="M319" s="4" t="str">
        <f t="shared" si="9"/>
        <v>visible</v>
      </c>
    </row>
    <row r="320" spans="1:22" s="3" customFormat="1" x14ac:dyDescent="0.45">
      <c r="A320" s="5">
        <f t="shared" si="11"/>
        <v>3</v>
      </c>
      <c r="B320" s="192" t="s">
        <v>606</v>
      </c>
      <c r="C320" s="192" t="s">
        <v>1</v>
      </c>
      <c r="D320" s="192" t="s">
        <v>0</v>
      </c>
      <c r="E320" s="192" t="s">
        <v>607</v>
      </c>
      <c r="F320" s="194">
        <v>55000</v>
      </c>
      <c r="G320" s="194">
        <v>55000</v>
      </c>
      <c r="H320" s="194">
        <v>0</v>
      </c>
      <c r="I320" s="194">
        <v>0</v>
      </c>
      <c r="M320" s="4" t="str">
        <f t="shared" si="9"/>
        <v>visible</v>
      </c>
      <c r="N320" s="28"/>
      <c r="O320" s="28"/>
      <c r="P320" s="28"/>
      <c r="Q320" s="28"/>
      <c r="R320" s="28"/>
      <c r="S320" s="28"/>
      <c r="T320" s="28"/>
      <c r="U320" s="28"/>
      <c r="V320" s="28"/>
    </row>
    <row r="321" spans="1:22" s="3" customFormat="1" x14ac:dyDescent="0.45">
      <c r="A321" s="5">
        <f t="shared" si="11"/>
        <v>4</v>
      </c>
      <c r="B321" s="192" t="s">
        <v>692</v>
      </c>
      <c r="C321" s="192" t="s">
        <v>2</v>
      </c>
      <c r="D321" s="192" t="s">
        <v>0</v>
      </c>
      <c r="E321" s="192" t="s">
        <v>693</v>
      </c>
      <c r="F321" s="194">
        <v>315223.88059701491</v>
      </c>
      <c r="G321" s="194">
        <v>0</v>
      </c>
      <c r="H321" s="194">
        <v>315223.88059701491</v>
      </c>
      <c r="I321" s="194">
        <v>0</v>
      </c>
      <c r="M321" s="4" t="str">
        <f t="shared" si="9"/>
        <v>visible</v>
      </c>
      <c r="N321" s="28"/>
      <c r="O321" s="28"/>
      <c r="P321" s="28"/>
      <c r="Q321" s="28"/>
      <c r="R321" s="28"/>
      <c r="S321" s="28"/>
      <c r="T321" s="28"/>
      <c r="U321" s="28"/>
      <c r="V321" s="28"/>
    </row>
    <row r="322" spans="1:22" s="3" customFormat="1" x14ac:dyDescent="0.45">
      <c r="A322" s="5">
        <f t="shared" si="11"/>
        <v>5</v>
      </c>
      <c r="B322" s="192" t="s">
        <v>754</v>
      </c>
      <c r="C322" s="192" t="s">
        <v>718</v>
      </c>
      <c r="D322" s="192" t="s">
        <v>96</v>
      </c>
      <c r="E322" s="192" t="s">
        <v>718</v>
      </c>
      <c r="F322" s="194">
        <v>0</v>
      </c>
      <c r="G322" s="194">
        <v>0</v>
      </c>
      <c r="H322" s="194">
        <v>0</v>
      </c>
      <c r="I322" s="194">
        <v>0</v>
      </c>
      <c r="M322" s="4" t="str">
        <f t="shared" si="9"/>
        <v>visible</v>
      </c>
      <c r="N322" s="28"/>
      <c r="O322" s="28"/>
      <c r="P322" s="28"/>
      <c r="Q322" s="28"/>
      <c r="R322" s="28"/>
      <c r="S322" s="28"/>
      <c r="T322" s="28"/>
      <c r="U322" s="28"/>
      <c r="V322" s="28"/>
    </row>
    <row r="323" spans="1:22" s="3" customFormat="1" x14ac:dyDescent="0.45">
      <c r="A323" s="5">
        <f t="shared" si="11"/>
        <v>6</v>
      </c>
      <c r="B323" s="192" t="s">
        <v>788</v>
      </c>
      <c r="C323" s="192" t="s">
        <v>2</v>
      </c>
      <c r="D323" s="192" t="s">
        <v>0</v>
      </c>
      <c r="E323" s="192" t="s">
        <v>789</v>
      </c>
      <c r="F323" s="194">
        <v>196540.88050314464</v>
      </c>
      <c r="G323" s="194">
        <v>0</v>
      </c>
      <c r="H323" s="194">
        <v>196540.88050314464</v>
      </c>
      <c r="I323" s="194">
        <v>0</v>
      </c>
      <c r="M323" s="4" t="str">
        <f t="shared" si="9"/>
        <v>visible</v>
      </c>
      <c r="N323" s="28"/>
      <c r="O323" s="28"/>
      <c r="P323" s="28"/>
      <c r="Q323" s="28"/>
      <c r="R323" s="28"/>
      <c r="S323" s="28"/>
      <c r="T323" s="28"/>
      <c r="U323" s="28"/>
      <c r="V323" s="28"/>
    </row>
    <row r="324" spans="1:22" s="3" customFormat="1" x14ac:dyDescent="0.45">
      <c r="A324" s="5">
        <f t="shared" si="11"/>
        <v>7</v>
      </c>
      <c r="B324" s="192" t="s">
        <v>755</v>
      </c>
      <c r="C324" s="192" t="s">
        <v>2</v>
      </c>
      <c r="D324" s="192" t="s">
        <v>0</v>
      </c>
      <c r="E324" s="192" t="s">
        <v>758</v>
      </c>
      <c r="F324" s="194">
        <v>0</v>
      </c>
      <c r="G324" s="194">
        <v>0</v>
      </c>
      <c r="H324" s="194">
        <v>0</v>
      </c>
      <c r="I324" s="194">
        <v>0</v>
      </c>
      <c r="M324" s="4" t="str">
        <f t="shared" si="9"/>
        <v>visible</v>
      </c>
      <c r="N324" s="28"/>
      <c r="O324" s="28"/>
      <c r="P324" s="28"/>
      <c r="Q324" s="28"/>
      <c r="R324" s="28"/>
      <c r="S324" s="28"/>
      <c r="T324" s="28"/>
      <c r="U324" s="28"/>
      <c r="V324" s="28"/>
    </row>
    <row r="325" spans="1:22" s="3" customFormat="1" x14ac:dyDescent="0.45">
      <c r="A325" s="5">
        <f t="shared" si="11"/>
        <v>8</v>
      </c>
      <c r="B325" s="192" t="s">
        <v>791</v>
      </c>
      <c r="C325" s="192" t="s">
        <v>1</v>
      </c>
      <c r="D325" s="192" t="s">
        <v>0</v>
      </c>
      <c r="E325" s="192" t="s">
        <v>793</v>
      </c>
      <c r="F325" s="194">
        <v>153360</v>
      </c>
      <c r="G325" s="194">
        <v>153360</v>
      </c>
      <c r="H325" s="194">
        <v>0</v>
      </c>
      <c r="I325" s="194">
        <v>0</v>
      </c>
      <c r="M325" s="4" t="str">
        <f t="shared" ref="M325:M388" si="12">IF(B325&lt;&gt;"","visible","")</f>
        <v>visible</v>
      </c>
      <c r="N325" s="28"/>
      <c r="O325" s="28"/>
      <c r="P325" s="28"/>
      <c r="Q325" s="28"/>
      <c r="R325" s="28"/>
      <c r="S325" s="28"/>
      <c r="T325" s="28"/>
      <c r="U325" s="28"/>
      <c r="V325" s="28"/>
    </row>
    <row r="326" spans="1:22" s="3" customFormat="1" x14ac:dyDescent="0.45">
      <c r="A326" s="5">
        <f t="shared" si="11"/>
        <v>9</v>
      </c>
      <c r="B326" s="192" t="s">
        <v>810</v>
      </c>
      <c r="C326" s="192" t="s">
        <v>1</v>
      </c>
      <c r="D326" s="192" t="s">
        <v>0</v>
      </c>
      <c r="E326" s="192" t="s">
        <v>812</v>
      </c>
      <c r="F326" s="194">
        <v>8000</v>
      </c>
      <c r="G326" s="194">
        <v>8000</v>
      </c>
      <c r="H326" s="194">
        <v>0</v>
      </c>
      <c r="I326" s="194">
        <v>0</v>
      </c>
      <c r="M326" s="4" t="str">
        <f t="shared" si="12"/>
        <v>visible</v>
      </c>
      <c r="N326" s="28"/>
      <c r="O326" s="28"/>
      <c r="P326" s="28"/>
      <c r="Q326" s="28"/>
      <c r="R326" s="28"/>
      <c r="S326" s="28"/>
      <c r="T326" s="28"/>
      <c r="U326" s="28"/>
      <c r="V326" s="28"/>
    </row>
    <row r="327" spans="1:22" s="3" customFormat="1" x14ac:dyDescent="0.45">
      <c r="A327" s="5">
        <f t="shared" si="11"/>
        <v>10</v>
      </c>
      <c r="B327" s="192" t="s">
        <v>874</v>
      </c>
      <c r="C327" s="192" t="s">
        <v>1</v>
      </c>
      <c r="D327" s="192" t="s">
        <v>718</v>
      </c>
      <c r="E327" s="192" t="s">
        <v>2</v>
      </c>
      <c r="F327" s="194">
        <v>22100</v>
      </c>
      <c r="G327" s="194">
        <v>22100</v>
      </c>
      <c r="H327" s="194">
        <v>0</v>
      </c>
      <c r="I327" s="194">
        <v>0</v>
      </c>
      <c r="M327" s="4" t="str">
        <f t="shared" si="12"/>
        <v>visible</v>
      </c>
      <c r="N327" s="28"/>
      <c r="O327" s="28"/>
      <c r="P327" s="28"/>
      <c r="Q327" s="28"/>
      <c r="R327" s="28"/>
      <c r="S327" s="28"/>
      <c r="T327" s="28"/>
      <c r="U327" s="28"/>
      <c r="V327" s="28"/>
    </row>
    <row r="328" spans="1:22" s="3" customFormat="1" x14ac:dyDescent="0.45">
      <c r="A328" s="5">
        <f t="shared" si="11"/>
        <v>11</v>
      </c>
      <c r="B328" s="192" t="s">
        <v>842</v>
      </c>
      <c r="C328" s="192" t="s">
        <v>2</v>
      </c>
      <c r="D328" s="192" t="s">
        <v>0</v>
      </c>
      <c r="E328" s="192" t="s">
        <v>321</v>
      </c>
      <c r="F328" s="194">
        <v>0</v>
      </c>
      <c r="G328" s="194">
        <v>0</v>
      </c>
      <c r="H328" s="194">
        <v>0</v>
      </c>
      <c r="I328" s="194">
        <v>0</v>
      </c>
      <c r="M328" s="4" t="str">
        <f t="shared" si="12"/>
        <v>visible</v>
      </c>
      <c r="N328" s="28"/>
      <c r="O328" s="28"/>
      <c r="P328" s="28"/>
      <c r="Q328" s="28"/>
      <c r="R328" s="28"/>
      <c r="S328" s="28"/>
      <c r="T328" s="28"/>
      <c r="U328" s="28"/>
      <c r="V328" s="28"/>
    </row>
    <row r="329" spans="1:22" s="3" customFormat="1" x14ac:dyDescent="0.45">
      <c r="A329" s="5" t="str">
        <f t="shared" si="11"/>
        <v/>
      </c>
      <c r="B329" s="193" t="s">
        <v>429</v>
      </c>
      <c r="C329" s="193"/>
      <c r="D329" s="193"/>
      <c r="E329" s="193"/>
      <c r="F329" s="195">
        <v>848224.76110015949</v>
      </c>
      <c r="G329" s="195">
        <v>336460</v>
      </c>
      <c r="H329" s="195">
        <v>511764.76110015955</v>
      </c>
      <c r="I329" s="195">
        <v>0</v>
      </c>
      <c r="M329" s="4" t="str">
        <f t="shared" si="12"/>
        <v>visible</v>
      </c>
      <c r="N329" s="28"/>
      <c r="O329" s="28"/>
      <c r="P329" s="28"/>
      <c r="Q329" s="28"/>
      <c r="R329" s="28"/>
      <c r="S329" s="28"/>
      <c r="T329" s="28"/>
      <c r="U329" s="28"/>
      <c r="V329" s="28"/>
    </row>
    <row r="330" spans="1:22" s="3" customFormat="1" hidden="1" x14ac:dyDescent="0.45">
      <c r="A330" s="5" t="str">
        <f t="shared" si="11"/>
        <v/>
      </c>
      <c r="B330"/>
      <c r="C330"/>
      <c r="D330"/>
      <c r="E330"/>
      <c r="F330"/>
      <c r="G330"/>
      <c r="H330"/>
      <c r="I330"/>
      <c r="M330" s="4" t="str">
        <f t="shared" si="12"/>
        <v/>
      </c>
      <c r="N330" s="28"/>
      <c r="O330" s="28"/>
      <c r="P330" s="28"/>
      <c r="Q330" s="28"/>
      <c r="R330" s="28"/>
      <c r="S330" s="28"/>
      <c r="T330" s="28"/>
      <c r="U330" s="28"/>
      <c r="V330" s="28"/>
    </row>
    <row r="331" spans="1:22" s="3" customFormat="1" hidden="1" x14ac:dyDescent="0.45">
      <c r="A331" s="5" t="str">
        <f t="shared" si="11"/>
        <v/>
      </c>
      <c r="B331"/>
      <c r="C331"/>
      <c r="D331"/>
      <c r="E331"/>
      <c r="F331"/>
      <c r="G331"/>
      <c r="H331"/>
      <c r="I331"/>
      <c r="M331" s="4" t="str">
        <f t="shared" si="12"/>
        <v/>
      </c>
      <c r="N331" s="28"/>
      <c r="O331" s="28"/>
      <c r="P331" s="28"/>
      <c r="Q331" s="28"/>
      <c r="R331" s="28"/>
      <c r="S331" s="28"/>
      <c r="T331" s="28"/>
      <c r="U331" s="28"/>
      <c r="V331" s="28"/>
    </row>
    <row r="332" spans="1:22" s="3" customFormat="1" hidden="1" x14ac:dyDescent="0.45">
      <c r="A332" s="5" t="str">
        <f t="shared" si="11"/>
        <v/>
      </c>
      <c r="B332"/>
      <c r="C332"/>
      <c r="D332"/>
      <c r="E332"/>
      <c r="F332"/>
      <c r="G332"/>
      <c r="H332"/>
      <c r="I332"/>
      <c r="M332" s="4" t="str">
        <f t="shared" si="12"/>
        <v/>
      </c>
      <c r="N332" s="28"/>
      <c r="O332" s="28"/>
      <c r="P332" s="28"/>
      <c r="Q332" s="28"/>
      <c r="R332" s="28"/>
      <c r="S332" s="28"/>
      <c r="T332" s="28"/>
      <c r="U332" s="28"/>
      <c r="V332" s="28"/>
    </row>
    <row r="333" spans="1:22" s="3" customFormat="1" hidden="1" x14ac:dyDescent="0.45">
      <c r="A333" s="5" t="str">
        <f t="shared" si="11"/>
        <v/>
      </c>
      <c r="B333"/>
      <c r="C333"/>
      <c r="D333"/>
      <c r="E333"/>
      <c r="F333"/>
      <c r="G333"/>
      <c r="H333"/>
      <c r="I333"/>
      <c r="M333" s="4" t="str">
        <f t="shared" si="12"/>
        <v/>
      </c>
      <c r="N333" s="28"/>
      <c r="O333" s="28"/>
      <c r="P333" s="28"/>
      <c r="Q333" s="28"/>
      <c r="R333" s="28"/>
      <c r="S333" s="28"/>
      <c r="T333" s="28"/>
      <c r="U333" s="28"/>
      <c r="V333" s="28"/>
    </row>
    <row r="334" spans="1:22" s="3" customFormat="1" hidden="1" x14ac:dyDescent="0.45">
      <c r="A334" s="5" t="str">
        <f t="shared" si="11"/>
        <v/>
      </c>
      <c r="B334"/>
      <c r="C334"/>
      <c r="D334"/>
      <c r="E334"/>
      <c r="F334"/>
      <c r="G334"/>
      <c r="H334"/>
      <c r="I334"/>
      <c r="M334" s="4" t="str">
        <f t="shared" si="12"/>
        <v/>
      </c>
      <c r="N334" s="28"/>
      <c r="O334" s="28"/>
      <c r="P334" s="28"/>
      <c r="Q334" s="28"/>
      <c r="R334" s="28"/>
      <c r="S334" s="28"/>
      <c r="T334" s="28"/>
      <c r="U334" s="28"/>
      <c r="V334" s="28"/>
    </row>
    <row r="335" spans="1:22" s="3" customFormat="1" hidden="1" x14ac:dyDescent="0.45">
      <c r="A335" s="5" t="str">
        <f t="shared" si="11"/>
        <v/>
      </c>
      <c r="B335"/>
      <c r="C335"/>
      <c r="D335"/>
      <c r="E335"/>
      <c r="F335"/>
      <c r="G335"/>
      <c r="H335"/>
      <c r="I335"/>
      <c r="M335" s="4" t="str">
        <f t="shared" si="12"/>
        <v/>
      </c>
      <c r="N335" s="28"/>
      <c r="O335" s="28"/>
      <c r="P335" s="28"/>
      <c r="Q335" s="28"/>
      <c r="R335" s="28"/>
      <c r="S335" s="28"/>
      <c r="T335" s="28"/>
      <c r="U335" s="28"/>
      <c r="V335" s="28"/>
    </row>
    <row r="336" spans="1:22" s="3" customFormat="1" hidden="1" x14ac:dyDescent="0.45">
      <c r="A336" s="5" t="str">
        <f t="shared" si="11"/>
        <v/>
      </c>
      <c r="B336"/>
      <c r="C336"/>
      <c r="D336"/>
      <c r="E336"/>
      <c r="F336"/>
      <c r="G336"/>
      <c r="H336"/>
      <c r="I336"/>
      <c r="M336" s="4" t="str">
        <f t="shared" si="12"/>
        <v/>
      </c>
      <c r="N336" s="28"/>
      <c r="O336" s="28"/>
      <c r="P336" s="28"/>
      <c r="Q336" s="28"/>
      <c r="R336" s="28"/>
      <c r="S336" s="28"/>
      <c r="T336" s="28"/>
      <c r="U336" s="28"/>
      <c r="V336" s="28"/>
    </row>
    <row r="337" spans="1:22" s="3" customFormat="1" hidden="1" x14ac:dyDescent="0.45">
      <c r="A337" s="5" t="str">
        <f t="shared" si="11"/>
        <v/>
      </c>
      <c r="B337"/>
      <c r="C337"/>
      <c r="D337"/>
      <c r="E337"/>
      <c r="F337"/>
      <c r="G337"/>
      <c r="H337"/>
      <c r="I337"/>
      <c r="M337" s="4" t="str">
        <f t="shared" si="12"/>
        <v/>
      </c>
      <c r="N337" s="28"/>
      <c r="O337" s="28"/>
      <c r="P337" s="28"/>
      <c r="Q337" s="28"/>
      <c r="R337" s="28"/>
      <c r="S337" s="28"/>
      <c r="T337" s="28"/>
      <c r="U337" s="28"/>
      <c r="V337" s="28"/>
    </row>
    <row r="338" spans="1:22" s="3" customFormat="1" hidden="1" x14ac:dyDescent="0.45">
      <c r="A338" s="5" t="str">
        <f t="shared" si="11"/>
        <v/>
      </c>
      <c r="B338"/>
      <c r="C338"/>
      <c r="D338"/>
      <c r="E338"/>
      <c r="F338"/>
      <c r="G338"/>
      <c r="H338"/>
      <c r="I338"/>
      <c r="M338" s="4" t="str">
        <f t="shared" si="12"/>
        <v/>
      </c>
      <c r="N338" s="28"/>
      <c r="O338" s="28"/>
      <c r="P338" s="28"/>
      <c r="Q338" s="28"/>
      <c r="R338" s="28"/>
      <c r="S338" s="28"/>
      <c r="T338" s="28"/>
      <c r="U338" s="28"/>
      <c r="V338" s="28"/>
    </row>
    <row r="339" spans="1:22" s="3" customFormat="1" hidden="1" x14ac:dyDescent="0.45">
      <c r="A339" s="5" t="str">
        <f t="shared" si="11"/>
        <v/>
      </c>
      <c r="B339"/>
      <c r="C339"/>
      <c r="D339"/>
      <c r="E339"/>
      <c r="F339"/>
      <c r="G339"/>
      <c r="H339"/>
      <c r="I339"/>
      <c r="M339" s="4" t="str">
        <f t="shared" si="12"/>
        <v/>
      </c>
      <c r="N339" s="28"/>
      <c r="O339" s="28"/>
      <c r="P339" s="28"/>
      <c r="Q339" s="28"/>
      <c r="R339" s="28"/>
      <c r="S339" s="28"/>
      <c r="T339" s="28"/>
      <c r="U339" s="28"/>
      <c r="V339" s="28"/>
    </row>
    <row r="340" spans="1:22" s="3" customFormat="1" hidden="1" x14ac:dyDescent="0.45">
      <c r="A340" s="5" t="str">
        <f t="shared" si="11"/>
        <v/>
      </c>
      <c r="B340"/>
      <c r="C340"/>
      <c r="D340"/>
      <c r="E340"/>
      <c r="F340"/>
      <c r="G340"/>
      <c r="H340"/>
      <c r="I340"/>
      <c r="M340" s="4" t="str">
        <f t="shared" si="12"/>
        <v/>
      </c>
      <c r="N340" s="28"/>
      <c r="O340" s="28"/>
      <c r="P340" s="28"/>
      <c r="Q340" s="28"/>
      <c r="R340" s="28"/>
      <c r="S340" s="28"/>
      <c r="T340" s="28"/>
      <c r="U340" s="28"/>
      <c r="V340" s="28"/>
    </row>
    <row r="341" spans="1:22" s="3" customFormat="1" hidden="1" x14ac:dyDescent="0.45">
      <c r="A341" s="5" t="str">
        <f t="shared" si="11"/>
        <v/>
      </c>
      <c r="B341"/>
      <c r="C341"/>
      <c r="D341"/>
      <c r="E341"/>
      <c r="F341"/>
      <c r="G341"/>
      <c r="H341"/>
      <c r="I341"/>
      <c r="M341" s="4" t="str">
        <f t="shared" si="12"/>
        <v/>
      </c>
      <c r="N341" s="28"/>
      <c r="O341" s="28"/>
      <c r="P341" s="28"/>
      <c r="Q341" s="28"/>
      <c r="R341" s="28"/>
      <c r="S341" s="28"/>
      <c r="T341" s="28"/>
      <c r="U341" s="28"/>
      <c r="V341" s="28"/>
    </row>
    <row r="342" spans="1:22" s="3" customFormat="1" hidden="1" x14ac:dyDescent="0.45">
      <c r="A342" s="5" t="str">
        <f t="shared" si="11"/>
        <v/>
      </c>
      <c r="B342"/>
      <c r="C342"/>
      <c r="D342"/>
      <c r="E342"/>
      <c r="F342"/>
      <c r="G342"/>
      <c r="H342"/>
      <c r="I342"/>
      <c r="M342" s="4" t="str">
        <f t="shared" si="12"/>
        <v/>
      </c>
      <c r="N342" s="28"/>
      <c r="O342" s="28"/>
      <c r="P342" s="28"/>
      <c r="Q342" s="28"/>
      <c r="R342" s="28"/>
      <c r="S342" s="28"/>
      <c r="T342" s="28"/>
      <c r="U342" s="28"/>
      <c r="V342" s="28"/>
    </row>
    <row r="343" spans="1:22" s="3" customFormat="1" hidden="1" x14ac:dyDescent="0.45">
      <c r="A343" s="5" t="str">
        <f t="shared" si="11"/>
        <v/>
      </c>
      <c r="B343"/>
      <c r="C343"/>
      <c r="D343"/>
      <c r="E343"/>
      <c r="F343"/>
      <c r="G343"/>
      <c r="H343"/>
      <c r="I343"/>
      <c r="M343" s="4" t="str">
        <f t="shared" si="12"/>
        <v/>
      </c>
      <c r="N343" s="28"/>
      <c r="O343" s="28"/>
      <c r="P343" s="28"/>
      <c r="Q343" s="28"/>
      <c r="R343" s="28"/>
      <c r="S343" s="28"/>
      <c r="T343" s="28"/>
      <c r="U343" s="28"/>
      <c r="V343" s="28"/>
    </row>
    <row r="344" spans="1:22" s="3" customFormat="1" hidden="1" x14ac:dyDescent="0.45">
      <c r="A344" s="5" t="str">
        <f t="shared" si="11"/>
        <v/>
      </c>
      <c r="B344"/>
      <c r="C344"/>
      <c r="D344"/>
      <c r="E344"/>
      <c r="F344"/>
      <c r="G344"/>
      <c r="H344"/>
      <c r="I344"/>
      <c r="M344" s="4" t="str">
        <f t="shared" si="12"/>
        <v/>
      </c>
      <c r="N344" s="28"/>
      <c r="O344" s="28"/>
      <c r="P344" s="28"/>
      <c r="Q344" s="28"/>
      <c r="R344" s="28"/>
      <c r="S344" s="28"/>
      <c r="T344" s="28"/>
      <c r="U344" s="28"/>
      <c r="V344" s="28"/>
    </row>
    <row r="345" spans="1:22" s="3" customFormat="1" hidden="1" x14ac:dyDescent="0.45">
      <c r="A345" s="5" t="str">
        <f t="shared" si="11"/>
        <v/>
      </c>
      <c r="B345"/>
      <c r="C345"/>
      <c r="D345"/>
      <c r="E345"/>
      <c r="F345"/>
      <c r="G345"/>
      <c r="H345"/>
      <c r="I345"/>
      <c r="M345" s="4" t="str">
        <f t="shared" si="12"/>
        <v/>
      </c>
      <c r="N345" s="28"/>
      <c r="O345" s="28"/>
      <c r="P345" s="28"/>
      <c r="Q345" s="28"/>
      <c r="R345" s="28"/>
      <c r="S345" s="28"/>
      <c r="T345" s="28"/>
      <c r="U345" s="28"/>
      <c r="V345" s="28"/>
    </row>
    <row r="346" spans="1:22" s="3" customFormat="1" ht="14.25" hidden="1" x14ac:dyDescent="0.45">
      <c r="A346" s="5" t="str">
        <f t="shared" si="11"/>
        <v/>
      </c>
      <c r="B346"/>
      <c r="C346"/>
      <c r="D346"/>
      <c r="E346"/>
      <c r="F346"/>
      <c r="G346"/>
      <c r="H346"/>
      <c r="I346"/>
      <c r="M346" s="4" t="str">
        <f t="shared" si="12"/>
        <v/>
      </c>
    </row>
    <row r="347" spans="1:22" s="3" customFormat="1" ht="14.25" hidden="1" x14ac:dyDescent="0.45">
      <c r="A347" s="5" t="str">
        <f t="shared" si="11"/>
        <v/>
      </c>
      <c r="B347"/>
      <c r="C347"/>
      <c r="D347"/>
      <c r="E347"/>
      <c r="F347"/>
      <c r="G347"/>
      <c r="H347"/>
      <c r="I347"/>
      <c r="M347" s="4" t="str">
        <f t="shared" si="12"/>
        <v/>
      </c>
    </row>
    <row r="348" spans="1:22" s="3" customFormat="1" ht="14.25" hidden="1" x14ac:dyDescent="0.45">
      <c r="A348" s="5" t="str">
        <f t="shared" si="11"/>
        <v/>
      </c>
      <c r="B348"/>
      <c r="C348"/>
      <c r="D348"/>
      <c r="E348"/>
      <c r="F348"/>
      <c r="G348"/>
      <c r="H348"/>
      <c r="I348"/>
      <c r="M348" s="4" t="str">
        <f t="shared" si="12"/>
        <v/>
      </c>
    </row>
    <row r="349" spans="1:22" s="3" customFormat="1" ht="14.25" hidden="1" x14ac:dyDescent="0.45">
      <c r="A349" s="5" t="str">
        <f t="shared" si="11"/>
        <v/>
      </c>
      <c r="B349"/>
      <c r="C349"/>
      <c r="D349"/>
      <c r="E349"/>
      <c r="F349"/>
      <c r="G349"/>
      <c r="H349"/>
      <c r="I349"/>
      <c r="M349" s="4" t="str">
        <f t="shared" si="12"/>
        <v/>
      </c>
    </row>
    <row r="350" spans="1:22" s="3" customFormat="1" ht="14.25" hidden="1" x14ac:dyDescent="0.45">
      <c r="A350" s="5" t="str">
        <f t="shared" si="11"/>
        <v/>
      </c>
      <c r="B350"/>
      <c r="C350"/>
      <c r="D350"/>
      <c r="E350"/>
      <c r="F350"/>
      <c r="G350"/>
      <c r="H350"/>
      <c r="I350"/>
      <c r="M350" s="4" t="str">
        <f t="shared" si="12"/>
        <v/>
      </c>
    </row>
    <row r="351" spans="1:22" s="3" customFormat="1" ht="14.25" hidden="1" x14ac:dyDescent="0.45">
      <c r="A351" s="5" t="str">
        <f t="shared" si="11"/>
        <v/>
      </c>
      <c r="B351"/>
      <c r="C351"/>
      <c r="D351"/>
      <c r="E351"/>
      <c r="F351"/>
      <c r="G351"/>
      <c r="H351"/>
      <c r="I351"/>
      <c r="M351" s="4" t="str">
        <f t="shared" si="12"/>
        <v/>
      </c>
    </row>
    <row r="352" spans="1:22" s="3" customFormat="1" ht="14.25" hidden="1" x14ac:dyDescent="0.45">
      <c r="A352" s="5" t="str">
        <f t="shared" si="11"/>
        <v/>
      </c>
      <c r="B352"/>
      <c r="C352"/>
      <c r="D352"/>
      <c r="E352"/>
      <c r="F352"/>
      <c r="G352"/>
      <c r="H352"/>
      <c r="I352"/>
      <c r="M352" s="4" t="str">
        <f t="shared" si="12"/>
        <v/>
      </c>
    </row>
    <row r="353" spans="1:13" s="3" customFormat="1" ht="14.25" hidden="1" x14ac:dyDescent="0.45">
      <c r="A353" s="5" t="str">
        <f t="shared" si="11"/>
        <v/>
      </c>
      <c r="B353"/>
      <c r="C353"/>
      <c r="D353"/>
      <c r="E353"/>
      <c r="F353"/>
      <c r="G353"/>
      <c r="H353"/>
      <c r="I353"/>
      <c r="M353" s="4" t="str">
        <f t="shared" si="12"/>
        <v/>
      </c>
    </row>
    <row r="354" spans="1:13" s="3" customFormat="1" ht="14.25" hidden="1" x14ac:dyDescent="0.45">
      <c r="A354" s="5" t="str">
        <f t="shared" si="11"/>
        <v/>
      </c>
      <c r="B354"/>
      <c r="C354"/>
      <c r="D354"/>
      <c r="E354"/>
      <c r="F354"/>
      <c r="G354"/>
      <c r="H354"/>
      <c r="I354"/>
      <c r="M354" s="4" t="str">
        <f t="shared" si="12"/>
        <v/>
      </c>
    </row>
    <row r="355" spans="1:13" s="3" customFormat="1" ht="14.25" hidden="1" x14ac:dyDescent="0.45">
      <c r="A355" s="5" t="str">
        <f t="shared" si="11"/>
        <v/>
      </c>
      <c r="B355"/>
      <c r="C355"/>
      <c r="D355"/>
      <c r="E355"/>
      <c r="F355"/>
      <c r="G355"/>
      <c r="H355"/>
      <c r="I355"/>
      <c r="M355" s="4" t="str">
        <f t="shared" si="12"/>
        <v/>
      </c>
    </row>
    <row r="356" spans="1:13" s="3" customFormat="1" ht="14.25" hidden="1" x14ac:dyDescent="0.45">
      <c r="A356" s="5" t="str">
        <f t="shared" si="11"/>
        <v/>
      </c>
      <c r="B356"/>
      <c r="C356"/>
      <c r="D356"/>
      <c r="E356"/>
      <c r="F356"/>
      <c r="G356"/>
      <c r="H356"/>
      <c r="I356"/>
      <c r="M356" s="4" t="str">
        <f t="shared" si="12"/>
        <v/>
      </c>
    </row>
    <row r="357" spans="1:13" s="3" customFormat="1" ht="14.25" hidden="1" x14ac:dyDescent="0.45">
      <c r="A357" s="5" t="str">
        <f t="shared" si="11"/>
        <v/>
      </c>
      <c r="B357"/>
      <c r="C357"/>
      <c r="D357"/>
      <c r="E357"/>
      <c r="F357"/>
      <c r="G357"/>
      <c r="H357"/>
      <c r="I357"/>
      <c r="M357" s="4" t="str">
        <f t="shared" si="12"/>
        <v/>
      </c>
    </row>
    <row r="358" spans="1:13" s="3" customFormat="1" ht="14.25" hidden="1" x14ac:dyDescent="0.45">
      <c r="A358" s="5" t="str">
        <f t="shared" si="11"/>
        <v/>
      </c>
      <c r="B358"/>
      <c r="C358"/>
      <c r="D358"/>
      <c r="E358"/>
      <c r="F358"/>
      <c r="G358"/>
      <c r="H358"/>
      <c r="I358"/>
      <c r="M358" s="4" t="str">
        <f t="shared" si="12"/>
        <v/>
      </c>
    </row>
    <row r="359" spans="1:13" s="3" customFormat="1" ht="14.25" hidden="1" x14ac:dyDescent="0.45">
      <c r="A359" s="5" t="str">
        <f t="shared" si="11"/>
        <v/>
      </c>
      <c r="B359"/>
      <c r="C359"/>
      <c r="D359"/>
      <c r="E359"/>
      <c r="F359"/>
      <c r="G359"/>
      <c r="H359"/>
      <c r="I359"/>
      <c r="M359" s="4" t="str">
        <f t="shared" si="12"/>
        <v/>
      </c>
    </row>
    <row r="360" spans="1:13" s="3" customFormat="1" ht="14.25" hidden="1" x14ac:dyDescent="0.45">
      <c r="A360" s="5" t="str">
        <f t="shared" si="11"/>
        <v/>
      </c>
      <c r="B360"/>
      <c r="C360"/>
      <c r="D360"/>
      <c r="E360"/>
      <c r="F360"/>
      <c r="G360"/>
      <c r="H360"/>
      <c r="I360"/>
      <c r="M360" s="4" t="str">
        <f t="shared" si="12"/>
        <v/>
      </c>
    </row>
    <row r="361" spans="1:13" s="3" customFormat="1" ht="14.25" hidden="1" x14ac:dyDescent="0.45">
      <c r="A361" s="5" t="str">
        <f t="shared" si="11"/>
        <v/>
      </c>
      <c r="B361"/>
      <c r="C361"/>
      <c r="D361"/>
      <c r="E361"/>
      <c r="F361"/>
      <c r="G361"/>
      <c r="H361"/>
      <c r="I361"/>
      <c r="M361" s="4" t="str">
        <f t="shared" si="12"/>
        <v/>
      </c>
    </row>
    <row r="362" spans="1:13" s="3" customFormat="1" ht="14.25" hidden="1" x14ac:dyDescent="0.45">
      <c r="A362" s="5" t="str">
        <f t="shared" si="11"/>
        <v/>
      </c>
      <c r="B362"/>
      <c r="C362"/>
      <c r="D362"/>
      <c r="E362"/>
      <c r="F362"/>
      <c r="G362"/>
      <c r="H362"/>
      <c r="I362"/>
      <c r="M362" s="4" t="str">
        <f t="shared" si="12"/>
        <v/>
      </c>
    </row>
    <row r="363" spans="1:13" s="3" customFormat="1" ht="14.25" hidden="1" x14ac:dyDescent="0.45">
      <c r="A363" s="5" t="str">
        <f t="shared" si="11"/>
        <v/>
      </c>
      <c r="B363"/>
      <c r="C363"/>
      <c r="D363"/>
      <c r="E363"/>
      <c r="F363"/>
      <c r="G363"/>
      <c r="H363"/>
      <c r="I363"/>
      <c r="M363" s="4" t="str">
        <f t="shared" si="12"/>
        <v/>
      </c>
    </row>
    <row r="364" spans="1:13" s="3" customFormat="1" ht="14.25" hidden="1" x14ac:dyDescent="0.45">
      <c r="A364" s="5" t="str">
        <f t="shared" si="11"/>
        <v/>
      </c>
      <c r="B364"/>
      <c r="C364"/>
      <c r="D364"/>
      <c r="E364"/>
      <c r="F364"/>
      <c r="G364"/>
      <c r="H364"/>
      <c r="I364"/>
      <c r="M364" s="4" t="str">
        <f t="shared" si="12"/>
        <v/>
      </c>
    </row>
    <row r="365" spans="1:13" s="3" customFormat="1" ht="14.25" hidden="1" x14ac:dyDescent="0.45">
      <c r="A365" s="5" t="str">
        <f t="shared" si="11"/>
        <v/>
      </c>
      <c r="B365"/>
      <c r="C365"/>
      <c r="D365"/>
      <c r="E365"/>
      <c r="F365"/>
      <c r="G365"/>
      <c r="H365"/>
      <c r="I365"/>
      <c r="M365" s="4" t="str">
        <f t="shared" si="12"/>
        <v/>
      </c>
    </row>
    <row r="366" spans="1:13" s="3" customFormat="1" ht="14.25" hidden="1" x14ac:dyDescent="0.45">
      <c r="A366" s="5" t="str">
        <f t="shared" si="11"/>
        <v/>
      </c>
      <c r="B366"/>
      <c r="C366"/>
      <c r="D366"/>
      <c r="E366"/>
      <c r="F366"/>
      <c r="G366"/>
      <c r="H366"/>
      <c r="I366"/>
      <c r="M366" s="4" t="str">
        <f t="shared" si="12"/>
        <v/>
      </c>
    </row>
    <row r="367" spans="1:13" s="3" customFormat="1" ht="14.25" hidden="1" x14ac:dyDescent="0.45">
      <c r="A367" s="5" t="str">
        <f t="shared" si="11"/>
        <v/>
      </c>
      <c r="B367"/>
      <c r="C367"/>
      <c r="D367"/>
      <c r="E367"/>
      <c r="F367"/>
      <c r="G367"/>
      <c r="H367"/>
      <c r="I367"/>
      <c r="M367" s="4" t="str">
        <f t="shared" si="12"/>
        <v/>
      </c>
    </row>
    <row r="368" spans="1:13" s="3" customFormat="1" ht="14.25" hidden="1" x14ac:dyDescent="0.45">
      <c r="A368" s="5" t="str">
        <f t="shared" si="11"/>
        <v/>
      </c>
      <c r="B368"/>
      <c r="C368"/>
      <c r="D368"/>
      <c r="E368"/>
      <c r="F368"/>
      <c r="G368"/>
      <c r="H368"/>
      <c r="I368"/>
      <c r="M368" s="4" t="str">
        <f t="shared" si="12"/>
        <v/>
      </c>
    </row>
    <row r="369" spans="1:13" s="3" customFormat="1" ht="14.25" hidden="1" x14ac:dyDescent="0.45">
      <c r="A369" s="5" t="str">
        <f t="shared" si="11"/>
        <v/>
      </c>
      <c r="B369"/>
      <c r="C369"/>
      <c r="D369"/>
      <c r="E369"/>
      <c r="F369"/>
      <c r="G369"/>
      <c r="H369"/>
      <c r="I369"/>
      <c r="M369" s="4" t="str">
        <f t="shared" si="12"/>
        <v/>
      </c>
    </row>
    <row r="370" spans="1:13" s="3" customFormat="1" ht="14.25" hidden="1" x14ac:dyDescent="0.45">
      <c r="A370" s="5" t="str">
        <f t="shared" si="11"/>
        <v/>
      </c>
      <c r="B370"/>
      <c r="C370"/>
      <c r="D370"/>
      <c r="E370"/>
      <c r="F370"/>
      <c r="G370"/>
      <c r="H370"/>
      <c r="I370"/>
      <c r="M370" s="4" t="str">
        <f t="shared" si="12"/>
        <v/>
      </c>
    </row>
    <row r="371" spans="1:13" s="3" customFormat="1" ht="14.25" hidden="1" x14ac:dyDescent="0.45">
      <c r="A371" s="5" t="str">
        <f t="shared" si="11"/>
        <v/>
      </c>
      <c r="B371"/>
      <c r="C371"/>
      <c r="D371"/>
      <c r="E371"/>
      <c r="F371"/>
      <c r="G371"/>
      <c r="H371"/>
      <c r="I371"/>
      <c r="M371" s="4" t="str">
        <f t="shared" si="12"/>
        <v/>
      </c>
    </row>
    <row r="372" spans="1:13" s="3" customFormat="1" ht="14.25" hidden="1" x14ac:dyDescent="0.45">
      <c r="A372" s="5" t="str">
        <f t="shared" si="11"/>
        <v/>
      </c>
      <c r="B372"/>
      <c r="C372"/>
      <c r="D372"/>
      <c r="E372"/>
      <c r="F372"/>
      <c r="G372"/>
      <c r="H372"/>
      <c r="I372"/>
      <c r="M372" s="4" t="str">
        <f t="shared" si="12"/>
        <v/>
      </c>
    </row>
    <row r="373" spans="1:13" s="3" customFormat="1" ht="14.25" hidden="1" x14ac:dyDescent="0.45">
      <c r="A373" s="5" t="str">
        <f t="shared" si="11"/>
        <v/>
      </c>
      <c r="B373"/>
      <c r="C373"/>
      <c r="D373"/>
      <c r="E373"/>
      <c r="F373"/>
      <c r="G373"/>
      <c r="H373"/>
      <c r="I373"/>
      <c r="M373" s="4" t="str">
        <f t="shared" si="12"/>
        <v/>
      </c>
    </row>
    <row r="374" spans="1:13" s="3" customFormat="1" ht="14.25" hidden="1" x14ac:dyDescent="0.45">
      <c r="A374" s="5" t="str">
        <f t="shared" si="11"/>
        <v/>
      </c>
      <c r="B374"/>
      <c r="C374"/>
      <c r="D374"/>
      <c r="E374"/>
      <c r="F374"/>
      <c r="G374"/>
      <c r="H374"/>
      <c r="I374"/>
      <c r="M374" s="4" t="str">
        <f t="shared" si="12"/>
        <v/>
      </c>
    </row>
    <row r="375" spans="1:13" s="3" customFormat="1" ht="14.25" hidden="1" x14ac:dyDescent="0.45">
      <c r="A375" s="5" t="str">
        <f t="shared" si="11"/>
        <v/>
      </c>
      <c r="B375"/>
      <c r="C375"/>
      <c r="D375"/>
      <c r="E375"/>
      <c r="F375"/>
      <c r="G375"/>
      <c r="H375"/>
      <c r="I375"/>
      <c r="M375" s="4" t="str">
        <f t="shared" si="12"/>
        <v/>
      </c>
    </row>
    <row r="376" spans="1:13" s="3" customFormat="1" ht="14.25" hidden="1" x14ac:dyDescent="0.45">
      <c r="A376" s="5" t="str">
        <f t="shared" si="11"/>
        <v/>
      </c>
      <c r="B376"/>
      <c r="C376"/>
      <c r="D376"/>
      <c r="E376"/>
      <c r="F376"/>
      <c r="G376"/>
      <c r="H376"/>
      <c r="I376"/>
      <c r="M376" s="4" t="str">
        <f t="shared" si="12"/>
        <v/>
      </c>
    </row>
    <row r="377" spans="1:13" s="3" customFormat="1" ht="14.25" hidden="1" x14ac:dyDescent="0.45">
      <c r="A377" s="5" t="str">
        <f t="shared" si="11"/>
        <v/>
      </c>
      <c r="B377"/>
      <c r="C377"/>
      <c r="D377"/>
      <c r="E377"/>
      <c r="F377"/>
      <c r="G377"/>
      <c r="H377"/>
      <c r="I377"/>
      <c r="M377" s="4" t="str">
        <f t="shared" si="12"/>
        <v/>
      </c>
    </row>
    <row r="378" spans="1:13" s="3" customFormat="1" ht="14.25" hidden="1" x14ac:dyDescent="0.45">
      <c r="A378" s="5" t="str">
        <f t="shared" si="11"/>
        <v/>
      </c>
      <c r="B378"/>
      <c r="C378"/>
      <c r="D378"/>
      <c r="E378"/>
      <c r="F378"/>
      <c r="G378"/>
      <c r="H378"/>
      <c r="I378"/>
      <c r="M378" s="4" t="str">
        <f t="shared" si="12"/>
        <v/>
      </c>
    </row>
    <row r="379" spans="1:13" s="3" customFormat="1" ht="14.25" hidden="1" x14ac:dyDescent="0.45">
      <c r="A379" s="5" t="str">
        <f t="shared" si="11"/>
        <v/>
      </c>
      <c r="B379"/>
      <c r="C379"/>
      <c r="D379"/>
      <c r="E379"/>
      <c r="F379"/>
      <c r="G379"/>
      <c r="H379"/>
      <c r="I379"/>
      <c r="M379" s="4" t="str">
        <f t="shared" si="12"/>
        <v/>
      </c>
    </row>
    <row r="380" spans="1:13" s="3" customFormat="1" ht="14.25" hidden="1" x14ac:dyDescent="0.45">
      <c r="A380" s="5" t="str">
        <f t="shared" si="11"/>
        <v/>
      </c>
      <c r="B380"/>
      <c r="C380"/>
      <c r="D380"/>
      <c r="E380"/>
      <c r="F380"/>
      <c r="G380"/>
      <c r="H380"/>
      <c r="I380"/>
      <c r="M380" s="4" t="str">
        <f t="shared" si="12"/>
        <v/>
      </c>
    </row>
    <row r="381" spans="1:13" s="3" customFormat="1" ht="14.25" hidden="1" x14ac:dyDescent="0.45">
      <c r="A381" s="5" t="str">
        <f t="shared" si="11"/>
        <v/>
      </c>
      <c r="B381"/>
      <c r="C381"/>
      <c r="D381"/>
      <c r="E381"/>
      <c r="F381"/>
      <c r="G381"/>
      <c r="H381"/>
      <c r="I381"/>
      <c r="M381" s="4" t="str">
        <f t="shared" si="12"/>
        <v/>
      </c>
    </row>
    <row r="382" spans="1:13" s="3" customFormat="1" ht="14.25" hidden="1" x14ac:dyDescent="0.45">
      <c r="A382" s="5" t="str">
        <f t="shared" si="11"/>
        <v/>
      </c>
      <c r="B382"/>
      <c r="C382"/>
      <c r="D382"/>
      <c r="E382"/>
      <c r="F382"/>
      <c r="G382"/>
      <c r="H382"/>
      <c r="I382"/>
      <c r="M382" s="4" t="str">
        <f t="shared" si="12"/>
        <v/>
      </c>
    </row>
    <row r="383" spans="1:13" s="3" customFormat="1" ht="14.25" hidden="1" x14ac:dyDescent="0.45">
      <c r="A383" s="5" t="str">
        <f t="shared" si="11"/>
        <v/>
      </c>
      <c r="B383"/>
      <c r="C383"/>
      <c r="D383"/>
      <c r="E383"/>
      <c r="F383"/>
      <c r="G383"/>
      <c r="H383"/>
      <c r="I383"/>
      <c r="M383" s="4" t="str">
        <f t="shared" si="12"/>
        <v/>
      </c>
    </row>
    <row r="384" spans="1:13" s="3" customFormat="1" ht="14.25" hidden="1" x14ac:dyDescent="0.45">
      <c r="A384" s="5" t="str">
        <f t="shared" si="11"/>
        <v/>
      </c>
      <c r="B384"/>
      <c r="C384"/>
      <c r="D384"/>
      <c r="E384"/>
      <c r="F384"/>
      <c r="G384"/>
      <c r="H384"/>
      <c r="I384"/>
      <c r="M384" s="4" t="str">
        <f t="shared" si="12"/>
        <v/>
      </c>
    </row>
    <row r="385" spans="1:13" s="3" customFormat="1" ht="14.25" hidden="1" x14ac:dyDescent="0.45">
      <c r="A385" s="5" t="str">
        <f t="shared" si="11"/>
        <v/>
      </c>
      <c r="B385"/>
      <c r="C385"/>
      <c r="D385"/>
      <c r="E385"/>
      <c r="F385"/>
      <c r="G385"/>
      <c r="H385"/>
      <c r="I385"/>
      <c r="M385" s="4" t="str">
        <f t="shared" si="12"/>
        <v/>
      </c>
    </row>
    <row r="386" spans="1:13" s="3" customFormat="1" ht="14.25" hidden="1" x14ac:dyDescent="0.45">
      <c r="A386" s="5" t="str">
        <f t="shared" si="11"/>
        <v/>
      </c>
      <c r="B386"/>
      <c r="C386"/>
      <c r="D386"/>
      <c r="E386"/>
      <c r="F386"/>
      <c r="G386"/>
      <c r="H386"/>
      <c r="I386"/>
      <c r="M386" s="4" t="str">
        <f t="shared" si="12"/>
        <v/>
      </c>
    </row>
    <row r="387" spans="1:13" s="3" customFormat="1" ht="14.25" hidden="1" x14ac:dyDescent="0.45">
      <c r="A387" s="5" t="str">
        <f t="shared" si="11"/>
        <v/>
      </c>
      <c r="B387"/>
      <c r="C387"/>
      <c r="D387"/>
      <c r="E387"/>
      <c r="F387"/>
      <c r="G387"/>
      <c r="H387"/>
      <c r="I387"/>
      <c r="M387" s="4" t="str">
        <f t="shared" si="12"/>
        <v/>
      </c>
    </row>
    <row r="388" spans="1:13" s="3" customFormat="1" ht="14.25" hidden="1" x14ac:dyDescent="0.45">
      <c r="A388" s="5" t="str">
        <f t="shared" si="11"/>
        <v/>
      </c>
      <c r="B388"/>
      <c r="C388"/>
      <c r="D388"/>
      <c r="E388"/>
      <c r="F388"/>
      <c r="G388"/>
      <c r="H388"/>
      <c r="I388"/>
      <c r="M388" s="4" t="str">
        <f t="shared" si="12"/>
        <v/>
      </c>
    </row>
    <row r="389" spans="1:13" s="3" customFormat="1" ht="14.25" hidden="1" x14ac:dyDescent="0.45">
      <c r="A389" s="5" t="str">
        <f t="shared" si="11"/>
        <v/>
      </c>
      <c r="B389"/>
      <c r="C389"/>
      <c r="D389"/>
      <c r="E389"/>
      <c r="F389"/>
      <c r="G389"/>
      <c r="H389"/>
      <c r="I389"/>
      <c r="M389" s="4" t="str">
        <f t="shared" ref="M389:M452" si="13">IF(B389&lt;&gt;"","visible","")</f>
        <v/>
      </c>
    </row>
    <row r="390" spans="1:13" s="3" customFormat="1" ht="14.25" hidden="1" x14ac:dyDescent="0.45">
      <c r="A390" s="5" t="str">
        <f t="shared" si="11"/>
        <v/>
      </c>
      <c r="B390"/>
      <c r="C390"/>
      <c r="D390"/>
      <c r="E390"/>
      <c r="F390"/>
      <c r="G390"/>
      <c r="H390"/>
      <c r="I390"/>
      <c r="M390" s="4" t="str">
        <f t="shared" si="13"/>
        <v/>
      </c>
    </row>
    <row r="391" spans="1:13" s="3" customFormat="1" ht="14.25" hidden="1" x14ac:dyDescent="0.45">
      <c r="A391" s="5" t="str">
        <f t="shared" si="11"/>
        <v/>
      </c>
      <c r="B391"/>
      <c r="C391"/>
      <c r="D391"/>
      <c r="E391"/>
      <c r="F391"/>
      <c r="G391"/>
      <c r="H391"/>
      <c r="I391"/>
      <c r="M391" s="4" t="str">
        <f t="shared" si="13"/>
        <v/>
      </c>
    </row>
    <row r="392" spans="1:13" s="3" customFormat="1" ht="14.25" hidden="1" x14ac:dyDescent="0.45">
      <c r="A392" s="5" t="str">
        <f t="shared" si="11"/>
        <v/>
      </c>
      <c r="B392"/>
      <c r="C392"/>
      <c r="D392"/>
      <c r="E392"/>
      <c r="F392"/>
      <c r="G392"/>
      <c r="H392"/>
      <c r="I392"/>
      <c r="M392" s="4" t="str">
        <f t="shared" si="13"/>
        <v/>
      </c>
    </row>
    <row r="393" spans="1:13" s="3" customFormat="1" ht="14.25" hidden="1" x14ac:dyDescent="0.45">
      <c r="A393" s="5" t="str">
        <f t="shared" si="11"/>
        <v/>
      </c>
      <c r="B393"/>
      <c r="C393"/>
      <c r="D393"/>
      <c r="E393"/>
      <c r="F393"/>
      <c r="G393"/>
      <c r="H393"/>
      <c r="I393"/>
      <c r="M393" s="4" t="str">
        <f t="shared" si="13"/>
        <v/>
      </c>
    </row>
    <row r="394" spans="1:13" s="3" customFormat="1" ht="14.25" hidden="1" x14ac:dyDescent="0.45">
      <c r="A394" s="5" t="str">
        <f t="shared" si="11"/>
        <v/>
      </c>
      <c r="B394"/>
      <c r="C394"/>
      <c r="D394"/>
      <c r="E394"/>
      <c r="F394"/>
      <c r="G394"/>
      <c r="H394"/>
      <c r="I394"/>
      <c r="M394" s="4" t="str">
        <f t="shared" si="13"/>
        <v/>
      </c>
    </row>
    <row r="395" spans="1:13" s="3" customFormat="1" ht="14.25" hidden="1" x14ac:dyDescent="0.45">
      <c r="A395" s="5" t="str">
        <f t="shared" si="11"/>
        <v/>
      </c>
      <c r="B395"/>
      <c r="C395"/>
      <c r="D395"/>
      <c r="E395"/>
      <c r="F395"/>
      <c r="G395"/>
      <c r="H395"/>
      <c r="I395"/>
      <c r="M395" s="4" t="str">
        <f t="shared" si="13"/>
        <v/>
      </c>
    </row>
    <row r="396" spans="1:13" s="3" customFormat="1" ht="14.25" hidden="1" x14ac:dyDescent="0.45">
      <c r="A396" s="5" t="str">
        <f t="shared" si="11"/>
        <v/>
      </c>
      <c r="B396"/>
      <c r="C396"/>
      <c r="D396"/>
      <c r="E396"/>
      <c r="F396"/>
      <c r="G396"/>
      <c r="H396"/>
      <c r="I396"/>
      <c r="M396" s="4" t="str">
        <f t="shared" si="13"/>
        <v/>
      </c>
    </row>
    <row r="397" spans="1:13" s="3" customFormat="1" ht="14.25" hidden="1" x14ac:dyDescent="0.45">
      <c r="A397" s="5" t="str">
        <f t="shared" si="11"/>
        <v/>
      </c>
      <c r="B397"/>
      <c r="C397"/>
      <c r="D397"/>
      <c r="E397"/>
      <c r="F397"/>
      <c r="G397"/>
      <c r="H397"/>
      <c r="I397"/>
      <c r="M397" s="4" t="str">
        <f t="shared" si="13"/>
        <v/>
      </c>
    </row>
    <row r="398" spans="1:13" s="3" customFormat="1" ht="14.25" hidden="1" x14ac:dyDescent="0.45">
      <c r="A398" s="5" t="str">
        <f t="shared" si="11"/>
        <v/>
      </c>
      <c r="B398"/>
      <c r="C398"/>
      <c r="D398"/>
      <c r="E398"/>
      <c r="F398"/>
      <c r="G398"/>
      <c r="H398"/>
      <c r="I398"/>
      <c r="M398" s="4" t="str">
        <f t="shared" si="13"/>
        <v/>
      </c>
    </row>
    <row r="399" spans="1:13" s="3" customFormat="1" ht="14.25" hidden="1" x14ac:dyDescent="0.45">
      <c r="A399" s="5" t="str">
        <f t="shared" si="11"/>
        <v/>
      </c>
      <c r="B399"/>
      <c r="C399"/>
      <c r="D399"/>
      <c r="E399"/>
      <c r="F399"/>
      <c r="G399"/>
      <c r="H399"/>
      <c r="I399"/>
      <c r="M399" s="4" t="str">
        <f t="shared" si="13"/>
        <v/>
      </c>
    </row>
    <row r="400" spans="1:13" s="3" customFormat="1" ht="14.25" hidden="1" x14ac:dyDescent="0.45">
      <c r="A400" s="5" t="str">
        <f t="shared" si="11"/>
        <v/>
      </c>
      <c r="B400"/>
      <c r="C400"/>
      <c r="D400"/>
      <c r="E400"/>
      <c r="F400"/>
      <c r="G400"/>
      <c r="H400"/>
      <c r="I400"/>
      <c r="M400" s="4" t="str">
        <f t="shared" si="13"/>
        <v/>
      </c>
    </row>
    <row r="401" spans="1:13" s="3" customFormat="1" ht="14.25" hidden="1" x14ac:dyDescent="0.45">
      <c r="A401" s="5" t="str">
        <f t="shared" si="11"/>
        <v/>
      </c>
      <c r="B401"/>
      <c r="C401"/>
      <c r="D401"/>
      <c r="E401"/>
      <c r="F401"/>
      <c r="G401"/>
      <c r="H401"/>
      <c r="I401"/>
      <c r="M401" s="4" t="str">
        <f t="shared" si="13"/>
        <v/>
      </c>
    </row>
    <row r="402" spans="1:13" s="3" customFormat="1" ht="14.25" hidden="1" x14ac:dyDescent="0.45">
      <c r="A402" s="5" t="str">
        <f t="shared" si="11"/>
        <v/>
      </c>
      <c r="B402"/>
      <c r="C402"/>
      <c r="D402"/>
      <c r="E402"/>
      <c r="F402"/>
      <c r="G402"/>
      <c r="H402"/>
      <c r="I402"/>
      <c r="M402" s="4" t="str">
        <f t="shared" si="13"/>
        <v/>
      </c>
    </row>
    <row r="403" spans="1:13" s="3" customFormat="1" ht="14.25" hidden="1" x14ac:dyDescent="0.45">
      <c r="A403" s="5" t="str">
        <f t="shared" si="11"/>
        <v/>
      </c>
      <c r="B403"/>
      <c r="C403"/>
      <c r="D403"/>
      <c r="E403"/>
      <c r="F403"/>
      <c r="G403"/>
      <c r="H403"/>
      <c r="I403"/>
      <c r="M403" s="4" t="str">
        <f t="shared" si="13"/>
        <v/>
      </c>
    </row>
    <row r="404" spans="1:13" s="3" customFormat="1" ht="14.25" hidden="1" x14ac:dyDescent="0.45">
      <c r="A404" s="5" t="str">
        <f t="shared" si="11"/>
        <v/>
      </c>
      <c r="B404"/>
      <c r="C404"/>
      <c r="D404"/>
      <c r="E404"/>
      <c r="F404"/>
      <c r="G404"/>
      <c r="H404"/>
      <c r="I404"/>
      <c r="M404" s="4" t="str">
        <f t="shared" si="13"/>
        <v/>
      </c>
    </row>
    <row r="405" spans="1:13" s="3" customFormat="1" ht="14.25" hidden="1" x14ac:dyDescent="0.45">
      <c r="A405" s="5" t="str">
        <f t="shared" si="11"/>
        <v/>
      </c>
      <c r="B405"/>
      <c r="C405"/>
      <c r="D405"/>
      <c r="E405"/>
      <c r="F405"/>
      <c r="G405"/>
      <c r="H405"/>
      <c r="I405"/>
      <c r="M405" s="4" t="str">
        <f t="shared" si="13"/>
        <v/>
      </c>
    </row>
    <row r="406" spans="1:13" s="3" customFormat="1" ht="14.25" hidden="1" x14ac:dyDescent="0.45">
      <c r="A406" s="5" t="str">
        <f t="shared" si="11"/>
        <v/>
      </c>
      <c r="B406"/>
      <c r="C406"/>
      <c r="D406"/>
      <c r="E406"/>
      <c r="F406"/>
      <c r="G406"/>
      <c r="H406"/>
      <c r="I406"/>
      <c r="M406" s="4" t="str">
        <f t="shared" si="13"/>
        <v/>
      </c>
    </row>
    <row r="407" spans="1:13" s="3" customFormat="1" ht="14.25" hidden="1" x14ac:dyDescent="0.45">
      <c r="A407" s="5" t="str">
        <f t="shared" si="11"/>
        <v/>
      </c>
      <c r="B407"/>
      <c r="C407"/>
      <c r="D407"/>
      <c r="E407"/>
      <c r="F407"/>
      <c r="G407"/>
      <c r="H407"/>
      <c r="I407"/>
      <c r="M407" s="4" t="str">
        <f t="shared" si="13"/>
        <v/>
      </c>
    </row>
    <row r="408" spans="1:13" s="3" customFormat="1" ht="14.25" hidden="1" x14ac:dyDescent="0.45">
      <c r="A408" s="5" t="str">
        <f t="shared" si="11"/>
        <v/>
      </c>
      <c r="B408"/>
      <c r="C408"/>
      <c r="D408"/>
      <c r="E408"/>
      <c r="F408"/>
      <c r="G408"/>
      <c r="H408"/>
      <c r="I408"/>
      <c r="M408" s="4" t="str">
        <f t="shared" si="13"/>
        <v/>
      </c>
    </row>
    <row r="409" spans="1:13" s="3" customFormat="1" ht="14.25" hidden="1" x14ac:dyDescent="0.45">
      <c r="A409" s="5" t="str">
        <f t="shared" si="11"/>
        <v/>
      </c>
      <c r="B409"/>
      <c r="C409"/>
      <c r="D409"/>
      <c r="E409"/>
      <c r="F409"/>
      <c r="G409"/>
      <c r="H409"/>
      <c r="I409"/>
      <c r="M409" s="4" t="str">
        <f t="shared" si="13"/>
        <v/>
      </c>
    </row>
    <row r="410" spans="1:13" s="3" customFormat="1" ht="14.25" hidden="1" x14ac:dyDescent="0.45">
      <c r="A410" s="5" t="str">
        <f t="shared" si="11"/>
        <v/>
      </c>
      <c r="B410"/>
      <c r="C410"/>
      <c r="D410"/>
      <c r="E410"/>
      <c r="F410"/>
      <c r="G410"/>
      <c r="H410"/>
      <c r="I410"/>
      <c r="M410" s="4" t="str">
        <f t="shared" si="13"/>
        <v/>
      </c>
    </row>
    <row r="411" spans="1:13" s="3" customFormat="1" ht="14.25" hidden="1" x14ac:dyDescent="0.45">
      <c r="A411" s="5" t="str">
        <f t="shared" si="11"/>
        <v/>
      </c>
      <c r="B411"/>
      <c r="C411"/>
      <c r="D411"/>
      <c r="E411"/>
      <c r="F411"/>
      <c r="G411"/>
      <c r="H411"/>
      <c r="I411"/>
      <c r="M411" s="4" t="str">
        <f t="shared" si="13"/>
        <v/>
      </c>
    </row>
    <row r="412" spans="1:13" s="3" customFormat="1" ht="14.25" hidden="1" x14ac:dyDescent="0.45">
      <c r="A412" s="5" t="str">
        <f t="shared" si="11"/>
        <v/>
      </c>
      <c r="B412"/>
      <c r="C412"/>
      <c r="D412"/>
      <c r="E412"/>
      <c r="F412"/>
      <c r="G412"/>
      <c r="H412"/>
      <c r="I412"/>
      <c r="M412" s="4" t="str">
        <f t="shared" si="13"/>
        <v/>
      </c>
    </row>
    <row r="413" spans="1:13" s="3" customFormat="1" ht="14.25" hidden="1" x14ac:dyDescent="0.45">
      <c r="A413" s="5" t="str">
        <f t="shared" si="11"/>
        <v/>
      </c>
      <c r="B413"/>
      <c r="C413"/>
      <c r="D413"/>
      <c r="E413"/>
      <c r="F413"/>
      <c r="G413"/>
      <c r="H413"/>
      <c r="I413"/>
      <c r="M413" s="4" t="str">
        <f t="shared" si="13"/>
        <v/>
      </c>
    </row>
    <row r="414" spans="1:13" s="3" customFormat="1" ht="14.25" hidden="1" x14ac:dyDescent="0.45">
      <c r="A414" s="5" t="str">
        <f t="shared" si="11"/>
        <v/>
      </c>
      <c r="B414"/>
      <c r="C414"/>
      <c r="D414"/>
      <c r="E414"/>
      <c r="F414"/>
      <c r="G414"/>
      <c r="H414"/>
      <c r="I414"/>
      <c r="M414" s="4" t="str">
        <f t="shared" si="13"/>
        <v/>
      </c>
    </row>
    <row r="415" spans="1:13" s="3" customFormat="1" ht="14.25" hidden="1" x14ac:dyDescent="0.45">
      <c r="A415" s="5" t="str">
        <f t="shared" si="11"/>
        <v/>
      </c>
      <c r="B415"/>
      <c r="C415"/>
      <c r="D415"/>
      <c r="E415"/>
      <c r="F415"/>
      <c r="G415"/>
      <c r="H415"/>
      <c r="I415"/>
      <c r="M415" s="4" t="str">
        <f t="shared" si="13"/>
        <v/>
      </c>
    </row>
    <row r="416" spans="1:13" s="3" customFormat="1" ht="14.25" hidden="1" x14ac:dyDescent="0.45">
      <c r="A416" s="5" t="str">
        <f t="shared" si="11"/>
        <v/>
      </c>
      <c r="B416"/>
      <c r="C416"/>
      <c r="D416"/>
      <c r="E416"/>
      <c r="F416"/>
      <c r="G416"/>
      <c r="H416"/>
      <c r="I416"/>
      <c r="M416" s="4" t="str">
        <f t="shared" si="13"/>
        <v/>
      </c>
    </row>
    <row r="417" spans="1:22" s="3" customFormat="1" ht="14.25" hidden="1" x14ac:dyDescent="0.45">
      <c r="A417" s="5" t="str">
        <f t="shared" si="11"/>
        <v/>
      </c>
      <c r="B417"/>
      <c r="C417"/>
      <c r="D417"/>
      <c r="E417"/>
      <c r="F417"/>
      <c r="G417"/>
      <c r="H417"/>
      <c r="I417"/>
      <c r="M417" s="4" t="str">
        <f t="shared" si="13"/>
        <v/>
      </c>
    </row>
    <row r="418" spans="1:22" s="3" customFormat="1" ht="14.25" hidden="1" x14ac:dyDescent="0.45">
      <c r="A418" s="5"/>
      <c r="B418"/>
      <c r="C418"/>
      <c r="D418"/>
      <c r="E418"/>
      <c r="F418"/>
      <c r="G418"/>
      <c r="H418"/>
      <c r="I418"/>
      <c r="M418" s="4" t="str">
        <f t="shared" si="13"/>
        <v/>
      </c>
    </row>
    <row r="419" spans="1:22" s="3" customFormat="1" ht="14.25" x14ac:dyDescent="0.45">
      <c r="A419" s="132"/>
      <c r="B419" s="134" t="s">
        <v>136</v>
      </c>
      <c r="C419" s="139"/>
      <c r="D419" s="139"/>
      <c r="E419" s="139"/>
      <c r="F419" s="139"/>
      <c r="G419" s="139"/>
      <c r="H419" s="139"/>
      <c r="I419" s="139"/>
      <c r="J419" s="140"/>
      <c r="M419" s="4" t="str">
        <f t="shared" si="13"/>
        <v>visible</v>
      </c>
    </row>
    <row r="420" spans="1:22" x14ac:dyDescent="0.45">
      <c r="A420" s="142"/>
      <c r="B420" s="197" t="s">
        <v>632</v>
      </c>
      <c r="C420" s="198" t="s">
        <v>630</v>
      </c>
      <c r="D420" s="130"/>
      <c r="E420" s="130"/>
      <c r="F420" s="130"/>
      <c r="G420" s="130"/>
      <c r="H420" s="130"/>
      <c r="I420" s="130"/>
      <c r="J420" s="140"/>
      <c r="M420" s="4" t="str">
        <f t="shared" si="13"/>
        <v>visible</v>
      </c>
    </row>
    <row r="421" spans="1:22" s="3" customFormat="1" ht="13.9" hidden="1" x14ac:dyDescent="0.4">
      <c r="A421" s="5"/>
      <c r="M421" s="4" t="str">
        <f t="shared" si="13"/>
        <v/>
      </c>
    </row>
    <row r="422" spans="1:22" x14ac:dyDescent="0.45">
      <c r="A422" s="141"/>
      <c r="B422" s="198" t="s">
        <v>5</v>
      </c>
      <c r="C422" s="198" t="s">
        <v>7</v>
      </c>
      <c r="D422" s="198" t="s">
        <v>23</v>
      </c>
      <c r="E422" s="198" t="s">
        <v>14</v>
      </c>
      <c r="F422" s="199" t="s">
        <v>135</v>
      </c>
      <c r="G422" s="198" t="s">
        <v>257</v>
      </c>
      <c r="H422" s="198" t="s">
        <v>258</v>
      </c>
      <c r="I422" s="199" t="s">
        <v>263</v>
      </c>
      <c r="J422" s="140"/>
      <c r="M422" s="4" t="str">
        <f t="shared" si="13"/>
        <v>visible</v>
      </c>
    </row>
    <row r="423" spans="1:22" x14ac:dyDescent="0.45">
      <c r="A423" s="132">
        <f>IF(M423 ="visible",IF(B423 = "Total","",A422+1),"")</f>
        <v>1</v>
      </c>
      <c r="B423" s="198" t="s">
        <v>180</v>
      </c>
      <c r="C423" s="198" t="s">
        <v>97</v>
      </c>
      <c r="D423" s="198" t="s">
        <v>0</v>
      </c>
      <c r="E423" s="198" t="s">
        <v>181</v>
      </c>
      <c r="F423" s="199">
        <v>66000</v>
      </c>
      <c r="G423" s="199">
        <v>35000</v>
      </c>
      <c r="H423" s="199">
        <v>17000</v>
      </c>
      <c r="I423" s="199">
        <v>14000</v>
      </c>
      <c r="J423" s="140"/>
      <c r="M423" s="4" t="str">
        <f t="shared" si="13"/>
        <v>visible</v>
      </c>
    </row>
    <row r="424" spans="1:22" x14ac:dyDescent="0.45">
      <c r="A424" s="132">
        <f t="shared" ref="A424:A487" si="14">IF(M424 ="visible",IF(B424 = "Total","",A423+1),"")</f>
        <v>2</v>
      </c>
      <c r="B424" s="198" t="s">
        <v>188</v>
      </c>
      <c r="C424" s="198" t="s">
        <v>1</v>
      </c>
      <c r="D424" s="198" t="s">
        <v>0</v>
      </c>
      <c r="E424" s="198" t="s">
        <v>399</v>
      </c>
      <c r="F424" s="199">
        <v>0</v>
      </c>
      <c r="G424" s="199">
        <v>0</v>
      </c>
      <c r="H424" s="199">
        <v>0</v>
      </c>
      <c r="I424" s="199">
        <v>0</v>
      </c>
      <c r="J424" s="140"/>
      <c r="M424" s="4" t="str">
        <f t="shared" si="13"/>
        <v>visible</v>
      </c>
    </row>
    <row r="425" spans="1:22" s="3" customFormat="1" x14ac:dyDescent="0.45">
      <c r="A425" s="132">
        <f t="shared" si="14"/>
        <v>3</v>
      </c>
      <c r="B425" s="198" t="s">
        <v>281</v>
      </c>
      <c r="C425" s="198" t="s">
        <v>1</v>
      </c>
      <c r="D425" s="198" t="s">
        <v>0</v>
      </c>
      <c r="E425" s="198" t="s">
        <v>691</v>
      </c>
      <c r="F425" s="199">
        <v>215000</v>
      </c>
      <c r="G425" s="199">
        <v>215000</v>
      </c>
      <c r="H425" s="199">
        <v>0</v>
      </c>
      <c r="I425" s="199">
        <v>0</v>
      </c>
      <c r="J425" s="140"/>
      <c r="M425" s="4" t="str">
        <f t="shared" si="13"/>
        <v>visible</v>
      </c>
      <c r="N425" s="28"/>
      <c r="O425" s="28"/>
      <c r="P425" s="28"/>
      <c r="Q425" s="28"/>
      <c r="R425" s="28"/>
      <c r="S425" s="28"/>
      <c r="T425" s="28"/>
      <c r="U425" s="28"/>
      <c r="V425" s="28"/>
    </row>
    <row r="426" spans="1:22" s="3" customFormat="1" x14ac:dyDescent="0.45">
      <c r="A426" s="132">
        <f t="shared" si="14"/>
        <v>4</v>
      </c>
      <c r="B426" s="198" t="s">
        <v>377</v>
      </c>
      <c r="C426" s="198" t="s">
        <v>2</v>
      </c>
      <c r="D426" s="198" t="s">
        <v>0</v>
      </c>
      <c r="E426" s="198" t="s">
        <v>156</v>
      </c>
      <c r="F426" s="199">
        <v>166297.11751662972</v>
      </c>
      <c r="G426" s="199">
        <v>0</v>
      </c>
      <c r="H426" s="199">
        <v>166297.11751662972</v>
      </c>
      <c r="I426" s="199">
        <v>0</v>
      </c>
      <c r="J426" s="140"/>
      <c r="M426" s="4" t="str">
        <f t="shared" si="13"/>
        <v>visible</v>
      </c>
      <c r="N426" s="28"/>
      <c r="O426" s="28"/>
      <c r="P426" s="28"/>
      <c r="Q426" s="28"/>
      <c r="R426" s="28"/>
      <c r="S426" s="28"/>
      <c r="T426" s="28"/>
      <c r="U426" s="28"/>
      <c r="V426" s="28"/>
    </row>
    <row r="427" spans="1:22" s="3" customFormat="1" x14ac:dyDescent="0.45">
      <c r="A427" s="132">
        <f t="shared" si="14"/>
        <v>5</v>
      </c>
      <c r="B427" s="198" t="s">
        <v>488</v>
      </c>
      <c r="C427" s="198" t="s">
        <v>1</v>
      </c>
      <c r="D427" s="198" t="s">
        <v>0</v>
      </c>
      <c r="E427" s="198" t="s">
        <v>179</v>
      </c>
      <c r="F427" s="199">
        <v>29000</v>
      </c>
      <c r="G427" s="199">
        <v>29000</v>
      </c>
      <c r="H427" s="199">
        <v>0</v>
      </c>
      <c r="I427" s="199">
        <v>0</v>
      </c>
      <c r="J427" s="140"/>
      <c r="M427" s="4" t="str">
        <f t="shared" si="13"/>
        <v>visible</v>
      </c>
      <c r="N427" s="28"/>
      <c r="O427" s="28"/>
      <c r="P427" s="28"/>
      <c r="Q427" s="28"/>
      <c r="R427" s="28"/>
      <c r="S427" s="28"/>
      <c r="T427" s="28"/>
      <c r="U427" s="28"/>
      <c r="V427" s="28"/>
    </row>
    <row r="428" spans="1:22" s="3" customFormat="1" x14ac:dyDescent="0.45">
      <c r="A428" s="132">
        <f t="shared" si="14"/>
        <v>6</v>
      </c>
      <c r="B428" s="198" t="s">
        <v>589</v>
      </c>
      <c r="C428" s="198" t="s">
        <v>2</v>
      </c>
      <c r="D428" s="198" t="s">
        <v>0</v>
      </c>
      <c r="E428" s="198" t="s">
        <v>421</v>
      </c>
      <c r="F428" s="199">
        <v>698728.6774941996</v>
      </c>
      <c r="G428" s="199">
        <v>0</v>
      </c>
      <c r="H428" s="199">
        <v>698728.6774941996</v>
      </c>
      <c r="I428" s="199">
        <v>0</v>
      </c>
      <c r="J428" s="140"/>
      <c r="M428" s="4" t="str">
        <f t="shared" si="13"/>
        <v>visible</v>
      </c>
      <c r="N428" s="28"/>
      <c r="O428" s="28"/>
      <c r="P428" s="28"/>
      <c r="Q428" s="28"/>
      <c r="R428" s="28"/>
      <c r="S428" s="28"/>
      <c r="T428" s="28"/>
      <c r="U428" s="28"/>
      <c r="V428" s="28"/>
    </row>
    <row r="429" spans="1:22" s="3" customFormat="1" x14ac:dyDescent="0.45">
      <c r="A429" s="132">
        <f t="shared" si="14"/>
        <v>7</v>
      </c>
      <c r="B429" s="198" t="s">
        <v>633</v>
      </c>
      <c r="C429" s="198" t="s">
        <v>1</v>
      </c>
      <c r="D429" s="198" t="s">
        <v>0</v>
      </c>
      <c r="E429" s="198" t="s">
        <v>159</v>
      </c>
      <c r="F429" s="199">
        <v>0</v>
      </c>
      <c r="G429" s="199">
        <v>0</v>
      </c>
      <c r="H429" s="199">
        <v>0</v>
      </c>
      <c r="I429" s="199">
        <v>0</v>
      </c>
      <c r="J429" s="140"/>
      <c r="M429" s="4" t="str">
        <f t="shared" si="13"/>
        <v>visible</v>
      </c>
      <c r="N429" s="28"/>
      <c r="O429" s="28"/>
      <c r="P429" s="28"/>
      <c r="Q429" s="28"/>
      <c r="R429" s="28"/>
      <c r="S429" s="28"/>
      <c r="T429" s="28"/>
      <c r="U429" s="28"/>
      <c r="V429" s="28"/>
    </row>
    <row r="430" spans="1:22" s="3" customFormat="1" x14ac:dyDescent="0.45">
      <c r="A430" s="5">
        <f t="shared" si="14"/>
        <v>8</v>
      </c>
      <c r="B430" s="198" t="s">
        <v>734</v>
      </c>
      <c r="C430" s="198" t="s">
        <v>2</v>
      </c>
      <c r="D430" s="198" t="s">
        <v>0</v>
      </c>
      <c r="E430" s="198" t="s">
        <v>734</v>
      </c>
      <c r="F430" s="199">
        <v>0</v>
      </c>
      <c r="G430" s="199">
        <v>0</v>
      </c>
      <c r="H430" s="199">
        <v>0</v>
      </c>
      <c r="I430" s="199">
        <v>0</v>
      </c>
      <c r="M430" s="4" t="str">
        <f t="shared" si="13"/>
        <v>visible</v>
      </c>
      <c r="N430" s="28"/>
      <c r="O430" s="28"/>
      <c r="P430" s="28"/>
      <c r="Q430" s="28"/>
      <c r="R430" s="28"/>
      <c r="S430" s="28"/>
      <c r="T430" s="28"/>
      <c r="U430" s="28"/>
      <c r="V430" s="28"/>
    </row>
    <row r="431" spans="1:22" s="3" customFormat="1" x14ac:dyDescent="0.45">
      <c r="A431" s="5">
        <f t="shared" si="14"/>
        <v>9</v>
      </c>
      <c r="B431" s="198" t="s">
        <v>732</v>
      </c>
      <c r="C431" s="198" t="s">
        <v>2</v>
      </c>
      <c r="D431" s="198" t="s">
        <v>0</v>
      </c>
      <c r="E431" s="198" t="s">
        <v>475</v>
      </c>
      <c r="F431" s="199">
        <v>0</v>
      </c>
      <c r="G431" s="199">
        <v>0</v>
      </c>
      <c r="H431" s="199">
        <v>0</v>
      </c>
      <c r="I431" s="199">
        <v>0</v>
      </c>
      <c r="M431" s="4" t="str">
        <f t="shared" si="13"/>
        <v>visible</v>
      </c>
      <c r="N431" s="28"/>
      <c r="O431" s="28"/>
      <c r="P431" s="28"/>
      <c r="Q431" s="28"/>
      <c r="R431" s="28"/>
      <c r="S431" s="28"/>
      <c r="T431" s="28"/>
      <c r="U431" s="28"/>
      <c r="V431" s="28"/>
    </row>
    <row r="432" spans="1:22" s="3" customFormat="1" x14ac:dyDescent="0.45">
      <c r="A432" s="5">
        <f t="shared" si="14"/>
        <v>10</v>
      </c>
      <c r="B432" s="198" t="s">
        <v>783</v>
      </c>
      <c r="C432" s="198" t="s">
        <v>2</v>
      </c>
      <c r="D432" s="198" t="s">
        <v>0</v>
      </c>
      <c r="E432" s="198" t="s">
        <v>782</v>
      </c>
      <c r="F432" s="199">
        <v>0</v>
      </c>
      <c r="G432" s="199">
        <v>0</v>
      </c>
      <c r="H432" s="199">
        <v>0</v>
      </c>
      <c r="I432" s="199">
        <v>0</v>
      </c>
      <c r="M432" s="4" t="str">
        <f t="shared" si="13"/>
        <v>visible</v>
      </c>
      <c r="N432" s="28"/>
      <c r="O432" s="28"/>
      <c r="P432" s="28"/>
      <c r="Q432" s="28"/>
      <c r="R432" s="28"/>
      <c r="S432" s="28"/>
      <c r="T432" s="28"/>
      <c r="U432" s="28"/>
      <c r="V432" s="28"/>
    </row>
    <row r="433" spans="1:22" s="3" customFormat="1" x14ac:dyDescent="0.45">
      <c r="A433" s="5">
        <f t="shared" si="14"/>
        <v>11</v>
      </c>
      <c r="B433" s="198" t="s">
        <v>780</v>
      </c>
      <c r="C433" s="198" t="s">
        <v>2</v>
      </c>
      <c r="D433" s="198" t="s">
        <v>0</v>
      </c>
      <c r="E433" s="198" t="s">
        <v>781</v>
      </c>
      <c r="F433" s="199">
        <v>0</v>
      </c>
      <c r="G433" s="199">
        <v>0</v>
      </c>
      <c r="H433" s="199">
        <v>0</v>
      </c>
      <c r="I433" s="199">
        <v>0</v>
      </c>
      <c r="M433" s="4" t="str">
        <f t="shared" si="13"/>
        <v>visible</v>
      </c>
      <c r="N433" s="28"/>
      <c r="O433" s="28"/>
      <c r="P433" s="28"/>
      <c r="Q433" s="28"/>
      <c r="R433" s="28"/>
      <c r="S433" s="28"/>
      <c r="T433" s="28"/>
      <c r="U433" s="28"/>
      <c r="V433" s="28"/>
    </row>
    <row r="434" spans="1:22" s="3" customFormat="1" x14ac:dyDescent="0.45">
      <c r="A434" s="5">
        <f t="shared" si="14"/>
        <v>12</v>
      </c>
      <c r="B434" s="198" t="s">
        <v>774</v>
      </c>
      <c r="C434" s="198" t="s">
        <v>2</v>
      </c>
      <c r="D434" s="198" t="s">
        <v>0</v>
      </c>
      <c r="E434" s="198" t="s">
        <v>426</v>
      </c>
      <c r="F434" s="199">
        <v>0</v>
      </c>
      <c r="G434" s="199">
        <v>0</v>
      </c>
      <c r="H434" s="199">
        <v>0</v>
      </c>
      <c r="I434" s="199">
        <v>0</v>
      </c>
      <c r="M434" s="4" t="str">
        <f t="shared" si="13"/>
        <v>visible</v>
      </c>
      <c r="N434" s="28"/>
      <c r="O434" s="28"/>
      <c r="P434" s="28"/>
      <c r="Q434" s="28"/>
      <c r="R434" s="28"/>
      <c r="S434" s="28"/>
      <c r="T434" s="28"/>
      <c r="U434" s="28"/>
      <c r="V434" s="28"/>
    </row>
    <row r="435" spans="1:22" s="3" customFormat="1" x14ac:dyDescent="0.45">
      <c r="A435" s="5" t="str">
        <f t="shared" si="14"/>
        <v/>
      </c>
      <c r="B435" s="198" t="s">
        <v>429</v>
      </c>
      <c r="C435" s="198"/>
      <c r="D435" s="198"/>
      <c r="E435" s="198"/>
      <c r="F435" s="199">
        <v>1175025.7950108293</v>
      </c>
      <c r="G435" s="199">
        <v>279000</v>
      </c>
      <c r="H435" s="199">
        <v>882025.79501082934</v>
      </c>
      <c r="I435" s="199">
        <v>14000</v>
      </c>
      <c r="M435" s="4" t="str">
        <f t="shared" si="13"/>
        <v>visible</v>
      </c>
      <c r="N435" s="28"/>
      <c r="O435" s="28"/>
      <c r="P435" s="28"/>
      <c r="Q435" s="28"/>
      <c r="R435" s="28"/>
      <c r="S435" s="28"/>
      <c r="T435" s="28"/>
      <c r="U435" s="28"/>
      <c r="V435" s="28"/>
    </row>
    <row r="436" spans="1:22" s="3" customFormat="1" hidden="1" x14ac:dyDescent="0.45">
      <c r="A436" s="5" t="str">
        <f t="shared" si="14"/>
        <v/>
      </c>
      <c r="B436"/>
      <c r="C436"/>
      <c r="D436"/>
      <c r="E436"/>
      <c r="F436"/>
      <c r="G436"/>
      <c r="H436"/>
      <c r="I436"/>
      <c r="M436" s="4" t="str">
        <f t="shared" si="13"/>
        <v/>
      </c>
      <c r="N436" s="28"/>
      <c r="O436" s="28"/>
      <c r="P436" s="28"/>
      <c r="Q436" s="28"/>
      <c r="R436" s="28"/>
      <c r="S436" s="28"/>
      <c r="T436" s="28"/>
      <c r="U436" s="28"/>
      <c r="V436" s="28"/>
    </row>
    <row r="437" spans="1:22" s="3" customFormat="1" hidden="1" x14ac:dyDescent="0.45">
      <c r="A437" s="5" t="str">
        <f t="shared" si="14"/>
        <v/>
      </c>
      <c r="B437"/>
      <c r="C437"/>
      <c r="D437"/>
      <c r="E437"/>
      <c r="F437"/>
      <c r="G437"/>
      <c r="H437"/>
      <c r="I437"/>
      <c r="M437" s="4" t="str">
        <f t="shared" si="13"/>
        <v/>
      </c>
      <c r="N437" s="28"/>
      <c r="O437" s="28"/>
      <c r="P437" s="28"/>
      <c r="Q437" s="28"/>
      <c r="R437" s="28"/>
      <c r="S437" s="28"/>
      <c r="T437" s="28"/>
      <c r="U437" s="28"/>
      <c r="V437" s="28"/>
    </row>
    <row r="438" spans="1:22" s="3" customFormat="1" hidden="1" x14ac:dyDescent="0.45">
      <c r="A438" s="5" t="str">
        <f t="shared" si="14"/>
        <v/>
      </c>
      <c r="B438"/>
      <c r="C438"/>
      <c r="D438"/>
      <c r="E438"/>
      <c r="F438"/>
      <c r="G438"/>
      <c r="H438"/>
      <c r="I438"/>
      <c r="M438" s="4" t="str">
        <f t="shared" si="13"/>
        <v/>
      </c>
      <c r="N438" s="28"/>
      <c r="O438" s="28"/>
      <c r="P438" s="28"/>
      <c r="Q438" s="28"/>
      <c r="R438" s="28"/>
      <c r="S438" s="28"/>
      <c r="T438" s="28"/>
      <c r="U438" s="28"/>
      <c r="V438" s="28"/>
    </row>
    <row r="439" spans="1:22" s="3" customFormat="1" hidden="1" x14ac:dyDescent="0.45">
      <c r="A439" s="5" t="str">
        <f t="shared" si="14"/>
        <v/>
      </c>
      <c r="B439"/>
      <c r="C439"/>
      <c r="D439"/>
      <c r="E439"/>
      <c r="F439"/>
      <c r="G439"/>
      <c r="H439"/>
      <c r="I439"/>
      <c r="M439" s="4" t="str">
        <f t="shared" si="13"/>
        <v/>
      </c>
      <c r="N439" s="28"/>
      <c r="O439" s="28"/>
      <c r="P439" s="28"/>
      <c r="Q439" s="28"/>
      <c r="R439" s="28"/>
      <c r="S439" s="28"/>
      <c r="T439" s="28"/>
      <c r="U439" s="28"/>
      <c r="V439" s="28"/>
    </row>
    <row r="440" spans="1:22" s="3" customFormat="1" hidden="1" x14ac:dyDescent="0.45">
      <c r="A440" s="5" t="str">
        <f t="shared" si="14"/>
        <v/>
      </c>
      <c r="B440"/>
      <c r="C440"/>
      <c r="D440"/>
      <c r="E440"/>
      <c r="F440"/>
      <c r="G440"/>
      <c r="H440"/>
      <c r="I440"/>
      <c r="M440" s="4" t="str">
        <f t="shared" si="13"/>
        <v/>
      </c>
      <c r="N440" s="28"/>
      <c r="O440" s="28"/>
      <c r="P440" s="28"/>
      <c r="Q440" s="28"/>
      <c r="R440" s="28"/>
      <c r="S440" s="28"/>
      <c r="T440" s="28"/>
      <c r="U440" s="28"/>
      <c r="V440" s="28"/>
    </row>
    <row r="441" spans="1:22" s="3" customFormat="1" hidden="1" x14ac:dyDescent="0.45">
      <c r="A441" s="5" t="str">
        <f t="shared" si="14"/>
        <v/>
      </c>
      <c r="B441"/>
      <c r="C441"/>
      <c r="D441"/>
      <c r="E441"/>
      <c r="F441"/>
      <c r="G441"/>
      <c r="H441"/>
      <c r="I441"/>
      <c r="M441" s="4" t="str">
        <f t="shared" si="13"/>
        <v/>
      </c>
      <c r="N441" s="28"/>
      <c r="O441" s="28"/>
      <c r="P441" s="28"/>
      <c r="Q441" s="28"/>
      <c r="R441" s="28"/>
      <c r="S441" s="28"/>
      <c r="T441" s="28"/>
      <c r="U441" s="28"/>
      <c r="V441" s="28"/>
    </row>
    <row r="442" spans="1:22" s="3" customFormat="1" hidden="1" x14ac:dyDescent="0.45">
      <c r="A442" s="5" t="str">
        <f t="shared" si="14"/>
        <v/>
      </c>
      <c r="B442"/>
      <c r="C442"/>
      <c r="D442"/>
      <c r="E442"/>
      <c r="F442"/>
      <c r="G442"/>
      <c r="H442"/>
      <c r="I442"/>
      <c r="M442" s="4" t="str">
        <f t="shared" si="13"/>
        <v/>
      </c>
      <c r="N442" s="28"/>
      <c r="O442" s="28"/>
      <c r="P442" s="28"/>
      <c r="Q442" s="28"/>
      <c r="R442" s="28"/>
      <c r="S442" s="28"/>
      <c r="T442" s="28"/>
      <c r="U442" s="28"/>
      <c r="V442" s="28"/>
    </row>
    <row r="443" spans="1:22" s="3" customFormat="1" hidden="1" x14ac:dyDescent="0.45">
      <c r="A443" s="5" t="str">
        <f t="shared" si="14"/>
        <v/>
      </c>
      <c r="B443"/>
      <c r="C443"/>
      <c r="D443"/>
      <c r="E443"/>
      <c r="F443"/>
      <c r="G443"/>
      <c r="H443"/>
      <c r="I443"/>
      <c r="M443" s="4" t="str">
        <f t="shared" si="13"/>
        <v/>
      </c>
      <c r="N443" s="28"/>
      <c r="O443" s="28"/>
      <c r="P443" s="28"/>
      <c r="Q443" s="28"/>
      <c r="R443" s="28"/>
      <c r="S443" s="28"/>
      <c r="T443" s="28"/>
      <c r="U443" s="28"/>
      <c r="V443" s="28"/>
    </row>
    <row r="444" spans="1:22" s="3" customFormat="1" hidden="1" x14ac:dyDescent="0.45">
      <c r="A444" s="5" t="str">
        <f t="shared" si="14"/>
        <v/>
      </c>
      <c r="B444"/>
      <c r="C444"/>
      <c r="D444"/>
      <c r="E444"/>
      <c r="F444"/>
      <c r="G444"/>
      <c r="H444"/>
      <c r="I444"/>
      <c r="M444" s="4" t="str">
        <f t="shared" si="13"/>
        <v/>
      </c>
      <c r="N444" s="28"/>
      <c r="O444" s="28"/>
      <c r="P444" s="28"/>
      <c r="Q444" s="28"/>
      <c r="R444" s="28"/>
      <c r="S444" s="28"/>
      <c r="T444" s="28"/>
      <c r="U444" s="28"/>
      <c r="V444" s="28"/>
    </row>
    <row r="445" spans="1:22" s="3" customFormat="1" hidden="1" x14ac:dyDescent="0.45">
      <c r="A445" s="5" t="str">
        <f t="shared" si="14"/>
        <v/>
      </c>
      <c r="B445"/>
      <c r="C445"/>
      <c r="D445"/>
      <c r="E445"/>
      <c r="F445"/>
      <c r="G445"/>
      <c r="H445"/>
      <c r="I445"/>
      <c r="M445" s="4" t="str">
        <f t="shared" si="13"/>
        <v/>
      </c>
      <c r="N445" s="28"/>
      <c r="O445" s="28"/>
      <c r="P445" s="28"/>
      <c r="Q445" s="28"/>
      <c r="R445" s="28"/>
      <c r="S445" s="28"/>
      <c r="T445" s="28"/>
      <c r="U445" s="28"/>
      <c r="V445" s="28"/>
    </row>
    <row r="446" spans="1:22" s="3" customFormat="1" hidden="1" x14ac:dyDescent="0.45">
      <c r="A446" s="5" t="str">
        <f t="shared" si="14"/>
        <v/>
      </c>
      <c r="B446"/>
      <c r="C446"/>
      <c r="D446"/>
      <c r="E446"/>
      <c r="F446"/>
      <c r="G446"/>
      <c r="H446"/>
      <c r="I446"/>
      <c r="M446" s="4" t="str">
        <f t="shared" si="13"/>
        <v/>
      </c>
      <c r="N446" s="28"/>
      <c r="O446" s="28"/>
      <c r="P446" s="28"/>
      <c r="Q446" s="28"/>
      <c r="R446" s="28"/>
      <c r="S446" s="28"/>
      <c r="T446" s="28"/>
      <c r="U446" s="28"/>
      <c r="V446" s="28"/>
    </row>
    <row r="447" spans="1:22" s="3" customFormat="1" hidden="1" x14ac:dyDescent="0.45">
      <c r="A447" s="5" t="str">
        <f t="shared" si="14"/>
        <v/>
      </c>
      <c r="B447"/>
      <c r="C447"/>
      <c r="D447"/>
      <c r="E447"/>
      <c r="F447"/>
      <c r="G447"/>
      <c r="H447"/>
      <c r="I447"/>
      <c r="M447" s="4" t="str">
        <f t="shared" si="13"/>
        <v/>
      </c>
      <c r="N447" s="28"/>
      <c r="O447" s="28"/>
      <c r="P447" s="28"/>
      <c r="Q447" s="28"/>
      <c r="R447" s="28"/>
      <c r="S447" s="28"/>
      <c r="T447" s="28"/>
      <c r="U447" s="28"/>
      <c r="V447" s="28"/>
    </row>
    <row r="448" spans="1:22" s="3" customFormat="1" hidden="1" x14ac:dyDescent="0.45">
      <c r="A448" s="5" t="str">
        <f t="shared" si="14"/>
        <v/>
      </c>
      <c r="B448"/>
      <c r="C448"/>
      <c r="D448"/>
      <c r="E448"/>
      <c r="F448"/>
      <c r="G448"/>
      <c r="H448"/>
      <c r="I448"/>
      <c r="M448" s="4" t="str">
        <f t="shared" si="13"/>
        <v/>
      </c>
      <c r="N448" s="28"/>
      <c r="O448" s="28"/>
      <c r="P448" s="28"/>
      <c r="Q448" s="28"/>
      <c r="R448" s="28"/>
      <c r="S448" s="28"/>
      <c r="T448" s="28"/>
      <c r="U448" s="28"/>
      <c r="V448" s="28"/>
    </row>
    <row r="449" spans="1:22" s="3" customFormat="1" hidden="1" x14ac:dyDescent="0.45">
      <c r="A449" s="5" t="str">
        <f t="shared" si="14"/>
        <v/>
      </c>
      <c r="B449"/>
      <c r="C449"/>
      <c r="D449"/>
      <c r="E449"/>
      <c r="F449"/>
      <c r="G449"/>
      <c r="H449"/>
      <c r="I449"/>
      <c r="M449" s="4" t="str">
        <f t="shared" si="13"/>
        <v/>
      </c>
      <c r="N449" s="28"/>
      <c r="O449" s="28"/>
      <c r="P449" s="28"/>
      <c r="Q449" s="28"/>
      <c r="R449" s="28"/>
      <c r="S449" s="28"/>
      <c r="T449" s="28"/>
      <c r="U449" s="28"/>
      <c r="V449" s="28"/>
    </row>
    <row r="450" spans="1:22" s="3" customFormat="1" hidden="1" x14ac:dyDescent="0.45">
      <c r="A450" s="5" t="str">
        <f t="shared" si="14"/>
        <v/>
      </c>
      <c r="B450"/>
      <c r="C450"/>
      <c r="D450"/>
      <c r="E450"/>
      <c r="F450"/>
      <c r="G450"/>
      <c r="H450"/>
      <c r="I450"/>
      <c r="M450" s="4" t="str">
        <f t="shared" si="13"/>
        <v/>
      </c>
      <c r="N450" s="28"/>
      <c r="O450" s="28"/>
      <c r="P450" s="28"/>
      <c r="Q450" s="28"/>
      <c r="R450" s="28"/>
      <c r="S450" s="28"/>
      <c r="T450" s="28"/>
      <c r="U450" s="28"/>
      <c r="V450" s="28"/>
    </row>
    <row r="451" spans="1:22" s="3" customFormat="1" ht="14.25" hidden="1" x14ac:dyDescent="0.45">
      <c r="A451" s="5" t="str">
        <f t="shared" si="14"/>
        <v/>
      </c>
      <c r="B451"/>
      <c r="C451"/>
      <c r="D451"/>
      <c r="E451"/>
      <c r="F451"/>
      <c r="G451"/>
      <c r="H451"/>
      <c r="I451"/>
      <c r="M451" s="4" t="str">
        <f t="shared" si="13"/>
        <v/>
      </c>
    </row>
    <row r="452" spans="1:22" s="3" customFormat="1" ht="14.25" hidden="1" x14ac:dyDescent="0.45">
      <c r="A452" s="5" t="str">
        <f t="shared" si="14"/>
        <v/>
      </c>
      <c r="B452"/>
      <c r="C452"/>
      <c r="D452"/>
      <c r="E452"/>
      <c r="F452"/>
      <c r="G452"/>
      <c r="H452"/>
      <c r="I452"/>
      <c r="M452" s="4" t="str">
        <f t="shared" si="13"/>
        <v/>
      </c>
    </row>
    <row r="453" spans="1:22" s="3" customFormat="1" ht="14.25" hidden="1" x14ac:dyDescent="0.45">
      <c r="A453" s="5" t="str">
        <f t="shared" si="14"/>
        <v/>
      </c>
      <c r="B453"/>
      <c r="C453"/>
      <c r="D453"/>
      <c r="E453"/>
      <c r="F453"/>
      <c r="G453"/>
      <c r="H453"/>
      <c r="I453"/>
      <c r="M453" s="4" t="str">
        <f t="shared" ref="M453:M516" si="15">IF(B453&lt;&gt;"","visible","")</f>
        <v/>
      </c>
    </row>
    <row r="454" spans="1:22" s="3" customFormat="1" ht="14.25" hidden="1" x14ac:dyDescent="0.45">
      <c r="A454" s="5" t="str">
        <f t="shared" si="14"/>
        <v/>
      </c>
      <c r="B454"/>
      <c r="C454"/>
      <c r="D454"/>
      <c r="E454"/>
      <c r="F454"/>
      <c r="G454"/>
      <c r="H454"/>
      <c r="I454"/>
      <c r="M454" s="4" t="str">
        <f t="shared" si="15"/>
        <v/>
      </c>
    </row>
    <row r="455" spans="1:22" s="3" customFormat="1" ht="13.9" hidden="1" x14ac:dyDescent="0.4">
      <c r="A455" s="5" t="str">
        <f t="shared" si="14"/>
        <v/>
      </c>
      <c r="M455" s="4" t="str">
        <f t="shared" si="15"/>
        <v/>
      </c>
    </row>
    <row r="456" spans="1:22" s="3" customFormat="1" ht="13.9" hidden="1" x14ac:dyDescent="0.4">
      <c r="A456" s="5" t="str">
        <f t="shared" si="14"/>
        <v/>
      </c>
      <c r="M456" s="4" t="str">
        <f t="shared" si="15"/>
        <v/>
      </c>
    </row>
    <row r="457" spans="1:22" s="3" customFormat="1" ht="13.9" hidden="1" x14ac:dyDescent="0.4">
      <c r="A457" s="5" t="str">
        <f t="shared" si="14"/>
        <v/>
      </c>
      <c r="M457" s="4" t="str">
        <f t="shared" si="15"/>
        <v/>
      </c>
    </row>
    <row r="458" spans="1:22" s="3" customFormat="1" ht="13.9" hidden="1" x14ac:dyDescent="0.4">
      <c r="A458" s="5" t="str">
        <f t="shared" si="14"/>
        <v/>
      </c>
      <c r="M458" s="4" t="str">
        <f t="shared" si="15"/>
        <v/>
      </c>
    </row>
    <row r="459" spans="1:22" s="3" customFormat="1" ht="13.9" hidden="1" x14ac:dyDescent="0.4">
      <c r="A459" s="5" t="str">
        <f t="shared" si="14"/>
        <v/>
      </c>
      <c r="M459" s="4" t="str">
        <f t="shared" si="15"/>
        <v/>
      </c>
    </row>
    <row r="460" spans="1:22" s="3" customFormat="1" ht="13.9" hidden="1" x14ac:dyDescent="0.4">
      <c r="A460" s="5" t="str">
        <f t="shared" si="14"/>
        <v/>
      </c>
      <c r="M460" s="4" t="str">
        <f t="shared" si="15"/>
        <v/>
      </c>
    </row>
    <row r="461" spans="1:22" s="3" customFormat="1" ht="13.9" hidden="1" x14ac:dyDescent="0.4">
      <c r="A461" s="5" t="str">
        <f t="shared" si="14"/>
        <v/>
      </c>
      <c r="M461" s="4" t="str">
        <f t="shared" si="15"/>
        <v/>
      </c>
    </row>
    <row r="462" spans="1:22" s="3" customFormat="1" ht="13.9" hidden="1" x14ac:dyDescent="0.4">
      <c r="A462" s="5" t="str">
        <f t="shared" si="14"/>
        <v/>
      </c>
      <c r="M462" s="4" t="str">
        <f t="shared" si="15"/>
        <v/>
      </c>
    </row>
    <row r="463" spans="1:22" s="3" customFormat="1" ht="13.9" hidden="1" x14ac:dyDescent="0.4">
      <c r="A463" s="5" t="str">
        <f t="shared" si="14"/>
        <v/>
      </c>
      <c r="M463" s="4" t="str">
        <f t="shared" si="15"/>
        <v/>
      </c>
    </row>
    <row r="464" spans="1:22" s="3" customFormat="1" ht="13.9" hidden="1" x14ac:dyDescent="0.4">
      <c r="A464" s="5" t="str">
        <f t="shared" si="14"/>
        <v/>
      </c>
      <c r="M464" s="4" t="str">
        <f t="shared" si="15"/>
        <v/>
      </c>
    </row>
    <row r="465" spans="1:13" s="3" customFormat="1" ht="13.9" hidden="1" x14ac:dyDescent="0.4">
      <c r="A465" s="5" t="str">
        <f t="shared" si="14"/>
        <v/>
      </c>
      <c r="M465" s="4" t="str">
        <f t="shared" si="15"/>
        <v/>
      </c>
    </row>
    <row r="466" spans="1:13" s="3" customFormat="1" ht="13.9" hidden="1" x14ac:dyDescent="0.4">
      <c r="A466" s="5" t="str">
        <f t="shared" si="14"/>
        <v/>
      </c>
      <c r="M466" s="4" t="str">
        <f t="shared" si="15"/>
        <v/>
      </c>
    </row>
    <row r="467" spans="1:13" s="3" customFormat="1" ht="13.9" hidden="1" x14ac:dyDescent="0.4">
      <c r="A467" s="5" t="str">
        <f t="shared" si="14"/>
        <v/>
      </c>
      <c r="M467" s="4" t="str">
        <f t="shared" si="15"/>
        <v/>
      </c>
    </row>
    <row r="468" spans="1:13" s="3" customFormat="1" ht="13.9" hidden="1" x14ac:dyDescent="0.4">
      <c r="A468" s="5" t="str">
        <f t="shared" si="14"/>
        <v/>
      </c>
      <c r="M468" s="4" t="str">
        <f t="shared" si="15"/>
        <v/>
      </c>
    </row>
    <row r="469" spans="1:13" s="3" customFormat="1" ht="13.9" hidden="1" x14ac:dyDescent="0.4">
      <c r="A469" s="5" t="str">
        <f t="shared" si="14"/>
        <v/>
      </c>
      <c r="M469" s="4" t="str">
        <f t="shared" si="15"/>
        <v/>
      </c>
    </row>
    <row r="470" spans="1:13" s="3" customFormat="1" ht="13.9" hidden="1" x14ac:dyDescent="0.4">
      <c r="A470" s="5" t="str">
        <f t="shared" si="14"/>
        <v/>
      </c>
      <c r="M470" s="4" t="str">
        <f t="shared" si="15"/>
        <v/>
      </c>
    </row>
    <row r="471" spans="1:13" s="3" customFormat="1" ht="13.9" hidden="1" x14ac:dyDescent="0.4">
      <c r="A471" s="5" t="str">
        <f t="shared" si="14"/>
        <v/>
      </c>
      <c r="M471" s="4" t="str">
        <f t="shared" si="15"/>
        <v/>
      </c>
    </row>
    <row r="472" spans="1:13" s="3" customFormat="1" ht="13.9" hidden="1" x14ac:dyDescent="0.4">
      <c r="A472" s="5" t="str">
        <f t="shared" si="14"/>
        <v/>
      </c>
      <c r="M472" s="4" t="str">
        <f t="shared" si="15"/>
        <v/>
      </c>
    </row>
    <row r="473" spans="1:13" s="3" customFormat="1" ht="13.9" hidden="1" x14ac:dyDescent="0.4">
      <c r="A473" s="5" t="str">
        <f t="shared" si="14"/>
        <v/>
      </c>
      <c r="M473" s="4" t="str">
        <f t="shared" si="15"/>
        <v/>
      </c>
    </row>
    <row r="474" spans="1:13" s="3" customFormat="1" ht="13.9" hidden="1" x14ac:dyDescent="0.4">
      <c r="A474" s="5" t="str">
        <f t="shared" si="14"/>
        <v/>
      </c>
      <c r="M474" s="4" t="str">
        <f t="shared" si="15"/>
        <v/>
      </c>
    </row>
    <row r="475" spans="1:13" s="3" customFormat="1" ht="13.9" hidden="1" x14ac:dyDescent="0.4">
      <c r="A475" s="5" t="str">
        <f t="shared" si="14"/>
        <v/>
      </c>
      <c r="M475" s="4" t="str">
        <f t="shared" si="15"/>
        <v/>
      </c>
    </row>
    <row r="476" spans="1:13" s="3" customFormat="1" ht="13.9" hidden="1" x14ac:dyDescent="0.4">
      <c r="A476" s="5" t="str">
        <f t="shared" si="14"/>
        <v/>
      </c>
      <c r="M476" s="4" t="str">
        <f t="shared" si="15"/>
        <v/>
      </c>
    </row>
    <row r="477" spans="1:13" s="3" customFormat="1" ht="13.9" hidden="1" x14ac:dyDescent="0.4">
      <c r="A477" s="5" t="str">
        <f t="shared" si="14"/>
        <v/>
      </c>
      <c r="M477" s="4" t="str">
        <f t="shared" si="15"/>
        <v/>
      </c>
    </row>
    <row r="478" spans="1:13" s="3" customFormat="1" ht="13.9" hidden="1" x14ac:dyDescent="0.4">
      <c r="A478" s="5" t="str">
        <f t="shared" si="14"/>
        <v/>
      </c>
      <c r="M478" s="4" t="str">
        <f t="shared" si="15"/>
        <v/>
      </c>
    </row>
    <row r="479" spans="1:13" s="3" customFormat="1" ht="13.9" hidden="1" x14ac:dyDescent="0.4">
      <c r="A479" s="5" t="str">
        <f t="shared" si="14"/>
        <v/>
      </c>
      <c r="M479" s="4" t="str">
        <f t="shared" si="15"/>
        <v/>
      </c>
    </row>
    <row r="480" spans="1:13" s="3" customFormat="1" ht="13.9" hidden="1" x14ac:dyDescent="0.4">
      <c r="A480" s="5" t="str">
        <f t="shared" si="14"/>
        <v/>
      </c>
      <c r="M480" s="4" t="str">
        <f t="shared" si="15"/>
        <v/>
      </c>
    </row>
    <row r="481" spans="1:13" s="3" customFormat="1" ht="13.9" hidden="1" x14ac:dyDescent="0.4">
      <c r="A481" s="5" t="str">
        <f t="shared" si="14"/>
        <v/>
      </c>
      <c r="M481" s="4" t="str">
        <f t="shared" si="15"/>
        <v/>
      </c>
    </row>
    <row r="482" spans="1:13" s="3" customFormat="1" ht="13.9" hidden="1" x14ac:dyDescent="0.4">
      <c r="A482" s="5" t="str">
        <f t="shared" si="14"/>
        <v/>
      </c>
      <c r="M482" s="4" t="str">
        <f t="shared" si="15"/>
        <v/>
      </c>
    </row>
    <row r="483" spans="1:13" s="3" customFormat="1" ht="13.9" hidden="1" x14ac:dyDescent="0.4">
      <c r="A483" s="5" t="str">
        <f t="shared" si="14"/>
        <v/>
      </c>
      <c r="M483" s="4" t="str">
        <f t="shared" si="15"/>
        <v/>
      </c>
    </row>
    <row r="484" spans="1:13" s="3" customFormat="1" ht="13.9" hidden="1" x14ac:dyDescent="0.4">
      <c r="A484" s="5" t="str">
        <f t="shared" si="14"/>
        <v/>
      </c>
      <c r="M484" s="4" t="str">
        <f t="shared" si="15"/>
        <v/>
      </c>
    </row>
    <row r="485" spans="1:13" s="3" customFormat="1" ht="13.9" hidden="1" x14ac:dyDescent="0.4">
      <c r="A485" s="5" t="str">
        <f t="shared" si="14"/>
        <v/>
      </c>
      <c r="M485" s="4" t="str">
        <f t="shared" si="15"/>
        <v/>
      </c>
    </row>
    <row r="486" spans="1:13" s="3" customFormat="1" ht="13.9" hidden="1" x14ac:dyDescent="0.4">
      <c r="A486" s="5" t="str">
        <f t="shared" si="14"/>
        <v/>
      </c>
      <c r="M486" s="4" t="str">
        <f t="shared" si="15"/>
        <v/>
      </c>
    </row>
    <row r="487" spans="1:13" s="3" customFormat="1" ht="13.9" hidden="1" x14ac:dyDescent="0.4">
      <c r="A487" s="5" t="str">
        <f t="shared" si="14"/>
        <v/>
      </c>
      <c r="M487" s="4" t="str">
        <f t="shared" si="15"/>
        <v/>
      </c>
    </row>
    <row r="488" spans="1:13" s="3" customFormat="1" ht="13.9" hidden="1" x14ac:dyDescent="0.4">
      <c r="A488" s="5" t="str">
        <f t="shared" ref="A488:A514" si="16">IF(M488 ="visible",IF(B488 = "Total","",A487+1),"")</f>
        <v/>
      </c>
      <c r="M488" s="4" t="str">
        <f t="shared" si="15"/>
        <v/>
      </c>
    </row>
    <row r="489" spans="1:13" s="3" customFormat="1" ht="13.9" hidden="1" x14ac:dyDescent="0.4">
      <c r="A489" s="5" t="str">
        <f t="shared" si="16"/>
        <v/>
      </c>
      <c r="M489" s="4" t="str">
        <f t="shared" si="15"/>
        <v/>
      </c>
    </row>
    <row r="490" spans="1:13" s="3" customFormat="1" ht="13.9" hidden="1" x14ac:dyDescent="0.4">
      <c r="A490" s="5" t="str">
        <f t="shared" si="16"/>
        <v/>
      </c>
      <c r="M490" s="4" t="str">
        <f t="shared" si="15"/>
        <v/>
      </c>
    </row>
    <row r="491" spans="1:13" s="3" customFormat="1" ht="13.9" hidden="1" x14ac:dyDescent="0.4">
      <c r="A491" s="5" t="str">
        <f t="shared" si="16"/>
        <v/>
      </c>
      <c r="M491" s="4" t="str">
        <f t="shared" si="15"/>
        <v/>
      </c>
    </row>
    <row r="492" spans="1:13" s="3" customFormat="1" ht="13.9" hidden="1" x14ac:dyDescent="0.4">
      <c r="A492" s="5" t="str">
        <f t="shared" si="16"/>
        <v/>
      </c>
      <c r="M492" s="4" t="str">
        <f t="shared" si="15"/>
        <v/>
      </c>
    </row>
    <row r="493" spans="1:13" s="3" customFormat="1" ht="13.9" hidden="1" x14ac:dyDescent="0.4">
      <c r="A493" s="5" t="str">
        <f t="shared" si="16"/>
        <v/>
      </c>
      <c r="M493" s="4" t="str">
        <f t="shared" si="15"/>
        <v/>
      </c>
    </row>
    <row r="494" spans="1:13" s="3" customFormat="1" ht="13.9" hidden="1" x14ac:dyDescent="0.4">
      <c r="A494" s="5" t="str">
        <f t="shared" si="16"/>
        <v/>
      </c>
      <c r="M494" s="4" t="str">
        <f t="shared" si="15"/>
        <v/>
      </c>
    </row>
    <row r="495" spans="1:13" s="3" customFormat="1" ht="13.9" hidden="1" x14ac:dyDescent="0.4">
      <c r="A495" s="5" t="str">
        <f t="shared" si="16"/>
        <v/>
      </c>
      <c r="M495" s="4" t="str">
        <f t="shared" si="15"/>
        <v/>
      </c>
    </row>
    <row r="496" spans="1:13" s="3" customFormat="1" ht="13.9" hidden="1" x14ac:dyDescent="0.4">
      <c r="A496" s="5" t="str">
        <f t="shared" si="16"/>
        <v/>
      </c>
      <c r="M496" s="4" t="str">
        <f t="shared" si="15"/>
        <v/>
      </c>
    </row>
    <row r="497" spans="1:13" s="3" customFormat="1" ht="13.9" hidden="1" x14ac:dyDescent="0.4">
      <c r="A497" s="5" t="str">
        <f t="shared" si="16"/>
        <v/>
      </c>
      <c r="M497" s="4" t="str">
        <f t="shared" si="15"/>
        <v/>
      </c>
    </row>
    <row r="498" spans="1:13" s="3" customFormat="1" ht="13.9" hidden="1" x14ac:dyDescent="0.4">
      <c r="A498" s="5" t="str">
        <f t="shared" si="16"/>
        <v/>
      </c>
      <c r="M498" s="4" t="str">
        <f t="shared" si="15"/>
        <v/>
      </c>
    </row>
    <row r="499" spans="1:13" s="3" customFormat="1" ht="13.9" hidden="1" x14ac:dyDescent="0.4">
      <c r="A499" s="5" t="str">
        <f t="shared" si="16"/>
        <v/>
      </c>
      <c r="M499" s="4" t="str">
        <f t="shared" si="15"/>
        <v/>
      </c>
    </row>
    <row r="500" spans="1:13" s="3" customFormat="1" ht="13.9" hidden="1" x14ac:dyDescent="0.4">
      <c r="A500" s="5" t="str">
        <f t="shared" si="16"/>
        <v/>
      </c>
      <c r="M500" s="4" t="str">
        <f t="shared" si="15"/>
        <v/>
      </c>
    </row>
    <row r="501" spans="1:13" s="3" customFormat="1" ht="13.9" hidden="1" x14ac:dyDescent="0.4">
      <c r="A501" s="5" t="str">
        <f t="shared" si="16"/>
        <v/>
      </c>
      <c r="M501" s="4" t="str">
        <f t="shared" si="15"/>
        <v/>
      </c>
    </row>
    <row r="502" spans="1:13" s="3" customFormat="1" ht="13.9" hidden="1" x14ac:dyDescent="0.4">
      <c r="A502" s="5" t="str">
        <f t="shared" si="16"/>
        <v/>
      </c>
      <c r="M502" s="4" t="str">
        <f t="shared" si="15"/>
        <v/>
      </c>
    </row>
    <row r="503" spans="1:13" s="3" customFormat="1" ht="13.9" hidden="1" x14ac:dyDescent="0.4">
      <c r="A503" s="5" t="str">
        <f t="shared" si="16"/>
        <v/>
      </c>
      <c r="M503" s="4" t="str">
        <f t="shared" si="15"/>
        <v/>
      </c>
    </row>
    <row r="504" spans="1:13" s="3" customFormat="1" ht="13.9" hidden="1" x14ac:dyDescent="0.4">
      <c r="A504" s="5" t="str">
        <f t="shared" si="16"/>
        <v/>
      </c>
      <c r="M504" s="4" t="str">
        <f t="shared" si="15"/>
        <v/>
      </c>
    </row>
    <row r="505" spans="1:13" s="3" customFormat="1" ht="13.9" hidden="1" x14ac:dyDescent="0.4">
      <c r="A505" s="5" t="str">
        <f t="shared" si="16"/>
        <v/>
      </c>
      <c r="M505" s="4" t="str">
        <f t="shared" si="15"/>
        <v/>
      </c>
    </row>
    <row r="506" spans="1:13" s="3" customFormat="1" ht="13.9" hidden="1" x14ac:dyDescent="0.4">
      <c r="A506" s="5" t="str">
        <f t="shared" si="16"/>
        <v/>
      </c>
      <c r="M506" s="4" t="str">
        <f t="shared" si="15"/>
        <v/>
      </c>
    </row>
    <row r="507" spans="1:13" s="3" customFormat="1" ht="13.9" hidden="1" x14ac:dyDescent="0.4">
      <c r="A507" s="5" t="str">
        <f t="shared" si="16"/>
        <v/>
      </c>
      <c r="M507" s="4" t="str">
        <f t="shared" si="15"/>
        <v/>
      </c>
    </row>
    <row r="508" spans="1:13" s="3" customFormat="1" ht="13.9" hidden="1" x14ac:dyDescent="0.4">
      <c r="A508" s="5" t="str">
        <f t="shared" si="16"/>
        <v/>
      </c>
      <c r="M508" s="4" t="str">
        <f t="shared" si="15"/>
        <v/>
      </c>
    </row>
    <row r="509" spans="1:13" s="3" customFormat="1" ht="13.9" hidden="1" x14ac:dyDescent="0.4">
      <c r="A509" s="5" t="str">
        <f t="shared" si="16"/>
        <v/>
      </c>
      <c r="M509" s="4" t="str">
        <f t="shared" si="15"/>
        <v/>
      </c>
    </row>
    <row r="510" spans="1:13" s="3" customFormat="1" ht="13.9" hidden="1" x14ac:dyDescent="0.4">
      <c r="A510" s="5" t="str">
        <f t="shared" si="16"/>
        <v/>
      </c>
      <c r="M510" s="4" t="str">
        <f t="shared" si="15"/>
        <v/>
      </c>
    </row>
    <row r="511" spans="1:13" s="3" customFormat="1" ht="13.9" hidden="1" x14ac:dyDescent="0.4">
      <c r="A511" s="5" t="str">
        <f t="shared" si="16"/>
        <v/>
      </c>
      <c r="M511" s="4" t="str">
        <f t="shared" si="15"/>
        <v/>
      </c>
    </row>
    <row r="512" spans="1:13" s="3" customFormat="1" ht="13.9" hidden="1" x14ac:dyDescent="0.4">
      <c r="A512" s="5" t="str">
        <f t="shared" si="16"/>
        <v/>
      </c>
      <c r="M512" s="4" t="str">
        <f t="shared" si="15"/>
        <v/>
      </c>
    </row>
    <row r="513" spans="1:22" s="3" customFormat="1" ht="13.9" hidden="1" x14ac:dyDescent="0.4">
      <c r="A513" s="5" t="str">
        <f t="shared" si="16"/>
        <v/>
      </c>
      <c r="M513" s="4" t="str">
        <f t="shared" si="15"/>
        <v/>
      </c>
    </row>
    <row r="514" spans="1:22" s="3" customFormat="1" ht="13.9" hidden="1" x14ac:dyDescent="0.4">
      <c r="A514" s="5" t="str">
        <f t="shared" si="16"/>
        <v/>
      </c>
      <c r="M514" s="4" t="str">
        <f t="shared" si="15"/>
        <v/>
      </c>
    </row>
    <row r="515" spans="1:22" x14ac:dyDescent="0.45">
      <c r="A515" s="132"/>
      <c r="B515" s="134" t="s">
        <v>136</v>
      </c>
      <c r="C515" s="130"/>
      <c r="D515" s="130"/>
      <c r="E515" s="130"/>
      <c r="F515" s="130"/>
      <c r="G515" s="130"/>
      <c r="H515" s="130"/>
      <c r="I515" s="130"/>
      <c r="J515" s="140"/>
      <c r="M515" s="4" t="str">
        <f t="shared" si="15"/>
        <v>visible</v>
      </c>
    </row>
    <row r="516" spans="1:22" x14ac:dyDescent="0.45">
      <c r="A516" s="14"/>
      <c r="B516" s="196" t="s">
        <v>312</v>
      </c>
      <c r="C516" s="192" t="s">
        <v>246</v>
      </c>
      <c r="M516" s="4" t="str">
        <f t="shared" si="15"/>
        <v>visible</v>
      </c>
    </row>
    <row r="517" spans="1:22" s="3" customFormat="1" ht="13.9" hidden="1" x14ac:dyDescent="0.4">
      <c r="A517" s="5"/>
      <c r="M517" s="4" t="str">
        <f t="shared" ref="M517:M580" si="17">IF(B517&lt;&gt;"","visible","")</f>
        <v/>
      </c>
    </row>
    <row r="518" spans="1:22" x14ac:dyDescent="0.45">
      <c r="A518" s="15"/>
      <c r="B518" s="204" t="s">
        <v>5</v>
      </c>
      <c r="C518" s="204" t="s">
        <v>7</v>
      </c>
      <c r="D518" s="204" t="s">
        <v>23</v>
      </c>
      <c r="E518" s="204" t="s">
        <v>14</v>
      </c>
      <c r="F518" s="205" t="s">
        <v>135</v>
      </c>
      <c r="G518" s="194" t="s">
        <v>257</v>
      </c>
      <c r="H518" s="194" t="s">
        <v>258</v>
      </c>
      <c r="I518" s="205" t="s">
        <v>263</v>
      </c>
      <c r="M518" s="4" t="str">
        <f t="shared" si="17"/>
        <v>visible</v>
      </c>
    </row>
    <row r="519" spans="1:22" x14ac:dyDescent="0.45">
      <c r="A519" s="5">
        <f t="shared" ref="A519:A550" si="18">IF(M519 ="visible",IF(B519 = "Total","",A518+1),"")</f>
        <v>1</v>
      </c>
      <c r="B519" s="192" t="s">
        <v>158</v>
      </c>
      <c r="C519" s="192" t="s">
        <v>1</v>
      </c>
      <c r="D519" s="192" t="s">
        <v>0</v>
      </c>
      <c r="E519" s="192" t="s">
        <v>399</v>
      </c>
      <c r="F519" s="194">
        <v>76000</v>
      </c>
      <c r="G519" s="194">
        <v>76000</v>
      </c>
      <c r="H519" s="194">
        <v>0</v>
      </c>
      <c r="I519" s="194">
        <v>0</v>
      </c>
      <c r="M519" s="4" t="str">
        <f t="shared" si="17"/>
        <v>visible</v>
      </c>
    </row>
    <row r="520" spans="1:22" x14ac:dyDescent="0.45">
      <c r="A520" s="5">
        <f t="shared" si="18"/>
        <v>2</v>
      </c>
      <c r="B520" s="192" t="s">
        <v>160</v>
      </c>
      <c r="C520" s="192" t="s">
        <v>1</v>
      </c>
      <c r="D520" s="192" t="s">
        <v>0</v>
      </c>
      <c r="E520" s="192" t="s">
        <v>161</v>
      </c>
      <c r="F520" s="194">
        <v>150000</v>
      </c>
      <c r="G520" s="194">
        <v>150000</v>
      </c>
      <c r="H520" s="194">
        <v>0</v>
      </c>
      <c r="I520" s="194">
        <v>0</v>
      </c>
      <c r="M520" s="4" t="str">
        <f t="shared" si="17"/>
        <v>visible</v>
      </c>
    </row>
    <row r="521" spans="1:22" s="3" customFormat="1" x14ac:dyDescent="0.45">
      <c r="A521" s="5">
        <f t="shared" si="18"/>
        <v>3</v>
      </c>
      <c r="B521" s="192" t="s">
        <v>170</v>
      </c>
      <c r="C521" s="192" t="s">
        <v>2</v>
      </c>
      <c r="D521" s="192" t="s">
        <v>0</v>
      </c>
      <c r="E521" s="192" t="s">
        <v>171</v>
      </c>
      <c r="F521" s="194">
        <v>107143</v>
      </c>
      <c r="G521" s="194">
        <v>0</v>
      </c>
      <c r="H521" s="194">
        <v>107143</v>
      </c>
      <c r="I521" s="194">
        <v>0</v>
      </c>
      <c r="M521" s="4" t="str">
        <f t="shared" si="17"/>
        <v>visible</v>
      </c>
      <c r="N521" s="28"/>
      <c r="O521" s="28"/>
      <c r="P521" s="28"/>
      <c r="Q521" s="28"/>
      <c r="R521" s="28"/>
      <c r="S521" s="28"/>
      <c r="T521" s="28"/>
      <c r="U521" s="28"/>
      <c r="V521" s="28"/>
    </row>
    <row r="522" spans="1:22" s="3" customFormat="1" x14ac:dyDescent="0.45">
      <c r="A522" s="5">
        <f t="shared" si="18"/>
        <v>4</v>
      </c>
      <c r="B522" s="192" t="s">
        <v>172</v>
      </c>
      <c r="C522" s="192" t="s">
        <v>2</v>
      </c>
      <c r="D522" s="192" t="s">
        <v>0</v>
      </c>
      <c r="E522" s="192" t="s">
        <v>173</v>
      </c>
      <c r="F522" s="194">
        <v>14762</v>
      </c>
      <c r="G522" s="194">
        <v>0</v>
      </c>
      <c r="H522" s="194">
        <v>14762</v>
      </c>
      <c r="I522" s="194">
        <v>0</v>
      </c>
      <c r="M522" s="4" t="str">
        <f t="shared" si="17"/>
        <v>visible</v>
      </c>
      <c r="N522" s="28"/>
      <c r="O522" s="28"/>
      <c r="P522" s="28"/>
      <c r="Q522" s="28"/>
      <c r="R522" s="28"/>
      <c r="S522" s="28"/>
      <c r="T522" s="28"/>
      <c r="U522" s="28"/>
      <c r="V522" s="28"/>
    </row>
    <row r="523" spans="1:22" s="3" customFormat="1" x14ac:dyDescent="0.45">
      <c r="A523" s="5">
        <f t="shared" si="18"/>
        <v>5</v>
      </c>
      <c r="B523" s="192" t="s">
        <v>174</v>
      </c>
      <c r="C523" s="192" t="s">
        <v>1</v>
      </c>
      <c r="D523" s="192" t="s">
        <v>0</v>
      </c>
      <c r="E523" s="192" t="s">
        <v>399</v>
      </c>
      <c r="F523" s="194">
        <v>45000</v>
      </c>
      <c r="G523" s="194">
        <v>45000</v>
      </c>
      <c r="H523" s="194">
        <v>0</v>
      </c>
      <c r="I523" s="194">
        <v>0</v>
      </c>
      <c r="M523" s="4" t="str">
        <f t="shared" si="17"/>
        <v>visible</v>
      </c>
      <c r="N523" s="28"/>
      <c r="O523" s="28"/>
      <c r="P523" s="28"/>
      <c r="Q523" s="28"/>
      <c r="R523" s="28"/>
      <c r="S523" s="28"/>
      <c r="T523" s="28"/>
      <c r="U523" s="28"/>
      <c r="V523" s="28"/>
    </row>
    <row r="524" spans="1:22" s="3" customFormat="1" x14ac:dyDescent="0.45">
      <c r="A524" s="5">
        <f t="shared" si="18"/>
        <v>6</v>
      </c>
      <c r="B524" s="192" t="s">
        <v>175</v>
      </c>
      <c r="C524" s="192" t="s">
        <v>1</v>
      </c>
      <c r="D524" s="192" t="s">
        <v>0</v>
      </c>
      <c r="E524" s="192" t="s">
        <v>399</v>
      </c>
      <c r="F524" s="194">
        <v>65000</v>
      </c>
      <c r="G524" s="194">
        <v>65000</v>
      </c>
      <c r="H524" s="194">
        <v>0</v>
      </c>
      <c r="I524" s="194">
        <v>0</v>
      </c>
      <c r="M524" s="4" t="str">
        <f t="shared" si="17"/>
        <v>visible</v>
      </c>
      <c r="N524" s="28"/>
      <c r="O524" s="28"/>
      <c r="P524" s="28"/>
      <c r="Q524" s="28"/>
      <c r="R524" s="28"/>
      <c r="S524" s="28"/>
      <c r="T524" s="28"/>
      <c r="U524" s="28"/>
      <c r="V524" s="28"/>
    </row>
    <row r="525" spans="1:22" s="3" customFormat="1" x14ac:dyDescent="0.45">
      <c r="A525" s="5">
        <f t="shared" si="18"/>
        <v>7</v>
      </c>
      <c r="B525" s="192" t="s">
        <v>182</v>
      </c>
      <c r="C525" s="192" t="s">
        <v>97</v>
      </c>
      <c r="D525" s="192" t="s">
        <v>0</v>
      </c>
      <c r="E525" s="192" t="s">
        <v>183</v>
      </c>
      <c r="F525" s="194">
        <v>0</v>
      </c>
      <c r="G525" s="194">
        <v>0</v>
      </c>
      <c r="H525" s="194">
        <v>0</v>
      </c>
      <c r="I525" s="194">
        <v>0</v>
      </c>
      <c r="M525" s="4" t="str">
        <f t="shared" si="17"/>
        <v>visible</v>
      </c>
      <c r="N525" s="28"/>
      <c r="O525" s="28"/>
      <c r="P525" s="28"/>
      <c r="Q525" s="28"/>
      <c r="R525" s="28"/>
      <c r="S525" s="28"/>
      <c r="T525" s="28"/>
      <c r="U525" s="28"/>
      <c r="V525" s="28"/>
    </row>
    <row r="526" spans="1:22" s="3" customFormat="1" x14ac:dyDescent="0.45">
      <c r="A526" s="5">
        <f t="shared" si="18"/>
        <v>8</v>
      </c>
      <c r="B526" s="192" t="s">
        <v>184</v>
      </c>
      <c r="C526" s="192" t="s">
        <v>1</v>
      </c>
      <c r="D526" s="192" t="s">
        <v>96</v>
      </c>
      <c r="E526" s="192" t="s">
        <v>185</v>
      </c>
      <c r="F526" s="194">
        <v>400000</v>
      </c>
      <c r="G526" s="194">
        <v>400000</v>
      </c>
      <c r="H526" s="194">
        <v>0</v>
      </c>
      <c r="I526" s="194">
        <v>0</v>
      </c>
      <c r="M526" s="4" t="str">
        <f t="shared" si="17"/>
        <v>visible</v>
      </c>
      <c r="N526" s="28"/>
      <c r="O526" s="28"/>
      <c r="P526" s="28"/>
      <c r="Q526" s="28"/>
      <c r="R526" s="28"/>
      <c r="S526" s="28"/>
      <c r="T526" s="28"/>
      <c r="U526" s="28"/>
      <c r="V526" s="28"/>
    </row>
    <row r="527" spans="1:22" s="3" customFormat="1" x14ac:dyDescent="0.45">
      <c r="A527" s="5">
        <f t="shared" si="18"/>
        <v>9</v>
      </c>
      <c r="B527" s="192" t="s">
        <v>187</v>
      </c>
      <c r="C527" s="192" t="s">
        <v>97</v>
      </c>
      <c r="D527" s="192" t="s">
        <v>0</v>
      </c>
      <c r="E527" s="192" t="s">
        <v>118</v>
      </c>
      <c r="F527" s="194">
        <v>54000</v>
      </c>
      <c r="G527" s="194">
        <v>54000</v>
      </c>
      <c r="H527" s="194">
        <v>0</v>
      </c>
      <c r="I527" s="194">
        <v>0</v>
      </c>
      <c r="M527" s="4" t="str">
        <f t="shared" si="17"/>
        <v>visible</v>
      </c>
      <c r="N527" s="28"/>
      <c r="O527" s="28"/>
      <c r="P527" s="28"/>
      <c r="Q527" s="28"/>
      <c r="R527" s="28"/>
      <c r="S527" s="28"/>
      <c r="T527" s="28"/>
      <c r="U527" s="28"/>
      <c r="V527" s="28"/>
    </row>
    <row r="528" spans="1:22" s="3" customFormat="1" x14ac:dyDescent="0.45">
      <c r="A528" s="5">
        <f t="shared" si="18"/>
        <v>10</v>
      </c>
      <c r="B528" s="192" t="s">
        <v>189</v>
      </c>
      <c r="C528" s="192" t="s">
        <v>1</v>
      </c>
      <c r="D528" s="192" t="s">
        <v>0</v>
      </c>
      <c r="E528" s="192" t="s">
        <v>190</v>
      </c>
      <c r="F528" s="194">
        <v>32000</v>
      </c>
      <c r="G528" s="194">
        <v>32000</v>
      </c>
      <c r="H528" s="194">
        <v>0</v>
      </c>
      <c r="I528" s="194">
        <v>0</v>
      </c>
      <c r="M528" s="4" t="str">
        <f t="shared" si="17"/>
        <v>visible</v>
      </c>
      <c r="N528" s="28"/>
      <c r="O528" s="28"/>
      <c r="P528" s="28"/>
      <c r="Q528" s="28"/>
      <c r="R528" s="28"/>
      <c r="S528" s="28"/>
      <c r="T528" s="28"/>
      <c r="U528" s="28"/>
      <c r="V528" s="28"/>
    </row>
    <row r="529" spans="1:22" s="3" customFormat="1" x14ac:dyDescent="0.45">
      <c r="A529" s="5">
        <f t="shared" si="18"/>
        <v>11</v>
      </c>
      <c r="B529" s="192" t="s">
        <v>191</v>
      </c>
      <c r="C529" s="192" t="s">
        <v>1</v>
      </c>
      <c r="D529" s="192" t="s">
        <v>0</v>
      </c>
      <c r="E529" s="192" t="s">
        <v>192</v>
      </c>
      <c r="F529" s="194">
        <v>24500</v>
      </c>
      <c r="G529" s="194">
        <v>24500</v>
      </c>
      <c r="H529" s="194">
        <v>0</v>
      </c>
      <c r="I529" s="194">
        <v>0</v>
      </c>
      <c r="M529" s="4" t="str">
        <f t="shared" si="17"/>
        <v>visible</v>
      </c>
      <c r="N529" s="28"/>
      <c r="O529" s="28"/>
      <c r="P529" s="28"/>
      <c r="Q529" s="28"/>
      <c r="R529" s="28"/>
      <c r="S529" s="28"/>
      <c r="T529" s="28"/>
      <c r="U529" s="28"/>
      <c r="V529" s="28"/>
    </row>
    <row r="530" spans="1:22" s="3" customFormat="1" x14ac:dyDescent="0.45">
      <c r="A530" s="5">
        <f t="shared" si="18"/>
        <v>12</v>
      </c>
      <c r="B530" s="192" t="s">
        <v>196</v>
      </c>
      <c r="C530" s="192" t="s">
        <v>1</v>
      </c>
      <c r="D530" s="192" t="s">
        <v>96</v>
      </c>
      <c r="E530" s="192" t="s">
        <v>193</v>
      </c>
      <c r="F530" s="194">
        <v>900000</v>
      </c>
      <c r="G530" s="194">
        <v>900000</v>
      </c>
      <c r="H530" s="194">
        <v>0</v>
      </c>
      <c r="I530" s="194">
        <v>0</v>
      </c>
      <c r="M530" s="4" t="str">
        <f t="shared" si="17"/>
        <v>visible</v>
      </c>
      <c r="N530" s="28"/>
      <c r="O530" s="28"/>
      <c r="P530" s="28"/>
      <c r="Q530" s="28"/>
      <c r="R530" s="28"/>
      <c r="S530" s="28"/>
      <c r="T530" s="28"/>
      <c r="U530" s="28"/>
      <c r="V530" s="28"/>
    </row>
    <row r="531" spans="1:22" s="3" customFormat="1" x14ac:dyDescent="0.45">
      <c r="A531" s="5">
        <f t="shared" si="18"/>
        <v>13</v>
      </c>
      <c r="B531" s="192" t="s">
        <v>198</v>
      </c>
      <c r="C531" s="192" t="s">
        <v>97</v>
      </c>
      <c r="D531" s="192" t="s">
        <v>96</v>
      </c>
      <c r="E531" s="192" t="s">
        <v>128</v>
      </c>
      <c r="F531" s="194">
        <v>699570</v>
      </c>
      <c r="G531" s="194">
        <v>400000</v>
      </c>
      <c r="H531" s="194">
        <v>299570</v>
      </c>
      <c r="I531" s="194">
        <v>0</v>
      </c>
      <c r="M531" s="4" t="str">
        <f t="shared" si="17"/>
        <v>visible</v>
      </c>
      <c r="N531" s="28"/>
      <c r="O531" s="28"/>
      <c r="P531" s="28"/>
      <c r="Q531" s="28"/>
      <c r="R531" s="28"/>
      <c r="S531" s="28"/>
      <c r="T531" s="28"/>
      <c r="U531" s="28"/>
      <c r="V531" s="28"/>
    </row>
    <row r="532" spans="1:22" s="3" customFormat="1" x14ac:dyDescent="0.45">
      <c r="A532" s="5">
        <f t="shared" si="18"/>
        <v>14</v>
      </c>
      <c r="B532" s="192" t="s">
        <v>201</v>
      </c>
      <c r="C532" s="192" t="s">
        <v>1</v>
      </c>
      <c r="D532" s="192" t="s">
        <v>0</v>
      </c>
      <c r="E532" s="192" t="s">
        <v>426</v>
      </c>
      <c r="F532" s="194">
        <v>105750</v>
      </c>
      <c r="G532" s="194">
        <v>105750</v>
      </c>
      <c r="H532" s="194">
        <v>0</v>
      </c>
      <c r="I532" s="194">
        <v>0</v>
      </c>
      <c r="M532" s="4" t="str">
        <f t="shared" si="17"/>
        <v>visible</v>
      </c>
      <c r="N532" s="28"/>
      <c r="O532" s="28"/>
      <c r="P532" s="28"/>
      <c r="Q532" s="28"/>
      <c r="R532" s="28"/>
      <c r="S532" s="28"/>
      <c r="T532" s="28"/>
      <c r="U532" s="28"/>
      <c r="V532" s="28"/>
    </row>
    <row r="533" spans="1:22" s="3" customFormat="1" x14ac:dyDescent="0.45">
      <c r="A533" s="5">
        <f t="shared" si="18"/>
        <v>15</v>
      </c>
      <c r="B533" s="192" t="s">
        <v>202</v>
      </c>
      <c r="C533" s="192" t="s">
        <v>1</v>
      </c>
      <c r="D533" s="192" t="s">
        <v>0</v>
      </c>
      <c r="E533" s="192" t="s">
        <v>115</v>
      </c>
      <c r="F533" s="194">
        <v>58500</v>
      </c>
      <c r="G533" s="194">
        <v>58500</v>
      </c>
      <c r="H533" s="194">
        <v>0</v>
      </c>
      <c r="I533" s="194">
        <v>0</v>
      </c>
      <c r="M533" s="4" t="str">
        <f t="shared" si="17"/>
        <v>visible</v>
      </c>
      <c r="N533" s="28"/>
      <c r="O533" s="28"/>
      <c r="P533" s="28"/>
      <c r="Q533" s="28"/>
      <c r="R533" s="28"/>
      <c r="S533" s="28"/>
      <c r="T533" s="28"/>
      <c r="U533" s="28"/>
      <c r="V533" s="28"/>
    </row>
    <row r="534" spans="1:22" s="3" customFormat="1" x14ac:dyDescent="0.45">
      <c r="A534" s="5">
        <f t="shared" si="18"/>
        <v>16</v>
      </c>
      <c r="B534" s="192" t="s">
        <v>203</v>
      </c>
      <c r="C534" s="192" t="s">
        <v>1</v>
      </c>
      <c r="D534" s="192" t="s">
        <v>0</v>
      </c>
      <c r="E534" s="192" t="s">
        <v>115</v>
      </c>
      <c r="F534" s="194">
        <v>35000</v>
      </c>
      <c r="G534" s="194">
        <v>35000</v>
      </c>
      <c r="H534" s="194">
        <v>0</v>
      </c>
      <c r="I534" s="194">
        <v>0</v>
      </c>
      <c r="M534" s="4" t="str">
        <f t="shared" si="17"/>
        <v>visible</v>
      </c>
      <c r="N534" s="28"/>
      <c r="O534" s="28"/>
      <c r="P534" s="28"/>
      <c r="Q534" s="28"/>
      <c r="R534" s="28"/>
      <c r="S534" s="28"/>
      <c r="T534" s="28"/>
      <c r="U534" s="28"/>
      <c r="V534" s="28"/>
    </row>
    <row r="535" spans="1:22" s="3" customFormat="1" x14ac:dyDescent="0.45">
      <c r="A535" s="5">
        <f t="shared" si="18"/>
        <v>17</v>
      </c>
      <c r="B535" s="192" t="s">
        <v>209</v>
      </c>
      <c r="C535" s="192" t="s">
        <v>2</v>
      </c>
      <c r="D535" s="192" t="s">
        <v>96</v>
      </c>
      <c r="E535" s="192" t="s">
        <v>210</v>
      </c>
      <c r="F535" s="194">
        <v>1515139</v>
      </c>
      <c r="G535" s="194">
        <v>0</v>
      </c>
      <c r="H535" s="194">
        <v>1515139</v>
      </c>
      <c r="I535" s="194">
        <v>0</v>
      </c>
      <c r="M535" s="4" t="str">
        <f t="shared" si="17"/>
        <v>visible</v>
      </c>
      <c r="N535" s="28"/>
      <c r="O535" s="28"/>
      <c r="P535" s="28"/>
      <c r="Q535" s="28"/>
      <c r="R535" s="28"/>
      <c r="S535" s="28"/>
      <c r="T535" s="28"/>
      <c r="U535" s="28"/>
      <c r="V535" s="28"/>
    </row>
    <row r="536" spans="1:22" s="3" customFormat="1" x14ac:dyDescent="0.45">
      <c r="A536" s="5">
        <f t="shared" si="18"/>
        <v>18</v>
      </c>
      <c r="B536" s="192" t="s">
        <v>211</v>
      </c>
      <c r="C536" s="192" t="s">
        <v>2</v>
      </c>
      <c r="D536" s="192" t="s">
        <v>96</v>
      </c>
      <c r="E536" s="192" t="s">
        <v>210</v>
      </c>
      <c r="F536" s="194">
        <v>1485088</v>
      </c>
      <c r="G536" s="194">
        <v>0</v>
      </c>
      <c r="H536" s="194">
        <v>1485088</v>
      </c>
      <c r="I536" s="194">
        <v>0</v>
      </c>
      <c r="M536" s="4" t="str">
        <f t="shared" si="17"/>
        <v>visible</v>
      </c>
      <c r="N536" s="28"/>
      <c r="O536" s="28"/>
      <c r="P536" s="28"/>
      <c r="Q536" s="28"/>
      <c r="R536" s="28"/>
      <c r="S536" s="28"/>
      <c r="T536" s="28"/>
      <c r="U536" s="28"/>
      <c r="V536" s="28"/>
    </row>
    <row r="537" spans="1:22" s="3" customFormat="1" x14ac:dyDescent="0.45">
      <c r="A537" s="5">
        <f t="shared" si="18"/>
        <v>19</v>
      </c>
      <c r="B537" s="192" t="s">
        <v>212</v>
      </c>
      <c r="C537" s="192" t="s">
        <v>97</v>
      </c>
      <c r="D537" s="192" t="s">
        <v>96</v>
      </c>
      <c r="E537" s="192" t="s">
        <v>128</v>
      </c>
      <c r="F537" s="194">
        <v>60000</v>
      </c>
      <c r="G537" s="194">
        <v>60000</v>
      </c>
      <c r="H537" s="194">
        <v>0</v>
      </c>
      <c r="I537" s="194">
        <v>0</v>
      </c>
      <c r="M537" s="4" t="str">
        <f t="shared" si="17"/>
        <v>visible</v>
      </c>
      <c r="N537" s="28"/>
      <c r="O537" s="28"/>
      <c r="P537" s="28"/>
      <c r="Q537" s="28"/>
      <c r="R537" s="28"/>
      <c r="S537" s="28"/>
      <c r="T537" s="28"/>
      <c r="U537" s="28"/>
      <c r="V537" s="28"/>
    </row>
    <row r="538" spans="1:22" s="3" customFormat="1" x14ac:dyDescent="0.45">
      <c r="A538" s="5">
        <f t="shared" si="18"/>
        <v>20</v>
      </c>
      <c r="B538" s="192" t="s">
        <v>213</v>
      </c>
      <c r="C538" s="192" t="s">
        <v>1</v>
      </c>
      <c r="D538" s="192" t="s">
        <v>0</v>
      </c>
      <c r="E538" s="192" t="s">
        <v>214</v>
      </c>
      <c r="F538" s="194">
        <v>1200000</v>
      </c>
      <c r="G538" s="194">
        <v>400000</v>
      </c>
      <c r="H538" s="194">
        <v>0</v>
      </c>
      <c r="I538" s="194">
        <v>800000</v>
      </c>
      <c r="M538" s="4" t="str">
        <f t="shared" si="17"/>
        <v>visible</v>
      </c>
      <c r="N538" s="28"/>
      <c r="O538" s="28"/>
      <c r="P538" s="28"/>
      <c r="Q538" s="28"/>
      <c r="R538" s="28"/>
      <c r="S538" s="28"/>
      <c r="T538" s="28"/>
      <c r="U538" s="28"/>
      <c r="V538" s="28"/>
    </row>
    <row r="539" spans="1:22" s="3" customFormat="1" x14ac:dyDescent="0.45">
      <c r="A539" s="5">
        <f t="shared" si="18"/>
        <v>21</v>
      </c>
      <c r="B539" s="192" t="s">
        <v>215</v>
      </c>
      <c r="C539" s="192" t="s">
        <v>2</v>
      </c>
      <c r="D539" s="192" t="s">
        <v>0</v>
      </c>
      <c r="E539" s="192" t="s">
        <v>186</v>
      </c>
      <c r="F539" s="194">
        <v>29762</v>
      </c>
      <c r="G539" s="194">
        <v>0</v>
      </c>
      <c r="H539" s="194">
        <v>29762</v>
      </c>
      <c r="I539" s="194">
        <v>0</v>
      </c>
      <c r="M539" s="4" t="str">
        <f t="shared" si="17"/>
        <v>visible</v>
      </c>
      <c r="N539" s="28"/>
      <c r="O539" s="28"/>
      <c r="P539" s="28"/>
      <c r="Q539" s="28"/>
      <c r="R539" s="28"/>
      <c r="S539" s="28"/>
      <c r="T539" s="28"/>
      <c r="U539" s="28"/>
      <c r="V539" s="28"/>
    </row>
    <row r="540" spans="1:22" s="3" customFormat="1" x14ac:dyDescent="0.45">
      <c r="A540" s="5">
        <f t="shared" si="18"/>
        <v>22</v>
      </c>
      <c r="B540" s="192" t="s">
        <v>216</v>
      </c>
      <c r="C540" s="192" t="s">
        <v>1</v>
      </c>
      <c r="D540" s="192" t="s">
        <v>0</v>
      </c>
      <c r="E540" s="192" t="s">
        <v>214</v>
      </c>
      <c r="F540" s="194">
        <v>76550</v>
      </c>
      <c r="G540" s="194">
        <v>76550</v>
      </c>
      <c r="H540" s="194">
        <v>0</v>
      </c>
      <c r="I540" s="194">
        <v>0</v>
      </c>
      <c r="M540" s="4" t="str">
        <f t="shared" si="17"/>
        <v>visible</v>
      </c>
      <c r="N540" s="28"/>
      <c r="O540" s="28"/>
      <c r="P540" s="28"/>
      <c r="Q540" s="28"/>
      <c r="R540" s="28"/>
      <c r="S540" s="28"/>
      <c r="T540" s="28"/>
      <c r="U540" s="28"/>
      <c r="V540" s="28"/>
    </row>
    <row r="541" spans="1:22" s="3" customFormat="1" x14ac:dyDescent="0.45">
      <c r="A541" s="5">
        <f t="shared" si="18"/>
        <v>23</v>
      </c>
      <c r="B541" s="192" t="s">
        <v>217</v>
      </c>
      <c r="C541" s="192" t="s">
        <v>97</v>
      </c>
      <c r="D541" s="192" t="s">
        <v>0</v>
      </c>
      <c r="E541" s="192" t="s">
        <v>218</v>
      </c>
      <c r="F541" s="194">
        <v>18556.748857600149</v>
      </c>
      <c r="G541" s="194">
        <v>0</v>
      </c>
      <c r="H541" s="194">
        <v>18556.748857600149</v>
      </c>
      <c r="I541" s="194">
        <v>0</v>
      </c>
      <c r="M541" s="4" t="str">
        <f t="shared" si="17"/>
        <v>visible</v>
      </c>
      <c r="N541" s="28"/>
      <c r="O541" s="28"/>
      <c r="P541" s="28"/>
      <c r="Q541" s="28"/>
      <c r="R541" s="28"/>
      <c r="S541" s="28"/>
      <c r="T541" s="28"/>
      <c r="U541" s="28"/>
      <c r="V541" s="28"/>
    </row>
    <row r="542" spans="1:22" s="3" customFormat="1" x14ac:dyDescent="0.45">
      <c r="A542" s="5">
        <f t="shared" si="18"/>
        <v>24</v>
      </c>
      <c r="B542" s="192" t="s">
        <v>219</v>
      </c>
      <c r="C542" s="192" t="s">
        <v>1</v>
      </c>
      <c r="D542" s="192" t="s">
        <v>0</v>
      </c>
      <c r="E542" s="192" t="s">
        <v>220</v>
      </c>
      <c r="F542" s="194">
        <v>390000</v>
      </c>
      <c r="G542" s="194">
        <v>390000</v>
      </c>
      <c r="H542" s="194">
        <v>0</v>
      </c>
      <c r="I542" s="194">
        <v>0</v>
      </c>
      <c r="M542" s="4" t="str">
        <f t="shared" si="17"/>
        <v>visible</v>
      </c>
      <c r="N542" s="28"/>
      <c r="O542" s="28"/>
      <c r="P542" s="28"/>
      <c r="Q542" s="28"/>
      <c r="R542" s="28"/>
      <c r="S542" s="28"/>
      <c r="T542" s="28"/>
      <c r="U542" s="28"/>
      <c r="V542" s="28"/>
    </row>
    <row r="543" spans="1:22" s="3" customFormat="1" x14ac:dyDescent="0.45">
      <c r="A543" s="5">
        <f t="shared" si="18"/>
        <v>25</v>
      </c>
      <c r="B543" s="192" t="s">
        <v>221</v>
      </c>
      <c r="C543" s="192" t="s">
        <v>2</v>
      </c>
      <c r="D543" s="192" t="s">
        <v>96</v>
      </c>
      <c r="E543" s="192" t="s">
        <v>222</v>
      </c>
      <c r="F543" s="194">
        <v>65000</v>
      </c>
      <c r="G543" s="194">
        <v>0</v>
      </c>
      <c r="H543" s="194">
        <v>65000</v>
      </c>
      <c r="I543" s="194">
        <v>0</v>
      </c>
      <c r="M543" s="4" t="str">
        <f t="shared" si="17"/>
        <v>visible</v>
      </c>
      <c r="N543" s="28"/>
      <c r="O543" s="28"/>
      <c r="P543" s="28"/>
      <c r="Q543" s="28"/>
      <c r="R543" s="28"/>
      <c r="S543" s="28"/>
      <c r="T543" s="28"/>
      <c r="U543" s="28"/>
      <c r="V543" s="28"/>
    </row>
    <row r="544" spans="1:22" s="3" customFormat="1" x14ac:dyDescent="0.45">
      <c r="A544" s="5">
        <f t="shared" si="18"/>
        <v>26</v>
      </c>
      <c r="B544" s="192" t="s">
        <v>223</v>
      </c>
      <c r="C544" s="192" t="s">
        <v>2</v>
      </c>
      <c r="D544" s="192" t="s">
        <v>96</v>
      </c>
      <c r="E544" s="192" t="s">
        <v>133</v>
      </c>
      <c r="F544" s="194">
        <v>0</v>
      </c>
      <c r="G544" s="194">
        <v>0</v>
      </c>
      <c r="H544" s="194">
        <v>0</v>
      </c>
      <c r="I544" s="194">
        <v>0</v>
      </c>
      <c r="M544" s="4" t="str">
        <f t="shared" si="17"/>
        <v>visible</v>
      </c>
      <c r="N544" s="28"/>
      <c r="O544" s="28"/>
      <c r="P544" s="28"/>
      <c r="Q544" s="28"/>
      <c r="R544" s="28"/>
      <c r="S544" s="28"/>
      <c r="T544" s="28"/>
      <c r="U544" s="28"/>
      <c r="V544" s="28"/>
    </row>
    <row r="545" spans="1:22" s="3" customFormat="1" x14ac:dyDescent="0.45">
      <c r="A545" s="5">
        <f t="shared" si="18"/>
        <v>27</v>
      </c>
      <c r="B545" s="192" t="s">
        <v>264</v>
      </c>
      <c r="C545" s="192" t="s">
        <v>1</v>
      </c>
      <c r="D545" s="192" t="s">
        <v>0</v>
      </c>
      <c r="E545" s="192" t="s">
        <v>265</v>
      </c>
      <c r="F545" s="194">
        <v>500000</v>
      </c>
      <c r="G545" s="194">
        <v>250000</v>
      </c>
      <c r="H545" s="194">
        <v>0</v>
      </c>
      <c r="I545" s="194">
        <v>250000</v>
      </c>
      <c r="M545" s="4" t="str">
        <f t="shared" si="17"/>
        <v>visible</v>
      </c>
      <c r="N545" s="28"/>
      <c r="O545" s="28"/>
      <c r="P545" s="28"/>
      <c r="Q545" s="28"/>
      <c r="R545" s="28"/>
      <c r="S545" s="28"/>
      <c r="T545" s="28"/>
      <c r="U545" s="28"/>
      <c r="V545" s="28"/>
    </row>
    <row r="546" spans="1:22" s="3" customFormat="1" x14ac:dyDescent="0.45">
      <c r="A546" s="5">
        <f t="shared" si="18"/>
        <v>28</v>
      </c>
      <c r="B546" s="192" t="s">
        <v>283</v>
      </c>
      <c r="C546" s="192" t="s">
        <v>1</v>
      </c>
      <c r="D546" s="192" t="s">
        <v>96</v>
      </c>
      <c r="E546" s="192" t="s">
        <v>286</v>
      </c>
      <c r="F546" s="194">
        <v>400000</v>
      </c>
      <c r="G546" s="194">
        <v>400000</v>
      </c>
      <c r="H546" s="194">
        <v>0</v>
      </c>
      <c r="I546" s="194">
        <v>0</v>
      </c>
      <c r="M546" s="4" t="str">
        <f t="shared" si="17"/>
        <v>visible</v>
      </c>
      <c r="N546" s="28"/>
      <c r="O546" s="28"/>
      <c r="P546" s="74"/>
      <c r="Q546" s="28"/>
      <c r="R546" s="28"/>
      <c r="S546" s="28"/>
      <c r="T546" s="28"/>
      <c r="U546" s="28"/>
      <c r="V546" s="28"/>
    </row>
    <row r="547" spans="1:22" s="3" customFormat="1" x14ac:dyDescent="0.45">
      <c r="A547" s="5">
        <f t="shared" si="18"/>
        <v>29</v>
      </c>
      <c r="B547" s="192" t="s">
        <v>313</v>
      </c>
      <c r="C547" s="192" t="s">
        <v>2</v>
      </c>
      <c r="D547" s="192" t="s">
        <v>0</v>
      </c>
      <c r="E547" s="192" t="s">
        <v>197</v>
      </c>
      <c r="F547" s="194">
        <v>0</v>
      </c>
      <c r="G547" s="194">
        <v>0</v>
      </c>
      <c r="H547" s="194">
        <v>0</v>
      </c>
      <c r="I547" s="194">
        <v>0</v>
      </c>
      <c r="M547" s="4" t="str">
        <f t="shared" si="17"/>
        <v>visible</v>
      </c>
      <c r="N547" s="28"/>
      <c r="O547" s="28"/>
      <c r="P547" s="28"/>
      <c r="Q547" s="28"/>
      <c r="R547" s="28"/>
      <c r="S547" s="28"/>
      <c r="T547" s="28"/>
      <c r="U547" s="28"/>
      <c r="V547" s="28"/>
    </row>
    <row r="548" spans="1:22" s="3" customFormat="1" x14ac:dyDescent="0.45">
      <c r="A548" s="5">
        <f t="shared" si="18"/>
        <v>30</v>
      </c>
      <c r="B548" s="192" t="s">
        <v>321</v>
      </c>
      <c r="C548" s="192" t="s">
        <v>2</v>
      </c>
      <c r="D548" s="192" t="s">
        <v>0</v>
      </c>
      <c r="E548" s="192" t="s">
        <v>321</v>
      </c>
      <c r="F548" s="194">
        <v>0</v>
      </c>
      <c r="G548" s="194">
        <v>0</v>
      </c>
      <c r="H548" s="194">
        <v>0</v>
      </c>
      <c r="I548" s="194">
        <v>0</v>
      </c>
      <c r="M548" s="4" t="str">
        <f t="shared" si="17"/>
        <v>visible</v>
      </c>
      <c r="N548" s="28"/>
      <c r="O548" s="28"/>
      <c r="P548" s="28"/>
      <c r="Q548" s="28"/>
      <c r="R548" s="28"/>
      <c r="S548" s="28"/>
      <c r="T548" s="28"/>
      <c r="U548" s="28"/>
      <c r="V548" s="28"/>
    </row>
    <row r="549" spans="1:22" s="3" customFormat="1" x14ac:dyDescent="0.45">
      <c r="A549" s="5">
        <f t="shared" si="18"/>
        <v>31</v>
      </c>
      <c r="B549" s="192" t="s">
        <v>325</v>
      </c>
      <c r="C549" s="192" t="s">
        <v>2</v>
      </c>
      <c r="D549" s="192" t="s">
        <v>0</v>
      </c>
      <c r="E549" s="192" t="s">
        <v>166</v>
      </c>
      <c r="F549" s="194">
        <v>347939.04108000279</v>
      </c>
      <c r="G549" s="194">
        <v>0</v>
      </c>
      <c r="H549" s="194">
        <v>347939.04108000279</v>
      </c>
      <c r="I549" s="194">
        <v>0</v>
      </c>
      <c r="M549" s="4" t="str">
        <f t="shared" si="17"/>
        <v>visible</v>
      </c>
      <c r="N549" s="28"/>
      <c r="O549" s="28"/>
      <c r="P549" s="28"/>
      <c r="Q549" s="28"/>
      <c r="R549" s="28"/>
      <c r="S549" s="28"/>
      <c r="T549" s="28"/>
      <c r="U549" s="28"/>
      <c r="V549" s="28"/>
    </row>
    <row r="550" spans="1:22" s="3" customFormat="1" x14ac:dyDescent="0.45">
      <c r="A550" s="5">
        <f t="shared" si="18"/>
        <v>32</v>
      </c>
      <c r="B550" s="192" t="s">
        <v>328</v>
      </c>
      <c r="C550" s="192" t="s">
        <v>2</v>
      </c>
      <c r="D550" s="192" t="s">
        <v>0</v>
      </c>
      <c r="E550" s="192" t="s">
        <v>399</v>
      </c>
      <c r="F550" s="194">
        <v>0</v>
      </c>
      <c r="G550" s="194">
        <v>0</v>
      </c>
      <c r="H550" s="194">
        <v>0</v>
      </c>
      <c r="I550" s="194">
        <v>0</v>
      </c>
      <c r="M550" s="4" t="str">
        <f t="shared" si="17"/>
        <v>visible</v>
      </c>
      <c r="N550" s="28"/>
      <c r="O550" s="28"/>
      <c r="P550" s="28"/>
      <c r="Q550" s="28"/>
      <c r="R550" s="28"/>
      <c r="S550" s="28"/>
      <c r="T550" s="28"/>
      <c r="U550" s="28"/>
      <c r="V550" s="28"/>
    </row>
    <row r="551" spans="1:22" s="3" customFormat="1" x14ac:dyDescent="0.45">
      <c r="A551" s="5">
        <f t="shared" ref="A551:A582" si="19">IF(M551 ="visible",IF(B551 = "Total","",A550+1),"")</f>
        <v>33</v>
      </c>
      <c r="B551" s="192" t="s">
        <v>332</v>
      </c>
      <c r="C551" s="192" t="s">
        <v>2</v>
      </c>
      <c r="D551" s="192" t="s">
        <v>0</v>
      </c>
      <c r="E551" s="192" t="s">
        <v>334</v>
      </c>
      <c r="F551" s="194">
        <v>0</v>
      </c>
      <c r="G551" s="194">
        <v>0</v>
      </c>
      <c r="H551" s="194">
        <v>0</v>
      </c>
      <c r="I551" s="194">
        <v>0</v>
      </c>
      <c r="M551" s="4" t="str">
        <f t="shared" si="17"/>
        <v>visible</v>
      </c>
      <c r="N551" s="28"/>
      <c r="O551" s="28"/>
      <c r="P551" s="28"/>
      <c r="Q551" s="28"/>
      <c r="R551" s="28"/>
      <c r="S551" s="28"/>
      <c r="T551" s="28"/>
      <c r="U551" s="28"/>
      <c r="V551" s="28"/>
    </row>
    <row r="552" spans="1:22" s="3" customFormat="1" x14ac:dyDescent="0.45">
      <c r="A552" s="5">
        <f t="shared" si="19"/>
        <v>34</v>
      </c>
      <c r="B552" s="192" t="s">
        <v>335</v>
      </c>
      <c r="C552" s="192" t="s">
        <v>2</v>
      </c>
      <c r="D552" s="192" t="s">
        <v>0</v>
      </c>
      <c r="E552" s="192" t="s">
        <v>336</v>
      </c>
      <c r="F552" s="194">
        <v>0</v>
      </c>
      <c r="G552" s="194">
        <v>0</v>
      </c>
      <c r="H552" s="194">
        <v>0</v>
      </c>
      <c r="I552" s="194">
        <v>0</v>
      </c>
      <c r="M552" s="4" t="str">
        <f t="shared" si="17"/>
        <v>visible</v>
      </c>
      <c r="N552" s="28"/>
      <c r="O552" s="28"/>
      <c r="P552" s="28"/>
      <c r="Q552" s="28"/>
      <c r="R552" s="28"/>
      <c r="S552" s="28"/>
      <c r="T552" s="28"/>
      <c r="U552" s="28"/>
      <c r="V552" s="28"/>
    </row>
    <row r="553" spans="1:22" s="3" customFormat="1" x14ac:dyDescent="0.45">
      <c r="A553" s="5">
        <f t="shared" si="19"/>
        <v>35</v>
      </c>
      <c r="B553" s="192" t="s">
        <v>338</v>
      </c>
      <c r="C553" s="192" t="s">
        <v>2</v>
      </c>
      <c r="D553" s="192" t="s">
        <v>0</v>
      </c>
      <c r="E553" s="192" t="s">
        <v>636</v>
      </c>
      <c r="F553" s="194">
        <v>0</v>
      </c>
      <c r="G553" s="194">
        <v>0</v>
      </c>
      <c r="H553" s="194">
        <v>0</v>
      </c>
      <c r="I553" s="194">
        <v>0</v>
      </c>
      <c r="M553" s="4" t="str">
        <f t="shared" si="17"/>
        <v>visible</v>
      </c>
      <c r="N553" s="28"/>
      <c r="O553" s="28"/>
      <c r="P553" s="28"/>
      <c r="Q553" s="74"/>
      <c r="R553" s="28"/>
      <c r="S553" s="28"/>
      <c r="T553" s="28"/>
      <c r="U553" s="28"/>
      <c r="V553" s="28"/>
    </row>
    <row r="554" spans="1:22" s="3" customFormat="1" x14ac:dyDescent="0.45">
      <c r="A554" s="5">
        <f t="shared" si="19"/>
        <v>36</v>
      </c>
      <c r="B554" s="192" t="s">
        <v>339</v>
      </c>
      <c r="C554" s="192" t="s">
        <v>2</v>
      </c>
      <c r="D554" s="192" t="s">
        <v>0</v>
      </c>
      <c r="E554" s="192" t="s">
        <v>340</v>
      </c>
      <c r="F554" s="194">
        <v>0</v>
      </c>
      <c r="G554" s="194">
        <v>0</v>
      </c>
      <c r="H554" s="194">
        <v>0</v>
      </c>
      <c r="I554" s="194">
        <v>0</v>
      </c>
      <c r="M554" s="4" t="str">
        <f t="shared" si="17"/>
        <v>visible</v>
      </c>
      <c r="N554" s="28"/>
      <c r="O554" s="28"/>
      <c r="P554" s="28"/>
      <c r="Q554" s="28"/>
      <c r="R554" s="28"/>
      <c r="S554" s="28"/>
      <c r="T554" s="28"/>
      <c r="U554" s="28"/>
      <c r="V554" s="28"/>
    </row>
    <row r="555" spans="1:22" s="3" customFormat="1" x14ac:dyDescent="0.45">
      <c r="A555" s="5">
        <f t="shared" si="19"/>
        <v>37</v>
      </c>
      <c r="B555" s="192" t="s">
        <v>341</v>
      </c>
      <c r="C555" s="192" t="s">
        <v>2</v>
      </c>
      <c r="D555" s="192" t="s">
        <v>0</v>
      </c>
      <c r="E555" s="192" t="s">
        <v>342</v>
      </c>
      <c r="F555" s="194">
        <v>0</v>
      </c>
      <c r="G555" s="194">
        <v>0</v>
      </c>
      <c r="H555" s="194">
        <v>0</v>
      </c>
      <c r="I555" s="194">
        <v>0</v>
      </c>
      <c r="M555" s="4" t="str">
        <f t="shared" si="17"/>
        <v>visible</v>
      </c>
      <c r="N555" s="28"/>
      <c r="O555" s="28"/>
      <c r="P555" s="28"/>
      <c r="Q555" s="28"/>
      <c r="R555" s="28"/>
      <c r="S555" s="28"/>
      <c r="T555" s="28"/>
      <c r="U555" s="28"/>
      <c r="V555" s="28"/>
    </row>
    <row r="556" spans="1:22" s="3" customFormat="1" x14ac:dyDescent="0.45">
      <c r="A556" s="5">
        <f t="shared" si="19"/>
        <v>38</v>
      </c>
      <c r="B556" s="192" t="s">
        <v>343</v>
      </c>
      <c r="C556" s="192" t="s">
        <v>2</v>
      </c>
      <c r="D556" s="192" t="s">
        <v>0</v>
      </c>
      <c r="E556" s="192" t="s">
        <v>344</v>
      </c>
      <c r="F556" s="194">
        <v>0</v>
      </c>
      <c r="G556" s="194">
        <v>0</v>
      </c>
      <c r="H556" s="194">
        <v>0</v>
      </c>
      <c r="I556" s="194">
        <v>0</v>
      </c>
      <c r="M556" s="4" t="str">
        <f t="shared" si="17"/>
        <v>visible</v>
      </c>
      <c r="N556" s="28"/>
      <c r="O556" s="28"/>
      <c r="P556" s="28"/>
      <c r="Q556" s="28"/>
      <c r="R556" s="28"/>
      <c r="S556" s="28"/>
      <c r="T556" s="28"/>
      <c r="U556" s="28"/>
      <c r="V556" s="28"/>
    </row>
    <row r="557" spans="1:22" s="3" customFormat="1" x14ac:dyDescent="0.45">
      <c r="A557" s="5">
        <f t="shared" si="19"/>
        <v>39</v>
      </c>
      <c r="B557" s="192" t="s">
        <v>347</v>
      </c>
      <c r="C557" s="192" t="s">
        <v>2</v>
      </c>
      <c r="D557" s="192" t="s">
        <v>0</v>
      </c>
      <c r="E557" s="192" t="s">
        <v>344</v>
      </c>
      <c r="F557" s="194">
        <v>22382.846605274757</v>
      </c>
      <c r="G557" s="194">
        <v>0</v>
      </c>
      <c r="H557" s="194">
        <v>22382.846605274757</v>
      </c>
      <c r="I557" s="194">
        <v>0</v>
      </c>
      <c r="M557" s="4" t="str">
        <f t="shared" si="17"/>
        <v>visible</v>
      </c>
      <c r="N557" s="28"/>
      <c r="O557" s="28"/>
      <c r="P557" s="28"/>
      <c r="Q557" s="28"/>
      <c r="R557" s="28"/>
      <c r="S557" s="28"/>
      <c r="T557" s="28"/>
      <c r="U557" s="28"/>
      <c r="V557" s="28"/>
    </row>
    <row r="558" spans="1:22" s="3" customFormat="1" x14ac:dyDescent="0.45">
      <c r="A558" s="5">
        <f t="shared" si="19"/>
        <v>40</v>
      </c>
      <c r="B558" s="192" t="s">
        <v>352</v>
      </c>
      <c r="C558" s="192" t="s">
        <v>2</v>
      </c>
      <c r="D558" s="192" t="s">
        <v>96</v>
      </c>
      <c r="E558" s="192" t="s">
        <v>453</v>
      </c>
      <c r="F558" s="194">
        <v>1067013.0593120086</v>
      </c>
      <c r="G558" s="194">
        <v>0</v>
      </c>
      <c r="H558" s="194">
        <v>1067013.0593120086</v>
      </c>
      <c r="I558" s="194">
        <v>0</v>
      </c>
      <c r="M558" s="4" t="str">
        <f t="shared" si="17"/>
        <v>visible</v>
      </c>
      <c r="N558" s="28"/>
      <c r="O558" s="28"/>
      <c r="P558" s="28"/>
      <c r="Q558" s="28"/>
      <c r="R558" s="28"/>
      <c r="S558" s="28"/>
      <c r="T558" s="28"/>
      <c r="U558" s="28"/>
      <c r="V558" s="28"/>
    </row>
    <row r="559" spans="1:22" s="3" customFormat="1" x14ac:dyDescent="0.45">
      <c r="A559" s="5">
        <f t="shared" si="19"/>
        <v>41</v>
      </c>
      <c r="B559" s="192" t="s">
        <v>355</v>
      </c>
      <c r="C559" s="192" t="s">
        <v>2</v>
      </c>
      <c r="D559" s="192" t="s">
        <v>96</v>
      </c>
      <c r="E559" s="192" t="s">
        <v>453</v>
      </c>
      <c r="F559" s="194">
        <v>301547.16893600242</v>
      </c>
      <c r="G559" s="194">
        <v>0</v>
      </c>
      <c r="H559" s="194">
        <v>301547.16893600242</v>
      </c>
      <c r="I559" s="194">
        <v>0</v>
      </c>
      <c r="M559" s="4" t="str">
        <f t="shared" si="17"/>
        <v>visible</v>
      </c>
      <c r="N559" s="28"/>
      <c r="O559" s="28"/>
      <c r="P559" s="28"/>
      <c r="Q559" s="28"/>
      <c r="R559" s="28"/>
      <c r="S559" s="28"/>
      <c r="T559" s="28"/>
      <c r="U559" s="28"/>
      <c r="V559" s="28"/>
    </row>
    <row r="560" spans="1:22" s="3" customFormat="1" x14ac:dyDescent="0.45">
      <c r="A560" s="5">
        <f t="shared" si="19"/>
        <v>42</v>
      </c>
      <c r="B560" s="192" t="s">
        <v>359</v>
      </c>
      <c r="C560" s="192" t="s">
        <v>2</v>
      </c>
      <c r="D560" s="192" t="s">
        <v>0</v>
      </c>
      <c r="E560" s="192" t="s">
        <v>359</v>
      </c>
      <c r="F560" s="194">
        <v>0</v>
      </c>
      <c r="G560" s="194">
        <v>0</v>
      </c>
      <c r="H560" s="194">
        <v>0</v>
      </c>
      <c r="I560" s="194">
        <v>0</v>
      </c>
      <c r="M560" s="4" t="str">
        <f t="shared" si="17"/>
        <v>visible</v>
      </c>
      <c r="N560" s="28"/>
      <c r="O560" s="28"/>
      <c r="P560" s="28"/>
      <c r="Q560" s="28"/>
      <c r="R560" s="28"/>
      <c r="S560" s="28"/>
      <c r="T560" s="28"/>
      <c r="U560" s="28"/>
      <c r="V560" s="28"/>
    </row>
    <row r="561" spans="1:13" s="3" customFormat="1" ht="13.9" x14ac:dyDescent="0.4">
      <c r="A561" s="5">
        <f t="shared" si="19"/>
        <v>43</v>
      </c>
      <c r="B561" s="192" t="s">
        <v>362</v>
      </c>
      <c r="C561" s="192" t="s">
        <v>2</v>
      </c>
      <c r="D561" s="192" t="s">
        <v>0</v>
      </c>
      <c r="E561" s="192" t="s">
        <v>363</v>
      </c>
      <c r="F561" s="194">
        <v>0</v>
      </c>
      <c r="G561" s="194">
        <v>0</v>
      </c>
      <c r="H561" s="194">
        <v>0</v>
      </c>
      <c r="I561" s="194">
        <v>0</v>
      </c>
      <c r="M561" s="4" t="str">
        <f t="shared" si="17"/>
        <v>visible</v>
      </c>
    </row>
    <row r="562" spans="1:13" s="3" customFormat="1" ht="13.9" x14ac:dyDescent="0.4">
      <c r="A562" s="5">
        <f t="shared" si="19"/>
        <v>44</v>
      </c>
      <c r="B562" s="192" t="s">
        <v>365</v>
      </c>
      <c r="C562" s="192" t="s">
        <v>2</v>
      </c>
      <c r="D562" s="192" t="s">
        <v>0</v>
      </c>
      <c r="E562" s="192" t="s">
        <v>366</v>
      </c>
      <c r="F562" s="194">
        <v>0</v>
      </c>
      <c r="G562" s="194">
        <v>0</v>
      </c>
      <c r="H562" s="194">
        <v>0</v>
      </c>
      <c r="I562" s="194">
        <v>0</v>
      </c>
      <c r="M562" s="4" t="str">
        <f t="shared" si="17"/>
        <v>visible</v>
      </c>
    </row>
    <row r="563" spans="1:13" s="3" customFormat="1" ht="13.9" x14ac:dyDescent="0.4">
      <c r="A563" s="5">
        <f t="shared" si="19"/>
        <v>45</v>
      </c>
      <c r="B563" s="192" t="s">
        <v>368</v>
      </c>
      <c r="C563" s="192" t="s">
        <v>2</v>
      </c>
      <c r="D563" s="192" t="s">
        <v>0</v>
      </c>
      <c r="E563" s="192" t="s">
        <v>369</v>
      </c>
      <c r="F563" s="194">
        <v>0</v>
      </c>
      <c r="G563" s="194">
        <v>0</v>
      </c>
      <c r="H563" s="194">
        <v>0</v>
      </c>
      <c r="I563" s="194">
        <v>0</v>
      </c>
      <c r="M563" s="4" t="str">
        <f t="shared" si="17"/>
        <v>visible</v>
      </c>
    </row>
    <row r="564" spans="1:13" s="3" customFormat="1" ht="13.9" x14ac:dyDescent="0.4">
      <c r="A564" s="5">
        <f t="shared" si="19"/>
        <v>46</v>
      </c>
      <c r="B564" s="192" t="s">
        <v>371</v>
      </c>
      <c r="C564" s="192" t="s">
        <v>2</v>
      </c>
      <c r="D564" s="192" t="s">
        <v>0</v>
      </c>
      <c r="E564" s="192" t="s">
        <v>371</v>
      </c>
      <c r="F564" s="194">
        <v>74226.995430400595</v>
      </c>
      <c r="G564" s="194">
        <v>0</v>
      </c>
      <c r="H564" s="194">
        <v>74226.995430400595</v>
      </c>
      <c r="I564" s="194">
        <v>0</v>
      </c>
      <c r="M564" s="4" t="str">
        <f t="shared" si="17"/>
        <v>visible</v>
      </c>
    </row>
    <row r="565" spans="1:13" s="3" customFormat="1" ht="13.9" x14ac:dyDescent="0.4">
      <c r="A565" s="5">
        <f t="shared" si="19"/>
        <v>47</v>
      </c>
      <c r="B565" s="192" t="s">
        <v>390</v>
      </c>
      <c r="C565" s="192" t="s">
        <v>2</v>
      </c>
      <c r="D565" s="192" t="s">
        <v>96</v>
      </c>
      <c r="E565" s="192" t="s">
        <v>453</v>
      </c>
      <c r="F565" s="194">
        <v>278351.23286400223</v>
      </c>
      <c r="G565" s="194">
        <v>0</v>
      </c>
      <c r="H565" s="194">
        <v>278351.23286400223</v>
      </c>
      <c r="I565" s="194">
        <v>0</v>
      </c>
      <c r="M565" s="4" t="str">
        <f t="shared" si="17"/>
        <v>visible</v>
      </c>
    </row>
    <row r="566" spans="1:13" s="3" customFormat="1" ht="13.9" x14ac:dyDescent="0.4">
      <c r="A566" s="5">
        <f t="shared" si="19"/>
        <v>48</v>
      </c>
      <c r="B566" s="192" t="s">
        <v>393</v>
      </c>
      <c r="C566" s="192" t="s">
        <v>2</v>
      </c>
      <c r="D566" s="192" t="s">
        <v>96</v>
      </c>
      <c r="E566" s="192" t="s">
        <v>394</v>
      </c>
      <c r="F566" s="194">
        <v>463918.72144000372</v>
      </c>
      <c r="G566" s="194">
        <v>0</v>
      </c>
      <c r="H566" s="194">
        <v>463918.72144000372</v>
      </c>
      <c r="I566" s="194">
        <v>0</v>
      </c>
      <c r="M566" s="4" t="str">
        <f t="shared" si="17"/>
        <v>visible</v>
      </c>
    </row>
    <row r="567" spans="1:13" s="3" customFormat="1" ht="13.9" x14ac:dyDescent="0.4">
      <c r="A567" s="5">
        <f t="shared" si="19"/>
        <v>49</v>
      </c>
      <c r="B567" s="192" t="s">
        <v>396</v>
      </c>
      <c r="C567" s="192" t="s">
        <v>2</v>
      </c>
      <c r="D567" s="192" t="s">
        <v>96</v>
      </c>
      <c r="E567" s="192" t="s">
        <v>453</v>
      </c>
      <c r="F567" s="194">
        <v>231959.36072000186</v>
      </c>
      <c r="G567" s="194">
        <v>0</v>
      </c>
      <c r="H567" s="194">
        <v>231959.36072000186</v>
      </c>
      <c r="I567" s="194">
        <v>0</v>
      </c>
      <c r="M567" s="4" t="str">
        <f t="shared" si="17"/>
        <v>visible</v>
      </c>
    </row>
    <row r="568" spans="1:13" s="3" customFormat="1" ht="13.9" x14ac:dyDescent="0.4">
      <c r="A568" s="5">
        <f t="shared" si="19"/>
        <v>50</v>
      </c>
      <c r="B568" s="192" t="s">
        <v>402</v>
      </c>
      <c r="C568" s="192" t="s">
        <v>2</v>
      </c>
      <c r="D568" s="192" t="s">
        <v>0</v>
      </c>
      <c r="E568" s="192" t="s">
        <v>401</v>
      </c>
      <c r="F568" s="194">
        <v>0</v>
      </c>
      <c r="G568" s="194">
        <v>0</v>
      </c>
      <c r="H568" s="194">
        <v>0</v>
      </c>
      <c r="I568" s="194">
        <v>0</v>
      </c>
      <c r="M568" s="4" t="str">
        <f t="shared" si="17"/>
        <v>visible</v>
      </c>
    </row>
    <row r="569" spans="1:13" s="3" customFormat="1" ht="13.9" x14ac:dyDescent="0.4">
      <c r="A569" s="5">
        <f t="shared" si="19"/>
        <v>51</v>
      </c>
      <c r="B569" s="192" t="s">
        <v>405</v>
      </c>
      <c r="C569" s="192" t="s">
        <v>2</v>
      </c>
      <c r="D569" s="192" t="s">
        <v>0</v>
      </c>
      <c r="E569" s="192" t="s">
        <v>166</v>
      </c>
      <c r="F569" s="194">
        <v>0</v>
      </c>
      <c r="G569" s="194">
        <v>0</v>
      </c>
      <c r="H569" s="194">
        <v>0</v>
      </c>
      <c r="I569" s="194">
        <v>0</v>
      </c>
      <c r="M569" s="4" t="str">
        <f t="shared" si="17"/>
        <v>visible</v>
      </c>
    </row>
    <row r="570" spans="1:13" s="3" customFormat="1" ht="13.9" x14ac:dyDescent="0.4">
      <c r="A570" s="5">
        <f t="shared" si="19"/>
        <v>52</v>
      </c>
      <c r="B570" s="192" t="s">
        <v>406</v>
      </c>
      <c r="C570" s="192" t="s">
        <v>2</v>
      </c>
      <c r="D570" s="192" t="s">
        <v>0</v>
      </c>
      <c r="E570" s="192" t="s">
        <v>426</v>
      </c>
      <c r="F570" s="194">
        <v>0</v>
      </c>
      <c r="G570" s="194">
        <v>0</v>
      </c>
      <c r="H570" s="194">
        <v>0</v>
      </c>
      <c r="I570" s="194">
        <v>0</v>
      </c>
      <c r="M570" s="4" t="str">
        <f t="shared" si="17"/>
        <v>visible</v>
      </c>
    </row>
    <row r="571" spans="1:13" s="3" customFormat="1" ht="13.9" x14ac:dyDescent="0.4">
      <c r="A571" s="5">
        <f t="shared" si="19"/>
        <v>53</v>
      </c>
      <c r="B571" s="192" t="s">
        <v>183</v>
      </c>
      <c r="C571" s="192" t="s">
        <v>2</v>
      </c>
      <c r="D571" s="192" t="s">
        <v>0</v>
      </c>
      <c r="E571" s="192" t="s">
        <v>183</v>
      </c>
      <c r="F571" s="194">
        <v>12757.764839600102</v>
      </c>
      <c r="G571" s="194">
        <v>0</v>
      </c>
      <c r="H571" s="194">
        <v>12757.764839600102</v>
      </c>
      <c r="I571" s="194">
        <v>0</v>
      </c>
      <c r="M571" s="4" t="str">
        <f t="shared" si="17"/>
        <v>visible</v>
      </c>
    </row>
    <row r="572" spans="1:13" s="3" customFormat="1" ht="13.9" x14ac:dyDescent="0.4">
      <c r="A572" s="5">
        <f t="shared" si="19"/>
        <v>54</v>
      </c>
      <c r="B572" s="192" t="s">
        <v>410</v>
      </c>
      <c r="C572" s="192" t="s">
        <v>2</v>
      </c>
      <c r="D572" s="192" t="s">
        <v>0</v>
      </c>
      <c r="E572" s="192" t="s">
        <v>186</v>
      </c>
      <c r="F572" s="194">
        <v>40580.202268562549</v>
      </c>
      <c r="G572" s="194">
        <v>0</v>
      </c>
      <c r="H572" s="194">
        <v>40580.202268562549</v>
      </c>
      <c r="I572" s="194">
        <v>0</v>
      </c>
      <c r="M572" s="4" t="str">
        <f t="shared" si="17"/>
        <v>visible</v>
      </c>
    </row>
    <row r="573" spans="1:13" s="3" customFormat="1" ht="13.9" x14ac:dyDescent="0.4">
      <c r="A573" s="5">
        <f t="shared" si="19"/>
        <v>55</v>
      </c>
      <c r="B573" s="192" t="s">
        <v>414</v>
      </c>
      <c r="C573" s="192" t="s">
        <v>2</v>
      </c>
      <c r="D573" s="192" t="s">
        <v>96</v>
      </c>
      <c r="E573" s="192" t="s">
        <v>133</v>
      </c>
      <c r="F573" s="194">
        <v>0</v>
      </c>
      <c r="G573" s="194">
        <v>0</v>
      </c>
      <c r="H573" s="194">
        <v>0</v>
      </c>
      <c r="I573" s="194">
        <v>0</v>
      </c>
      <c r="M573" s="4" t="str">
        <f t="shared" si="17"/>
        <v>visible</v>
      </c>
    </row>
    <row r="574" spans="1:13" s="3" customFormat="1" ht="13.9" x14ac:dyDescent="0.4">
      <c r="A574" s="5">
        <f t="shared" si="19"/>
        <v>56</v>
      </c>
      <c r="B574" s="192" t="s">
        <v>413</v>
      </c>
      <c r="C574" s="192" t="s">
        <v>2</v>
      </c>
      <c r="D574" s="192" t="s">
        <v>0</v>
      </c>
      <c r="E574" s="192" t="s">
        <v>165</v>
      </c>
      <c r="F574" s="194">
        <v>60714</v>
      </c>
      <c r="G574" s="194">
        <v>0</v>
      </c>
      <c r="H574" s="194">
        <v>60714</v>
      </c>
      <c r="I574" s="194">
        <v>0</v>
      </c>
      <c r="M574" s="4" t="str">
        <f t="shared" si="17"/>
        <v>visible</v>
      </c>
    </row>
    <row r="575" spans="1:13" s="3" customFormat="1" ht="13.9" x14ac:dyDescent="0.4">
      <c r="A575" s="5">
        <f t="shared" si="19"/>
        <v>57</v>
      </c>
      <c r="B575" s="192" t="s">
        <v>418</v>
      </c>
      <c r="C575" s="192" t="s">
        <v>2</v>
      </c>
      <c r="D575" s="192" t="s">
        <v>0</v>
      </c>
      <c r="E575" s="192" t="s">
        <v>399</v>
      </c>
      <c r="F575" s="194">
        <v>71429</v>
      </c>
      <c r="G575" s="194">
        <v>0</v>
      </c>
      <c r="H575" s="194">
        <v>71429</v>
      </c>
      <c r="I575" s="194">
        <v>0</v>
      </c>
      <c r="M575" s="4" t="str">
        <f t="shared" si="17"/>
        <v>visible</v>
      </c>
    </row>
    <row r="576" spans="1:13" s="3" customFormat="1" ht="13.9" x14ac:dyDescent="0.4">
      <c r="A576" s="5">
        <f t="shared" si="19"/>
        <v>58</v>
      </c>
      <c r="B576" s="192" t="s">
        <v>412</v>
      </c>
      <c r="C576" s="192" t="s">
        <v>2</v>
      </c>
      <c r="D576" s="192" t="s">
        <v>0</v>
      </c>
      <c r="E576" s="192" t="s">
        <v>177</v>
      </c>
      <c r="F576" s="194">
        <v>124762</v>
      </c>
      <c r="G576" s="194">
        <v>0</v>
      </c>
      <c r="H576" s="194">
        <v>124762</v>
      </c>
      <c r="I576" s="194">
        <v>0</v>
      </c>
      <c r="M576" s="4" t="str">
        <f t="shared" si="17"/>
        <v>visible</v>
      </c>
    </row>
    <row r="577" spans="1:13" s="3" customFormat="1" ht="13.9" x14ac:dyDescent="0.4">
      <c r="A577" s="5">
        <f t="shared" si="19"/>
        <v>59</v>
      </c>
      <c r="B577" s="192" t="s">
        <v>416</v>
      </c>
      <c r="C577" s="192" t="s">
        <v>2</v>
      </c>
      <c r="D577" s="192" t="s">
        <v>96</v>
      </c>
      <c r="E577" s="192" t="s">
        <v>453</v>
      </c>
      <c r="F577" s="194">
        <v>1333333</v>
      </c>
      <c r="G577" s="194">
        <v>0</v>
      </c>
      <c r="H577" s="194">
        <v>1333333</v>
      </c>
      <c r="I577" s="194">
        <v>0</v>
      </c>
      <c r="M577" s="4" t="str">
        <f t="shared" si="17"/>
        <v>visible</v>
      </c>
    </row>
    <row r="578" spans="1:13" s="3" customFormat="1" ht="13.9" x14ac:dyDescent="0.4">
      <c r="A578" s="5">
        <f t="shared" si="19"/>
        <v>60</v>
      </c>
      <c r="B578" s="192" t="s">
        <v>415</v>
      </c>
      <c r="C578" s="192" t="s">
        <v>97</v>
      </c>
      <c r="D578" s="192" t="s">
        <v>0</v>
      </c>
      <c r="E578" s="192" t="s">
        <v>200</v>
      </c>
      <c r="F578" s="194">
        <v>190000</v>
      </c>
      <c r="G578" s="194">
        <v>100000</v>
      </c>
      <c r="H578" s="194">
        <v>90000</v>
      </c>
      <c r="I578" s="194">
        <v>0</v>
      </c>
      <c r="M578" s="4" t="str">
        <f t="shared" si="17"/>
        <v>visible</v>
      </c>
    </row>
    <row r="579" spans="1:13" s="3" customFormat="1" ht="13.9" x14ac:dyDescent="0.4">
      <c r="A579" s="5">
        <f t="shared" si="19"/>
        <v>61</v>
      </c>
      <c r="B579" s="192" t="s">
        <v>417</v>
      </c>
      <c r="C579" s="192" t="s">
        <v>2</v>
      </c>
      <c r="D579" s="192" t="s">
        <v>0</v>
      </c>
      <c r="E579" s="192" t="s">
        <v>206</v>
      </c>
      <c r="F579" s="194">
        <v>68095</v>
      </c>
      <c r="G579" s="194">
        <v>0</v>
      </c>
      <c r="H579" s="194">
        <v>68095</v>
      </c>
      <c r="I579" s="194">
        <v>0</v>
      </c>
      <c r="M579" s="4" t="str">
        <f t="shared" si="17"/>
        <v>visible</v>
      </c>
    </row>
    <row r="580" spans="1:13" s="3" customFormat="1" ht="13.9" x14ac:dyDescent="0.4">
      <c r="A580" s="5">
        <f t="shared" si="19"/>
        <v>62</v>
      </c>
      <c r="B580" s="192" t="s">
        <v>419</v>
      </c>
      <c r="C580" s="192" t="s">
        <v>2</v>
      </c>
      <c r="D580" s="192" t="s">
        <v>0</v>
      </c>
      <c r="E580" s="192" t="s">
        <v>208</v>
      </c>
      <c r="F580" s="194">
        <v>33810</v>
      </c>
      <c r="G580" s="194">
        <v>0</v>
      </c>
      <c r="H580" s="194">
        <v>33810</v>
      </c>
      <c r="I580" s="194">
        <v>0</v>
      </c>
      <c r="M580" s="4" t="str">
        <f t="shared" si="17"/>
        <v>visible</v>
      </c>
    </row>
    <row r="581" spans="1:13" s="3" customFormat="1" ht="13.9" x14ac:dyDescent="0.4">
      <c r="A581" s="5">
        <f t="shared" si="19"/>
        <v>63</v>
      </c>
      <c r="B581" s="192" t="s">
        <v>318</v>
      </c>
      <c r="C581" s="192" t="s">
        <v>2</v>
      </c>
      <c r="D581" s="192" t="s">
        <v>0</v>
      </c>
      <c r="E581" s="192" t="s">
        <v>166</v>
      </c>
      <c r="F581" s="194">
        <v>278351.23286400223</v>
      </c>
      <c r="G581" s="194">
        <v>0</v>
      </c>
      <c r="H581" s="194">
        <v>278351.23286400223</v>
      </c>
      <c r="I581" s="194">
        <v>0</v>
      </c>
      <c r="M581" s="4" t="str">
        <f t="shared" ref="M581:M644" si="20">IF(B581&lt;&gt;"","visible","")</f>
        <v>visible</v>
      </c>
    </row>
    <row r="582" spans="1:13" s="3" customFormat="1" ht="13.9" x14ac:dyDescent="0.4">
      <c r="A582" s="5">
        <f t="shared" si="19"/>
        <v>64</v>
      </c>
      <c r="B582" s="192" t="s">
        <v>443</v>
      </c>
      <c r="C582" s="192" t="s">
        <v>2</v>
      </c>
      <c r="D582" s="192" t="s">
        <v>0</v>
      </c>
      <c r="E582" s="192" t="s">
        <v>584</v>
      </c>
      <c r="F582" s="194">
        <v>0</v>
      </c>
      <c r="G582" s="194">
        <v>0</v>
      </c>
      <c r="H582" s="194">
        <v>0</v>
      </c>
      <c r="I582" s="194">
        <v>0</v>
      </c>
      <c r="M582" s="4" t="str">
        <f t="shared" si="20"/>
        <v>visible</v>
      </c>
    </row>
    <row r="583" spans="1:13" s="3" customFormat="1" ht="13.9" x14ac:dyDescent="0.4">
      <c r="A583" s="5">
        <f t="shared" ref="A583:A614" si="21">IF(M583 ="visible",IF(B583 = "Total","",A582+1),"")</f>
        <v>65</v>
      </c>
      <c r="B583" s="192" t="s">
        <v>436</v>
      </c>
      <c r="C583" s="192" t="s">
        <v>2</v>
      </c>
      <c r="D583" s="192" t="s">
        <v>96</v>
      </c>
      <c r="E583" s="192" t="s">
        <v>133</v>
      </c>
      <c r="F583" s="194">
        <v>116417.9104477612</v>
      </c>
      <c r="G583" s="194">
        <v>0</v>
      </c>
      <c r="H583" s="194">
        <v>116417.9104477612</v>
      </c>
      <c r="I583" s="194">
        <v>0</v>
      </c>
      <c r="M583" s="4" t="str">
        <f t="shared" si="20"/>
        <v>visible</v>
      </c>
    </row>
    <row r="584" spans="1:13" s="3" customFormat="1" ht="13.9" x14ac:dyDescent="0.4">
      <c r="A584" s="5">
        <f t="shared" si="21"/>
        <v>66</v>
      </c>
      <c r="B584" s="192" t="s">
        <v>447</v>
      </c>
      <c r="C584" s="192" t="s">
        <v>2</v>
      </c>
      <c r="D584" s="192" t="s">
        <v>0</v>
      </c>
      <c r="E584" s="192" t="s">
        <v>385</v>
      </c>
      <c r="F584" s="194">
        <v>0</v>
      </c>
      <c r="G584" s="194">
        <v>0</v>
      </c>
      <c r="H584" s="194">
        <v>0</v>
      </c>
      <c r="I584" s="194">
        <v>0</v>
      </c>
      <c r="M584" s="4" t="str">
        <f t="shared" si="20"/>
        <v>visible</v>
      </c>
    </row>
    <row r="585" spans="1:13" s="3" customFormat="1" ht="13.9" x14ac:dyDescent="0.4">
      <c r="A585" s="5">
        <f t="shared" si="21"/>
        <v>67</v>
      </c>
      <c r="B585" s="192" t="s">
        <v>177</v>
      </c>
      <c r="C585" s="192" t="s">
        <v>2</v>
      </c>
      <c r="D585" s="192" t="s">
        <v>0</v>
      </c>
      <c r="E585" s="192" t="s">
        <v>387</v>
      </c>
      <c r="F585" s="194">
        <v>0</v>
      </c>
      <c r="G585" s="194">
        <v>0</v>
      </c>
      <c r="H585" s="194">
        <v>0</v>
      </c>
      <c r="I585" s="194">
        <v>0</v>
      </c>
      <c r="M585" s="4" t="str">
        <f t="shared" si="20"/>
        <v>visible</v>
      </c>
    </row>
    <row r="586" spans="1:13" s="3" customFormat="1" ht="13.9" x14ac:dyDescent="0.4">
      <c r="A586" s="5">
        <f t="shared" si="21"/>
        <v>68</v>
      </c>
      <c r="B586" s="192" t="s">
        <v>457</v>
      </c>
      <c r="C586" s="192" t="s">
        <v>1</v>
      </c>
      <c r="D586" s="192" t="s">
        <v>0</v>
      </c>
      <c r="E586" s="192" t="s">
        <v>163</v>
      </c>
      <c r="F586" s="194">
        <v>77000</v>
      </c>
      <c r="G586" s="194">
        <v>77000</v>
      </c>
      <c r="H586" s="194">
        <v>0</v>
      </c>
      <c r="I586" s="194">
        <v>0</v>
      </c>
      <c r="M586" s="4" t="str">
        <f t="shared" si="20"/>
        <v>visible</v>
      </c>
    </row>
    <row r="587" spans="1:13" s="3" customFormat="1" ht="13.9" x14ac:dyDescent="0.4">
      <c r="A587" s="5">
        <f t="shared" si="21"/>
        <v>69</v>
      </c>
      <c r="B587" s="192" t="s">
        <v>461</v>
      </c>
      <c r="C587" s="192" t="s">
        <v>97</v>
      </c>
      <c r="D587" s="192" t="s">
        <v>0</v>
      </c>
      <c r="E587" s="192" t="s">
        <v>218</v>
      </c>
      <c r="F587" s="194">
        <v>43000</v>
      </c>
      <c r="G587" s="194">
        <v>33000</v>
      </c>
      <c r="H587" s="194">
        <v>10000</v>
      </c>
      <c r="I587" s="194">
        <v>0</v>
      </c>
      <c r="M587" s="4" t="str">
        <f t="shared" si="20"/>
        <v>visible</v>
      </c>
    </row>
    <row r="588" spans="1:13" s="3" customFormat="1" ht="13.9" x14ac:dyDescent="0.4">
      <c r="A588" s="5">
        <f t="shared" si="21"/>
        <v>70</v>
      </c>
      <c r="B588" s="192" t="s">
        <v>469</v>
      </c>
      <c r="C588" s="192" t="s">
        <v>1</v>
      </c>
      <c r="D588" s="192" t="s">
        <v>96</v>
      </c>
      <c r="E588" s="192" t="s">
        <v>470</v>
      </c>
      <c r="F588" s="194">
        <v>250000</v>
      </c>
      <c r="G588" s="194">
        <v>250000</v>
      </c>
      <c r="H588" s="194">
        <v>0</v>
      </c>
      <c r="I588" s="194">
        <v>0</v>
      </c>
      <c r="M588" s="4" t="str">
        <f t="shared" si="20"/>
        <v>visible</v>
      </c>
    </row>
    <row r="589" spans="1:13" s="3" customFormat="1" ht="13.9" x14ac:dyDescent="0.4">
      <c r="A589" s="5">
        <f t="shared" si="21"/>
        <v>71</v>
      </c>
      <c r="B589" s="192" t="s">
        <v>467</v>
      </c>
      <c r="C589" s="192" t="s">
        <v>1</v>
      </c>
      <c r="D589" s="192" t="s">
        <v>0</v>
      </c>
      <c r="E589" s="192" t="s">
        <v>123</v>
      </c>
      <c r="F589" s="194">
        <v>50000</v>
      </c>
      <c r="G589" s="194">
        <v>50000</v>
      </c>
      <c r="H589" s="194">
        <v>0</v>
      </c>
      <c r="I589" s="194">
        <v>0</v>
      </c>
      <c r="M589" s="4" t="str">
        <f t="shared" si="20"/>
        <v>visible</v>
      </c>
    </row>
    <row r="590" spans="1:13" s="3" customFormat="1" ht="13.9" x14ac:dyDescent="0.4">
      <c r="A590" s="5">
        <f t="shared" si="21"/>
        <v>72</v>
      </c>
      <c r="B590" s="192" t="s">
        <v>487</v>
      </c>
      <c r="C590" s="192" t="s">
        <v>2</v>
      </c>
      <c r="D590" s="192" t="s">
        <v>96</v>
      </c>
      <c r="E590" s="192" t="s">
        <v>133</v>
      </c>
      <c r="F590" s="194">
        <v>45969.612618881933</v>
      </c>
      <c r="G590" s="194">
        <v>0</v>
      </c>
      <c r="H590" s="194">
        <v>45969.612618881933</v>
      </c>
      <c r="I590" s="194">
        <v>0</v>
      </c>
      <c r="M590" s="4" t="str">
        <f t="shared" si="20"/>
        <v>visible</v>
      </c>
    </row>
    <row r="591" spans="1:13" s="3" customFormat="1" ht="13.9" x14ac:dyDescent="0.4">
      <c r="A591" s="5">
        <f t="shared" si="21"/>
        <v>73</v>
      </c>
      <c r="B591" s="192" t="s">
        <v>485</v>
      </c>
      <c r="C591" s="192" t="s">
        <v>2</v>
      </c>
      <c r="D591" s="192" t="s">
        <v>0</v>
      </c>
      <c r="E591" s="192" t="s">
        <v>485</v>
      </c>
      <c r="F591" s="194">
        <v>0</v>
      </c>
      <c r="G591" s="194">
        <v>0</v>
      </c>
      <c r="H591" s="194">
        <v>0</v>
      </c>
      <c r="I591" s="194">
        <v>0</v>
      </c>
      <c r="M591" s="4" t="str">
        <f t="shared" si="20"/>
        <v>visible</v>
      </c>
    </row>
    <row r="592" spans="1:13" s="3" customFormat="1" ht="13.9" x14ac:dyDescent="0.4">
      <c r="A592" s="5">
        <f t="shared" si="21"/>
        <v>74</v>
      </c>
      <c r="B592" s="192" t="s">
        <v>483</v>
      </c>
      <c r="C592" s="192" t="s">
        <v>2</v>
      </c>
      <c r="D592" s="192" t="s">
        <v>0</v>
      </c>
      <c r="E592" s="192" t="s">
        <v>481</v>
      </c>
      <c r="F592" s="194">
        <v>0</v>
      </c>
      <c r="G592" s="194">
        <v>0</v>
      </c>
      <c r="H592" s="194">
        <v>0</v>
      </c>
      <c r="I592" s="194">
        <v>0</v>
      </c>
      <c r="M592" s="4" t="str">
        <f t="shared" si="20"/>
        <v>visible</v>
      </c>
    </row>
    <row r="593" spans="1:13" s="3" customFormat="1" ht="13.9" x14ac:dyDescent="0.4">
      <c r="A593" s="5">
        <f t="shared" si="21"/>
        <v>75</v>
      </c>
      <c r="B593" s="192" t="s">
        <v>480</v>
      </c>
      <c r="C593" s="192" t="s">
        <v>2</v>
      </c>
      <c r="D593" s="192" t="s">
        <v>0</v>
      </c>
      <c r="E593" s="192" t="s">
        <v>481</v>
      </c>
      <c r="F593" s="194">
        <v>0</v>
      </c>
      <c r="G593" s="194">
        <v>0</v>
      </c>
      <c r="H593" s="194">
        <v>0</v>
      </c>
      <c r="I593" s="194">
        <v>0</v>
      </c>
      <c r="M593" s="4" t="str">
        <f t="shared" si="20"/>
        <v>visible</v>
      </c>
    </row>
    <row r="594" spans="1:13" s="3" customFormat="1" ht="13.9" x14ac:dyDescent="0.4">
      <c r="A594" s="5">
        <f t="shared" si="21"/>
        <v>76</v>
      </c>
      <c r="B594" s="192" t="s">
        <v>500</v>
      </c>
      <c r="C594" s="192" t="s">
        <v>2</v>
      </c>
      <c r="D594" s="192" t="s">
        <v>0</v>
      </c>
      <c r="E594" s="192" t="s">
        <v>462</v>
      </c>
      <c r="F594" s="194">
        <v>39433.091322400316</v>
      </c>
      <c r="G594" s="194">
        <v>0</v>
      </c>
      <c r="H594" s="194">
        <v>39433.091322400316</v>
      </c>
      <c r="I594" s="194">
        <v>0</v>
      </c>
      <c r="M594" s="4" t="str">
        <f t="shared" si="20"/>
        <v>visible</v>
      </c>
    </row>
    <row r="595" spans="1:13" s="3" customFormat="1" ht="13.9" x14ac:dyDescent="0.4">
      <c r="A595" s="5">
        <f t="shared" si="21"/>
        <v>77</v>
      </c>
      <c r="B595" s="192" t="s">
        <v>501</v>
      </c>
      <c r="C595" s="192" t="s">
        <v>1</v>
      </c>
      <c r="D595" s="192" t="s">
        <v>0</v>
      </c>
      <c r="E595" s="192" t="s">
        <v>159</v>
      </c>
      <c r="F595" s="194">
        <v>47500</v>
      </c>
      <c r="G595" s="194">
        <v>47500</v>
      </c>
      <c r="H595" s="194">
        <v>0</v>
      </c>
      <c r="I595" s="194">
        <v>0</v>
      </c>
      <c r="M595" s="4" t="str">
        <f t="shared" si="20"/>
        <v>visible</v>
      </c>
    </row>
    <row r="596" spans="1:13" s="3" customFormat="1" ht="13.9" x14ac:dyDescent="0.4">
      <c r="A596" s="5">
        <f t="shared" si="21"/>
        <v>78</v>
      </c>
      <c r="B596" s="192" t="s">
        <v>520</v>
      </c>
      <c r="C596" s="192" t="s">
        <v>1</v>
      </c>
      <c r="D596" s="192" t="s">
        <v>96</v>
      </c>
      <c r="E596" s="192" t="s">
        <v>193</v>
      </c>
      <c r="F596" s="194">
        <v>937360</v>
      </c>
      <c r="G596" s="194">
        <v>937360</v>
      </c>
      <c r="H596" s="194">
        <v>0</v>
      </c>
      <c r="I596" s="194">
        <v>0</v>
      </c>
      <c r="M596" s="4" t="str">
        <f t="shared" si="20"/>
        <v>visible</v>
      </c>
    </row>
    <row r="597" spans="1:13" s="3" customFormat="1" ht="13.9" x14ac:dyDescent="0.4">
      <c r="A597" s="5">
        <f t="shared" si="21"/>
        <v>79</v>
      </c>
      <c r="B597" s="192" t="s">
        <v>171</v>
      </c>
      <c r="C597" s="192" t="s">
        <v>2</v>
      </c>
      <c r="D597" s="192" t="s">
        <v>0</v>
      </c>
      <c r="E597" s="192" t="s">
        <v>171</v>
      </c>
      <c r="F597" s="194">
        <v>0</v>
      </c>
      <c r="G597" s="194">
        <v>0</v>
      </c>
      <c r="H597" s="194">
        <v>0</v>
      </c>
      <c r="I597" s="194">
        <v>0</v>
      </c>
      <c r="M597" s="4" t="str">
        <f t="shared" si="20"/>
        <v>visible</v>
      </c>
    </row>
    <row r="598" spans="1:13" s="3" customFormat="1" ht="13.9" x14ac:dyDescent="0.4">
      <c r="A598" s="5">
        <f t="shared" si="21"/>
        <v>80</v>
      </c>
      <c r="B598" s="192" t="s">
        <v>537</v>
      </c>
      <c r="C598" s="192" t="s">
        <v>97</v>
      </c>
      <c r="D598" s="192" t="s">
        <v>0</v>
      </c>
      <c r="E598" s="192" t="s">
        <v>538</v>
      </c>
      <c r="F598" s="194">
        <v>73333.333333333343</v>
      </c>
      <c r="G598" s="194">
        <v>40000</v>
      </c>
      <c r="H598" s="194">
        <v>33333.333333333336</v>
      </c>
      <c r="I598" s="194">
        <v>0</v>
      </c>
      <c r="M598" s="4" t="str">
        <f t="shared" si="20"/>
        <v>visible</v>
      </c>
    </row>
    <row r="599" spans="1:13" s="3" customFormat="1" ht="13.9" x14ac:dyDescent="0.4">
      <c r="A599" s="5">
        <f t="shared" si="21"/>
        <v>81</v>
      </c>
      <c r="B599" s="192" t="s">
        <v>551</v>
      </c>
      <c r="C599" s="192" t="s">
        <v>2</v>
      </c>
      <c r="D599" s="192" t="s">
        <v>96</v>
      </c>
      <c r="E599" s="192" t="s">
        <v>554</v>
      </c>
      <c r="F599" s="194">
        <v>0</v>
      </c>
      <c r="G599" s="194">
        <v>0</v>
      </c>
      <c r="H599" s="194">
        <v>0</v>
      </c>
      <c r="I599" s="194">
        <v>0</v>
      </c>
      <c r="M599" s="4" t="str">
        <f t="shared" si="20"/>
        <v>visible</v>
      </c>
    </row>
    <row r="600" spans="1:13" s="3" customFormat="1" ht="13.9" x14ac:dyDescent="0.4">
      <c r="A600" s="5">
        <f t="shared" si="21"/>
        <v>82</v>
      </c>
      <c r="B600" s="192" t="s">
        <v>547</v>
      </c>
      <c r="C600" s="192" t="s">
        <v>2</v>
      </c>
      <c r="D600" s="192" t="s">
        <v>0</v>
      </c>
      <c r="E600" s="192" t="s">
        <v>171</v>
      </c>
      <c r="F600" s="194">
        <v>231959.36072000186</v>
      </c>
      <c r="G600" s="194">
        <v>0</v>
      </c>
      <c r="H600" s="194">
        <v>231959.36072000186</v>
      </c>
      <c r="I600" s="194">
        <v>0</v>
      </c>
      <c r="M600" s="4" t="str">
        <f t="shared" si="20"/>
        <v>visible</v>
      </c>
    </row>
    <row r="601" spans="1:13" s="3" customFormat="1" ht="13.9" x14ac:dyDescent="0.4">
      <c r="A601" s="5">
        <f t="shared" si="21"/>
        <v>83</v>
      </c>
      <c r="B601" s="192" t="s">
        <v>575</v>
      </c>
      <c r="C601" s="192" t="s">
        <v>1</v>
      </c>
      <c r="D601" s="192" t="s">
        <v>0</v>
      </c>
      <c r="E601" s="192" t="s">
        <v>577</v>
      </c>
      <c r="F601" s="194">
        <v>200000</v>
      </c>
      <c r="G601" s="194">
        <v>200000</v>
      </c>
      <c r="H601" s="194">
        <v>0</v>
      </c>
      <c r="I601" s="194">
        <v>0</v>
      </c>
      <c r="M601" s="4" t="str">
        <f t="shared" si="20"/>
        <v>visible</v>
      </c>
    </row>
    <row r="602" spans="1:13" s="3" customFormat="1" ht="13.9" x14ac:dyDescent="0.4">
      <c r="A602" s="5">
        <f t="shared" si="21"/>
        <v>84</v>
      </c>
      <c r="B602" s="192" t="s">
        <v>578</v>
      </c>
      <c r="C602" s="192" t="s">
        <v>2</v>
      </c>
      <c r="D602" s="192" t="s">
        <v>0</v>
      </c>
      <c r="E602" s="192" t="s">
        <v>529</v>
      </c>
      <c r="F602" s="194">
        <v>1310904.8723897913</v>
      </c>
      <c r="G602" s="194">
        <v>0</v>
      </c>
      <c r="H602" s="194">
        <v>1310904.8723897913</v>
      </c>
      <c r="I602" s="194">
        <v>0</v>
      </c>
      <c r="M602" s="4" t="str">
        <f t="shared" si="20"/>
        <v>visible</v>
      </c>
    </row>
    <row r="603" spans="1:13" s="3" customFormat="1" ht="13.9" x14ac:dyDescent="0.4">
      <c r="A603" s="5">
        <f t="shared" si="21"/>
        <v>85</v>
      </c>
      <c r="B603" s="192" t="s">
        <v>582</v>
      </c>
      <c r="C603" s="192" t="s">
        <v>2</v>
      </c>
      <c r="D603" s="192" t="s">
        <v>0</v>
      </c>
      <c r="E603" s="192" t="s">
        <v>776</v>
      </c>
      <c r="F603" s="194">
        <v>0</v>
      </c>
      <c r="G603" s="194">
        <v>0</v>
      </c>
      <c r="H603" s="194">
        <v>0</v>
      </c>
      <c r="I603" s="194">
        <v>0</v>
      </c>
      <c r="M603" s="4" t="str">
        <f t="shared" si="20"/>
        <v>visible</v>
      </c>
    </row>
    <row r="604" spans="1:13" s="3" customFormat="1" ht="13.9" x14ac:dyDescent="0.4">
      <c r="A604" s="5">
        <f t="shared" si="21"/>
        <v>86</v>
      </c>
      <c r="B604" s="192" t="s">
        <v>610</v>
      </c>
      <c r="C604" s="192" t="s">
        <v>1</v>
      </c>
      <c r="D604" s="192" t="s">
        <v>0</v>
      </c>
      <c r="E604" s="192" t="s">
        <v>545</v>
      </c>
      <c r="F604" s="194">
        <v>0</v>
      </c>
      <c r="G604" s="194">
        <v>0</v>
      </c>
      <c r="H604" s="194">
        <v>0</v>
      </c>
      <c r="I604" s="194">
        <v>0</v>
      </c>
      <c r="M604" s="4" t="str">
        <f t="shared" si="20"/>
        <v>visible</v>
      </c>
    </row>
    <row r="605" spans="1:13" s="3" customFormat="1" ht="13.9" x14ac:dyDescent="0.4">
      <c r="A605" s="5">
        <f t="shared" si="21"/>
        <v>87</v>
      </c>
      <c r="B605" s="192" t="s">
        <v>620</v>
      </c>
      <c r="C605" s="192" t="s">
        <v>1</v>
      </c>
      <c r="D605" s="192" t="s">
        <v>0</v>
      </c>
      <c r="E605" s="192" t="s">
        <v>619</v>
      </c>
      <c r="F605" s="194">
        <v>100000</v>
      </c>
      <c r="G605" s="194">
        <v>100000</v>
      </c>
      <c r="H605" s="194">
        <v>0</v>
      </c>
      <c r="I605" s="194">
        <v>0</v>
      </c>
      <c r="M605" s="4" t="str">
        <f t="shared" si="20"/>
        <v>visible</v>
      </c>
    </row>
    <row r="606" spans="1:13" s="3" customFormat="1" ht="13.9" x14ac:dyDescent="0.4">
      <c r="A606" s="5">
        <f t="shared" si="21"/>
        <v>88</v>
      </c>
      <c r="B606" s="192" t="s">
        <v>616</v>
      </c>
      <c r="C606" s="192" t="s">
        <v>2</v>
      </c>
      <c r="D606" s="192" t="s">
        <v>96</v>
      </c>
      <c r="E606" s="192" t="s">
        <v>550</v>
      </c>
      <c r="F606" s="194">
        <v>324743.1050080026</v>
      </c>
      <c r="G606" s="194">
        <v>0</v>
      </c>
      <c r="H606" s="194">
        <v>324743.1050080026</v>
      </c>
      <c r="I606" s="194">
        <v>0</v>
      </c>
      <c r="M606" s="4" t="str">
        <f t="shared" si="20"/>
        <v>visible</v>
      </c>
    </row>
    <row r="607" spans="1:13" s="3" customFormat="1" ht="13.9" x14ac:dyDescent="0.4">
      <c r="A607" s="5">
        <f t="shared" si="21"/>
        <v>89</v>
      </c>
      <c r="B607" s="192" t="s">
        <v>549</v>
      </c>
      <c r="C607" s="192" t="s">
        <v>2</v>
      </c>
      <c r="D607" s="192" t="s">
        <v>96</v>
      </c>
      <c r="E607" s="192" t="s">
        <v>550</v>
      </c>
      <c r="F607" s="194">
        <v>324743.1050080026</v>
      </c>
      <c r="G607" s="194">
        <v>0</v>
      </c>
      <c r="H607" s="194">
        <v>324743.1050080026</v>
      </c>
      <c r="I607" s="194">
        <v>0</v>
      </c>
      <c r="M607" s="4" t="str">
        <f t="shared" si="20"/>
        <v>visible</v>
      </c>
    </row>
    <row r="608" spans="1:13" s="3" customFormat="1" ht="13.9" x14ac:dyDescent="0.4">
      <c r="A608" s="5">
        <f t="shared" si="21"/>
        <v>90</v>
      </c>
      <c r="B608" s="192" t="s">
        <v>637</v>
      </c>
      <c r="C608" s="192" t="s">
        <v>2</v>
      </c>
      <c r="D608" s="192" t="s">
        <v>0</v>
      </c>
      <c r="E608" s="192" t="s">
        <v>718</v>
      </c>
      <c r="F608" s="194">
        <v>0</v>
      </c>
      <c r="G608" s="194">
        <v>0</v>
      </c>
      <c r="H608" s="194">
        <v>0</v>
      </c>
      <c r="I608" s="194">
        <v>0</v>
      </c>
      <c r="M608" s="4" t="str">
        <f t="shared" si="20"/>
        <v>visible</v>
      </c>
    </row>
    <row r="609" spans="1:13" s="3" customFormat="1" ht="13.9" x14ac:dyDescent="0.4">
      <c r="A609" s="5">
        <f t="shared" si="21"/>
        <v>91</v>
      </c>
      <c r="B609" s="192" t="s">
        <v>652</v>
      </c>
      <c r="C609" s="192" t="s">
        <v>2</v>
      </c>
      <c r="D609" s="192" t="s">
        <v>0</v>
      </c>
      <c r="E609" s="192" t="s">
        <v>465</v>
      </c>
      <c r="F609" s="194">
        <v>0</v>
      </c>
      <c r="G609" s="194">
        <v>0</v>
      </c>
      <c r="H609" s="194">
        <v>0</v>
      </c>
      <c r="I609" s="194">
        <v>0</v>
      </c>
      <c r="M609" s="4" t="str">
        <f t="shared" si="20"/>
        <v>visible</v>
      </c>
    </row>
    <row r="610" spans="1:13" s="3" customFormat="1" ht="13.9" x14ac:dyDescent="0.4">
      <c r="A610" s="5">
        <f t="shared" si="21"/>
        <v>92</v>
      </c>
      <c r="B610" s="192" t="s">
        <v>653</v>
      </c>
      <c r="C610" s="192" t="s">
        <v>2</v>
      </c>
      <c r="D610" s="192" t="s">
        <v>0</v>
      </c>
      <c r="E610" s="192" t="s">
        <v>463</v>
      </c>
      <c r="F610" s="194">
        <v>0</v>
      </c>
      <c r="G610" s="194">
        <v>0</v>
      </c>
      <c r="H610" s="194">
        <v>0</v>
      </c>
      <c r="I610" s="194">
        <v>0</v>
      </c>
      <c r="M610" s="4" t="str">
        <f t="shared" si="20"/>
        <v>visible</v>
      </c>
    </row>
    <row r="611" spans="1:13" s="3" customFormat="1" ht="13.9" x14ac:dyDescent="0.4">
      <c r="A611" s="5">
        <f t="shared" si="21"/>
        <v>93</v>
      </c>
      <c r="B611" s="192" t="s">
        <v>681</v>
      </c>
      <c r="C611" s="192" t="s">
        <v>2</v>
      </c>
      <c r="D611" s="192" t="s">
        <v>0</v>
      </c>
      <c r="E611" s="192" t="s">
        <v>682</v>
      </c>
      <c r="F611" s="194">
        <v>0</v>
      </c>
      <c r="G611" s="194">
        <v>0</v>
      </c>
      <c r="H611" s="194">
        <v>0</v>
      </c>
      <c r="I611" s="194">
        <v>0</v>
      </c>
      <c r="M611" s="4" t="str">
        <f t="shared" si="20"/>
        <v>visible</v>
      </c>
    </row>
    <row r="612" spans="1:13" s="3" customFormat="1" ht="13.9" x14ac:dyDescent="0.4">
      <c r="A612" s="5">
        <f t="shared" si="21"/>
        <v>94</v>
      </c>
      <c r="B612" s="192" t="s">
        <v>660</v>
      </c>
      <c r="C612" s="192" t="s">
        <v>2</v>
      </c>
      <c r="D612" s="192" t="s">
        <v>96</v>
      </c>
      <c r="E612" s="192" t="s">
        <v>662</v>
      </c>
      <c r="F612" s="194">
        <v>118544.02089552238</v>
      </c>
      <c r="G612" s="194">
        <v>0</v>
      </c>
      <c r="H612" s="194">
        <v>118544.02089552238</v>
      </c>
      <c r="I612" s="194">
        <v>0</v>
      </c>
      <c r="M612" s="4" t="str">
        <f t="shared" si="20"/>
        <v>visible</v>
      </c>
    </row>
    <row r="613" spans="1:13" s="3" customFormat="1" ht="13.9" x14ac:dyDescent="0.4">
      <c r="A613" s="5">
        <f t="shared" si="21"/>
        <v>95</v>
      </c>
      <c r="B613" s="192" t="s">
        <v>689</v>
      </c>
      <c r="C613" s="192" t="s">
        <v>1</v>
      </c>
      <c r="D613" s="192" t="s">
        <v>0</v>
      </c>
      <c r="E613" s="192" t="s">
        <v>118</v>
      </c>
      <c r="F613" s="194">
        <v>231000</v>
      </c>
      <c r="G613" s="194">
        <v>231000</v>
      </c>
      <c r="H613" s="194">
        <v>0</v>
      </c>
      <c r="I613" s="194">
        <v>0</v>
      </c>
      <c r="M613" s="4" t="str">
        <f t="shared" si="20"/>
        <v>visible</v>
      </c>
    </row>
    <row r="614" spans="1:13" s="3" customFormat="1" ht="13.9" x14ac:dyDescent="0.4">
      <c r="A614" s="5">
        <f t="shared" si="21"/>
        <v>96</v>
      </c>
      <c r="B614" s="192" t="s">
        <v>695</v>
      </c>
      <c r="C614" s="192" t="s">
        <v>2</v>
      </c>
      <c r="D614" s="192" t="s">
        <v>0</v>
      </c>
      <c r="E614" s="192" t="s">
        <v>696</v>
      </c>
      <c r="F614" s="194">
        <v>0</v>
      </c>
      <c r="G614" s="194">
        <v>0</v>
      </c>
      <c r="H614" s="194">
        <v>0</v>
      </c>
      <c r="I614" s="194">
        <v>0</v>
      </c>
      <c r="M614" s="4" t="str">
        <f t="shared" si="20"/>
        <v>visible</v>
      </c>
    </row>
    <row r="615" spans="1:13" s="3" customFormat="1" ht="13.9" x14ac:dyDescent="0.4">
      <c r="A615" s="5">
        <f t="shared" ref="A615:A624" si="22">IF(M615 ="visible",IF(B615 = "Total","",A614+1),"")</f>
        <v>97</v>
      </c>
      <c r="B615" s="192" t="s">
        <v>719</v>
      </c>
      <c r="C615" s="192" t="s">
        <v>97</v>
      </c>
      <c r="D615" s="192" t="s">
        <v>0</v>
      </c>
      <c r="E615" s="192" t="s">
        <v>545</v>
      </c>
      <c r="F615" s="194">
        <v>1476119.4029850746</v>
      </c>
      <c r="G615" s="194">
        <v>1200000</v>
      </c>
      <c r="H615" s="194">
        <v>276119.40298507462</v>
      </c>
      <c r="I615" s="194">
        <v>0</v>
      </c>
      <c r="M615" s="4" t="str">
        <f t="shared" si="20"/>
        <v>visible</v>
      </c>
    </row>
    <row r="616" spans="1:13" s="3" customFormat="1" ht="13.9" x14ac:dyDescent="0.4">
      <c r="A616" s="5">
        <f t="shared" si="22"/>
        <v>98</v>
      </c>
      <c r="B616" s="192" t="s">
        <v>722</v>
      </c>
      <c r="C616" s="192" t="s">
        <v>1</v>
      </c>
      <c r="D616" s="192" t="s">
        <v>96</v>
      </c>
      <c r="E616" s="192" t="s">
        <v>163</v>
      </c>
      <c r="F616" s="194">
        <v>797619.04761904757</v>
      </c>
      <c r="G616" s="194">
        <v>250000</v>
      </c>
      <c r="H616" s="194">
        <v>0</v>
      </c>
      <c r="I616" s="194">
        <v>547619.04761904757</v>
      </c>
      <c r="M616" s="4" t="str">
        <f t="shared" si="20"/>
        <v>visible</v>
      </c>
    </row>
    <row r="617" spans="1:13" s="3" customFormat="1" ht="13.9" x14ac:dyDescent="0.4">
      <c r="A617" s="5">
        <f t="shared" si="22"/>
        <v>99</v>
      </c>
      <c r="B617" s="192" t="s">
        <v>720</v>
      </c>
      <c r="C617" s="192" t="s">
        <v>1</v>
      </c>
      <c r="D617" s="192" t="s">
        <v>0</v>
      </c>
      <c r="E617" s="192" t="s">
        <v>657</v>
      </c>
      <c r="F617" s="194">
        <v>15000</v>
      </c>
      <c r="G617" s="194">
        <v>15000</v>
      </c>
      <c r="H617" s="194">
        <v>0</v>
      </c>
      <c r="I617" s="194">
        <v>0</v>
      </c>
      <c r="M617" s="4" t="str">
        <f t="shared" si="20"/>
        <v>visible</v>
      </c>
    </row>
    <row r="618" spans="1:13" s="3" customFormat="1" ht="13.9" x14ac:dyDescent="0.4">
      <c r="A618" s="5">
        <f t="shared" si="22"/>
        <v>100</v>
      </c>
      <c r="B618" s="192" t="s">
        <v>736</v>
      </c>
      <c r="C618" s="192" t="s">
        <v>2</v>
      </c>
      <c r="D618" s="192" t="s">
        <v>718</v>
      </c>
      <c r="E618" s="192" t="s">
        <v>737</v>
      </c>
      <c r="F618" s="194">
        <v>0</v>
      </c>
      <c r="G618" s="194">
        <v>0</v>
      </c>
      <c r="H618" s="194">
        <v>0</v>
      </c>
      <c r="I618" s="194">
        <v>0</v>
      </c>
      <c r="M618" s="4" t="str">
        <f t="shared" si="20"/>
        <v>visible</v>
      </c>
    </row>
    <row r="619" spans="1:13" s="3" customFormat="1" ht="13.9" x14ac:dyDescent="0.4">
      <c r="A619" s="5">
        <f t="shared" si="22"/>
        <v>101</v>
      </c>
      <c r="B619" s="192" t="s">
        <v>733</v>
      </c>
      <c r="C619" s="192" t="s">
        <v>2</v>
      </c>
      <c r="D619" s="192" t="s">
        <v>0</v>
      </c>
      <c r="E619" s="192" t="s">
        <v>169</v>
      </c>
      <c r="F619" s="194">
        <v>0</v>
      </c>
      <c r="G619" s="194">
        <v>0</v>
      </c>
      <c r="H619" s="194">
        <v>0</v>
      </c>
      <c r="I619" s="194">
        <v>0</v>
      </c>
      <c r="M619" s="4" t="str">
        <f t="shared" si="20"/>
        <v>visible</v>
      </c>
    </row>
    <row r="620" spans="1:13" s="3" customFormat="1" ht="13.9" x14ac:dyDescent="0.4">
      <c r="A620" s="5">
        <f t="shared" si="22"/>
        <v>102</v>
      </c>
      <c r="B620" s="192" t="s">
        <v>779</v>
      </c>
      <c r="C620" s="192" t="s">
        <v>2</v>
      </c>
      <c r="D620" s="192" t="s">
        <v>0</v>
      </c>
      <c r="E620" s="192" t="s">
        <v>427</v>
      </c>
      <c r="F620" s="194">
        <v>0</v>
      </c>
      <c r="G620" s="194">
        <v>0</v>
      </c>
      <c r="H620" s="194">
        <v>0</v>
      </c>
      <c r="I620" s="194">
        <v>0</v>
      </c>
      <c r="M620" s="4" t="str">
        <f t="shared" si="20"/>
        <v>visible</v>
      </c>
    </row>
    <row r="621" spans="1:13" s="3" customFormat="1" ht="13.9" x14ac:dyDescent="0.4">
      <c r="A621" s="5">
        <f t="shared" si="22"/>
        <v>103</v>
      </c>
      <c r="B621" s="192" t="s">
        <v>769</v>
      </c>
      <c r="C621" s="192" t="s">
        <v>2</v>
      </c>
      <c r="D621" s="192" t="s">
        <v>96</v>
      </c>
      <c r="E621" s="192" t="s">
        <v>770</v>
      </c>
      <c r="F621" s="194">
        <v>0</v>
      </c>
      <c r="G621" s="194">
        <v>0</v>
      </c>
      <c r="H621" s="194">
        <v>0</v>
      </c>
      <c r="I621" s="194">
        <v>0</v>
      </c>
      <c r="M621" s="4" t="str">
        <f t="shared" si="20"/>
        <v>visible</v>
      </c>
    </row>
    <row r="622" spans="1:13" s="3" customFormat="1" ht="13.9" x14ac:dyDescent="0.4">
      <c r="A622" s="5">
        <f t="shared" si="22"/>
        <v>104</v>
      </c>
      <c r="B622" s="192" t="s">
        <v>752</v>
      </c>
      <c r="C622" s="192" t="s">
        <v>2</v>
      </c>
      <c r="D622" s="192" t="s">
        <v>0</v>
      </c>
      <c r="E622" s="192" t="s">
        <v>756</v>
      </c>
      <c r="F622" s="194">
        <v>0</v>
      </c>
      <c r="G622" s="194">
        <v>0</v>
      </c>
      <c r="H622" s="194">
        <v>0</v>
      </c>
      <c r="I622" s="194">
        <v>0</v>
      </c>
      <c r="M622" s="4" t="str">
        <f t="shared" si="20"/>
        <v>visible</v>
      </c>
    </row>
    <row r="623" spans="1:13" s="3" customFormat="1" ht="13.9" x14ac:dyDescent="0.4">
      <c r="A623" s="5">
        <f t="shared" si="22"/>
        <v>105</v>
      </c>
      <c r="B623" s="192" t="s">
        <v>741</v>
      </c>
      <c r="C623" s="192" t="s">
        <v>2</v>
      </c>
      <c r="D623" s="192" t="s">
        <v>0</v>
      </c>
      <c r="E623" s="192" t="s">
        <v>584</v>
      </c>
      <c r="F623" s="194">
        <v>0</v>
      </c>
      <c r="G623" s="194">
        <v>0</v>
      </c>
      <c r="H623" s="194">
        <v>0</v>
      </c>
      <c r="I623" s="194">
        <v>0</v>
      </c>
      <c r="M623" s="4" t="str">
        <f t="shared" si="20"/>
        <v>visible</v>
      </c>
    </row>
    <row r="624" spans="1:13" s="3" customFormat="1" ht="13.9" x14ac:dyDescent="0.4">
      <c r="A624" s="5">
        <f t="shared" si="22"/>
        <v>106</v>
      </c>
      <c r="B624" s="192" t="s">
        <v>753</v>
      </c>
      <c r="C624" s="192" t="s">
        <v>2</v>
      </c>
      <c r="D624" s="192" t="s">
        <v>96</v>
      </c>
      <c r="E624" s="192" t="s">
        <v>425</v>
      </c>
      <c r="F624" s="194">
        <v>463918.72144000372</v>
      </c>
      <c r="G624" s="194">
        <v>0</v>
      </c>
      <c r="H624" s="194">
        <v>463918.72144000372</v>
      </c>
      <c r="I624" s="194">
        <v>0</v>
      </c>
      <c r="M624" s="4" t="str">
        <f t="shared" si="20"/>
        <v>visible</v>
      </c>
    </row>
    <row r="625" spans="1:13" s="3" customFormat="1" ht="13.9" x14ac:dyDescent="0.4">
      <c r="A625" s="5"/>
      <c r="B625" s="192" t="s">
        <v>865</v>
      </c>
      <c r="C625" s="192" t="s">
        <v>1</v>
      </c>
      <c r="D625" s="192" t="s">
        <v>96</v>
      </c>
      <c r="E625" s="192" t="s">
        <v>867</v>
      </c>
      <c r="F625" s="194">
        <v>3000000</v>
      </c>
      <c r="G625" s="194">
        <v>900000</v>
      </c>
      <c r="H625" s="194">
        <v>0</v>
      </c>
      <c r="I625" s="194">
        <v>2100000</v>
      </c>
      <c r="M625" s="4" t="str">
        <f t="shared" si="20"/>
        <v>visible</v>
      </c>
    </row>
    <row r="626" spans="1:13" s="3" customFormat="1" ht="13.9" x14ac:dyDescent="0.4">
      <c r="A626" s="5"/>
      <c r="B626" s="204" t="s">
        <v>429</v>
      </c>
      <c r="C626" s="204"/>
      <c r="D626" s="204"/>
      <c r="E626" s="204"/>
      <c r="F626" s="205">
        <v>23783056.959005285</v>
      </c>
      <c r="G626" s="205">
        <v>8353160</v>
      </c>
      <c r="H626" s="205">
        <v>11732277.911386238</v>
      </c>
      <c r="I626" s="205">
        <v>3697619.0476190476</v>
      </c>
      <c r="M626" s="4" t="str">
        <f t="shared" si="20"/>
        <v>visible</v>
      </c>
    </row>
    <row r="627" spans="1:13" s="3" customFormat="1" ht="13.9" hidden="1" x14ac:dyDescent="0.4">
      <c r="A627" s="5"/>
      <c r="M627" s="4" t="str">
        <f t="shared" si="20"/>
        <v/>
      </c>
    </row>
    <row r="628" spans="1:13" s="3" customFormat="1" ht="13.9" hidden="1" x14ac:dyDescent="0.4">
      <c r="A628" s="5"/>
      <c r="M628" s="4" t="str">
        <f t="shared" si="20"/>
        <v/>
      </c>
    </row>
    <row r="629" spans="1:13" s="3" customFormat="1" ht="13.9" hidden="1" x14ac:dyDescent="0.4">
      <c r="A629" s="5"/>
      <c r="M629" s="4" t="str">
        <f t="shared" si="20"/>
        <v/>
      </c>
    </row>
    <row r="630" spans="1:13" s="3" customFormat="1" ht="13.9" hidden="1" x14ac:dyDescent="0.4">
      <c r="A630" s="5"/>
      <c r="M630" s="4" t="str">
        <f t="shared" si="20"/>
        <v/>
      </c>
    </row>
    <row r="631" spans="1:13" s="3" customFormat="1" ht="13.9" hidden="1" x14ac:dyDescent="0.4">
      <c r="A631" s="5"/>
      <c r="M631" s="4" t="str">
        <f t="shared" si="20"/>
        <v/>
      </c>
    </row>
    <row r="632" spans="1:13" s="3" customFormat="1" ht="13.9" hidden="1" x14ac:dyDescent="0.4">
      <c r="A632" s="5"/>
      <c r="M632" s="4" t="str">
        <f t="shared" si="20"/>
        <v/>
      </c>
    </row>
    <row r="633" spans="1:13" s="3" customFormat="1" ht="13.9" hidden="1" x14ac:dyDescent="0.4">
      <c r="A633" s="5"/>
      <c r="M633" s="4" t="str">
        <f t="shared" si="20"/>
        <v/>
      </c>
    </row>
    <row r="634" spans="1:13" s="3" customFormat="1" ht="13.9" hidden="1" x14ac:dyDescent="0.4">
      <c r="A634" s="5"/>
      <c r="M634" s="4" t="str">
        <f t="shared" si="20"/>
        <v/>
      </c>
    </row>
    <row r="635" spans="1:13" s="3" customFormat="1" ht="13.9" hidden="1" x14ac:dyDescent="0.4">
      <c r="A635" s="5"/>
      <c r="M635" s="4" t="str">
        <f t="shared" si="20"/>
        <v/>
      </c>
    </row>
    <row r="636" spans="1:13" s="3" customFormat="1" ht="13.9" hidden="1" x14ac:dyDescent="0.4">
      <c r="A636" s="5"/>
      <c r="M636" s="4" t="str">
        <f t="shared" si="20"/>
        <v/>
      </c>
    </row>
    <row r="637" spans="1:13" s="3" customFormat="1" ht="13.9" hidden="1" x14ac:dyDescent="0.4">
      <c r="A637" s="5"/>
      <c r="M637" s="4" t="str">
        <f t="shared" si="20"/>
        <v/>
      </c>
    </row>
    <row r="638" spans="1:13" s="3" customFormat="1" ht="13.9" hidden="1" x14ac:dyDescent="0.4">
      <c r="A638" s="5"/>
      <c r="M638" s="4" t="str">
        <f t="shared" si="20"/>
        <v/>
      </c>
    </row>
    <row r="639" spans="1:13" s="3" customFormat="1" ht="13.9" hidden="1" x14ac:dyDescent="0.4">
      <c r="A639" s="5"/>
      <c r="M639" s="4" t="str">
        <f t="shared" si="20"/>
        <v/>
      </c>
    </row>
    <row r="640" spans="1:13" s="3" customFormat="1" ht="13.9" hidden="1" x14ac:dyDescent="0.4">
      <c r="A640" s="5"/>
      <c r="M640" s="4" t="str">
        <f t="shared" si="20"/>
        <v/>
      </c>
    </row>
    <row r="641" spans="1:13" s="3" customFormat="1" ht="13.9" hidden="1" x14ac:dyDescent="0.4">
      <c r="A641" s="5"/>
      <c r="M641" s="4" t="str">
        <f t="shared" si="20"/>
        <v/>
      </c>
    </row>
    <row r="642" spans="1:13" s="3" customFormat="1" ht="13.9" hidden="1" x14ac:dyDescent="0.4">
      <c r="A642" s="5"/>
      <c r="M642" s="4" t="str">
        <f t="shared" si="20"/>
        <v/>
      </c>
    </row>
    <row r="643" spans="1:13" s="3" customFormat="1" ht="13.9" hidden="1" x14ac:dyDescent="0.4">
      <c r="A643" s="5"/>
      <c r="M643" s="4" t="str">
        <f t="shared" si="20"/>
        <v/>
      </c>
    </row>
    <row r="644" spans="1:13" s="3" customFormat="1" ht="13.9" hidden="1" x14ac:dyDescent="0.4">
      <c r="A644" s="5"/>
      <c r="M644" s="4" t="str">
        <f t="shared" si="20"/>
        <v/>
      </c>
    </row>
    <row r="645" spans="1:13" s="3" customFormat="1" ht="13.9" hidden="1" x14ac:dyDescent="0.4">
      <c r="A645" s="5"/>
      <c r="M645" s="4" t="str">
        <f t="shared" ref="M645:M708" si="23">IF(B645&lt;&gt;"","visible","")</f>
        <v/>
      </c>
    </row>
    <row r="646" spans="1:13" s="3" customFormat="1" ht="13.9" hidden="1" x14ac:dyDescent="0.4">
      <c r="A646" s="5"/>
      <c r="M646" s="4" t="str">
        <f t="shared" si="23"/>
        <v/>
      </c>
    </row>
    <row r="647" spans="1:13" s="3" customFormat="1" ht="13.9" hidden="1" x14ac:dyDescent="0.4">
      <c r="A647" s="5"/>
      <c r="M647" s="4" t="str">
        <f t="shared" si="23"/>
        <v/>
      </c>
    </row>
    <row r="648" spans="1:13" s="3" customFormat="1" ht="13.9" hidden="1" x14ac:dyDescent="0.4">
      <c r="A648" s="5"/>
      <c r="M648" s="4" t="str">
        <f t="shared" si="23"/>
        <v/>
      </c>
    </row>
    <row r="649" spans="1:13" s="3" customFormat="1" ht="13.9" hidden="1" x14ac:dyDescent="0.4">
      <c r="A649" s="5"/>
      <c r="M649" s="4" t="str">
        <f t="shared" si="23"/>
        <v/>
      </c>
    </row>
    <row r="650" spans="1:13" s="3" customFormat="1" ht="13.9" hidden="1" x14ac:dyDescent="0.4">
      <c r="A650" s="5"/>
      <c r="M650" s="4" t="str">
        <f t="shared" si="23"/>
        <v/>
      </c>
    </row>
    <row r="651" spans="1:13" s="3" customFormat="1" ht="13.9" hidden="1" x14ac:dyDescent="0.4">
      <c r="A651" s="5"/>
      <c r="M651" s="4" t="str">
        <f t="shared" si="23"/>
        <v/>
      </c>
    </row>
    <row r="652" spans="1:13" s="3" customFormat="1" ht="13.9" hidden="1" x14ac:dyDescent="0.4">
      <c r="A652" s="5"/>
      <c r="M652" s="4" t="str">
        <f t="shared" si="23"/>
        <v/>
      </c>
    </row>
    <row r="653" spans="1:13" s="3" customFormat="1" ht="13.9" hidden="1" x14ac:dyDescent="0.4">
      <c r="A653" s="5"/>
      <c r="M653" s="4" t="str">
        <f t="shared" si="23"/>
        <v/>
      </c>
    </row>
    <row r="654" spans="1:13" s="3" customFormat="1" ht="13.9" hidden="1" x14ac:dyDescent="0.4">
      <c r="A654" s="5"/>
      <c r="M654" s="4" t="str">
        <f t="shared" si="23"/>
        <v/>
      </c>
    </row>
    <row r="655" spans="1:13" s="3" customFormat="1" ht="13.9" hidden="1" x14ac:dyDescent="0.4">
      <c r="A655" s="5"/>
      <c r="M655" s="4" t="str">
        <f t="shared" si="23"/>
        <v/>
      </c>
    </row>
    <row r="656" spans="1:13" s="3" customFormat="1" ht="13.9" hidden="1" x14ac:dyDescent="0.4">
      <c r="A656" s="5"/>
      <c r="M656" s="4" t="str">
        <f t="shared" si="23"/>
        <v/>
      </c>
    </row>
    <row r="657" spans="1:13" s="3" customFormat="1" ht="13.9" hidden="1" x14ac:dyDescent="0.4">
      <c r="A657" s="5"/>
      <c r="M657" s="4" t="str">
        <f t="shared" si="23"/>
        <v/>
      </c>
    </row>
    <row r="658" spans="1:13" s="3" customFormat="1" ht="13.9" hidden="1" x14ac:dyDescent="0.4">
      <c r="A658" s="5"/>
      <c r="M658" s="4" t="str">
        <f t="shared" si="23"/>
        <v/>
      </c>
    </row>
    <row r="659" spans="1:13" s="3" customFormat="1" ht="13.9" hidden="1" x14ac:dyDescent="0.4">
      <c r="A659" s="5"/>
      <c r="M659" s="4" t="str">
        <f t="shared" si="23"/>
        <v/>
      </c>
    </row>
    <row r="660" spans="1:13" s="3" customFormat="1" ht="13.9" hidden="1" x14ac:dyDescent="0.4">
      <c r="A660" s="5"/>
      <c r="M660" s="4" t="str">
        <f t="shared" si="23"/>
        <v/>
      </c>
    </row>
    <row r="661" spans="1:13" s="3" customFormat="1" ht="13.9" hidden="1" x14ac:dyDescent="0.4">
      <c r="A661" s="5"/>
      <c r="M661" s="4" t="str">
        <f t="shared" si="23"/>
        <v/>
      </c>
    </row>
    <row r="662" spans="1:13" s="3" customFormat="1" ht="13.9" hidden="1" x14ac:dyDescent="0.4">
      <c r="A662" s="5"/>
      <c r="M662" s="4" t="str">
        <f t="shared" si="23"/>
        <v/>
      </c>
    </row>
    <row r="663" spans="1:13" s="3" customFormat="1" ht="13.9" hidden="1" x14ac:dyDescent="0.4">
      <c r="A663" s="5"/>
      <c r="M663" s="4" t="str">
        <f t="shared" si="23"/>
        <v/>
      </c>
    </row>
    <row r="664" spans="1:13" s="3" customFormat="1" ht="13.9" hidden="1" x14ac:dyDescent="0.4">
      <c r="A664" s="5"/>
      <c r="M664" s="4" t="str">
        <f t="shared" si="23"/>
        <v/>
      </c>
    </row>
    <row r="665" spans="1:13" s="3" customFormat="1" ht="13.9" hidden="1" x14ac:dyDescent="0.4">
      <c r="A665" s="5"/>
      <c r="M665" s="4" t="str">
        <f t="shared" si="23"/>
        <v/>
      </c>
    </row>
    <row r="666" spans="1:13" s="3" customFormat="1" ht="13.9" hidden="1" x14ac:dyDescent="0.4">
      <c r="A666" s="5"/>
      <c r="M666" s="4" t="str">
        <f t="shared" si="23"/>
        <v/>
      </c>
    </row>
    <row r="667" spans="1:13" s="3" customFormat="1" ht="13.9" hidden="1" x14ac:dyDescent="0.4">
      <c r="A667" s="5"/>
      <c r="M667" s="4" t="str">
        <f t="shared" si="23"/>
        <v/>
      </c>
    </row>
    <row r="668" spans="1:13" s="3" customFormat="1" ht="13.9" hidden="1" x14ac:dyDescent="0.4">
      <c r="A668" s="5"/>
      <c r="M668" s="4" t="str">
        <f t="shared" si="23"/>
        <v/>
      </c>
    </row>
    <row r="669" spans="1:13" s="3" customFormat="1" ht="13.9" hidden="1" x14ac:dyDescent="0.4">
      <c r="A669" s="5"/>
      <c r="M669" s="4" t="str">
        <f t="shared" si="23"/>
        <v/>
      </c>
    </row>
    <row r="670" spans="1:13" s="3" customFormat="1" ht="13.9" hidden="1" x14ac:dyDescent="0.4">
      <c r="A670" s="5"/>
      <c r="M670" s="4" t="str">
        <f t="shared" si="23"/>
        <v/>
      </c>
    </row>
    <row r="671" spans="1:13" s="3" customFormat="1" ht="13.9" hidden="1" x14ac:dyDescent="0.4">
      <c r="A671" s="5"/>
      <c r="M671" s="4" t="str">
        <f t="shared" si="23"/>
        <v/>
      </c>
    </row>
    <row r="672" spans="1:13" s="3" customFormat="1" ht="13.9" hidden="1" x14ac:dyDescent="0.4">
      <c r="A672" s="5"/>
      <c r="M672" s="4" t="str">
        <f t="shared" si="23"/>
        <v/>
      </c>
    </row>
    <row r="673" spans="1:13" s="3" customFormat="1" ht="13.9" hidden="1" x14ac:dyDescent="0.4">
      <c r="A673" s="5"/>
      <c r="M673" s="4" t="str">
        <f t="shared" si="23"/>
        <v/>
      </c>
    </row>
    <row r="674" spans="1:13" s="3" customFormat="1" ht="13.9" hidden="1" x14ac:dyDescent="0.4">
      <c r="A674" s="5"/>
      <c r="M674" s="4" t="str">
        <f t="shared" si="23"/>
        <v/>
      </c>
    </row>
    <row r="675" spans="1:13" s="3" customFormat="1" ht="13.9" hidden="1" x14ac:dyDescent="0.4">
      <c r="A675" s="5"/>
      <c r="M675" s="4" t="str">
        <f t="shared" si="23"/>
        <v/>
      </c>
    </row>
    <row r="676" spans="1:13" s="3" customFormat="1" ht="13.9" hidden="1" x14ac:dyDescent="0.4">
      <c r="A676" s="5"/>
      <c r="M676" s="4" t="str">
        <f t="shared" si="23"/>
        <v/>
      </c>
    </row>
    <row r="677" spans="1:13" s="3" customFormat="1" ht="13.9" hidden="1" x14ac:dyDescent="0.4">
      <c r="A677" s="5"/>
      <c r="M677" s="4" t="str">
        <f t="shared" si="23"/>
        <v/>
      </c>
    </row>
    <row r="678" spans="1:13" s="3" customFormat="1" ht="13.9" hidden="1" x14ac:dyDescent="0.4">
      <c r="A678" s="5"/>
      <c r="M678" s="4" t="str">
        <f t="shared" si="23"/>
        <v/>
      </c>
    </row>
    <row r="679" spans="1:13" s="3" customFormat="1" ht="13.9" hidden="1" x14ac:dyDescent="0.4">
      <c r="A679" s="5"/>
      <c r="M679" s="4" t="str">
        <f t="shared" si="23"/>
        <v/>
      </c>
    </row>
    <row r="680" spans="1:13" s="3" customFormat="1" ht="13.9" hidden="1" x14ac:dyDescent="0.4">
      <c r="A680" s="5"/>
      <c r="M680" s="4" t="str">
        <f t="shared" si="23"/>
        <v/>
      </c>
    </row>
    <row r="681" spans="1:13" s="3" customFormat="1" ht="13.9" hidden="1" x14ac:dyDescent="0.4">
      <c r="A681" s="5"/>
      <c r="M681" s="4" t="str">
        <f t="shared" si="23"/>
        <v/>
      </c>
    </row>
    <row r="682" spans="1:13" s="3" customFormat="1" ht="13.9" hidden="1" x14ac:dyDescent="0.4">
      <c r="A682" s="5"/>
      <c r="M682" s="4" t="str">
        <f t="shared" si="23"/>
        <v/>
      </c>
    </row>
    <row r="683" spans="1:13" s="3" customFormat="1" ht="13.9" hidden="1" x14ac:dyDescent="0.4">
      <c r="A683" s="5"/>
      <c r="M683" s="4" t="str">
        <f t="shared" si="23"/>
        <v/>
      </c>
    </row>
    <row r="684" spans="1:13" s="3" customFormat="1" ht="13.9" hidden="1" x14ac:dyDescent="0.4">
      <c r="A684" s="5"/>
      <c r="M684" s="4" t="str">
        <f t="shared" si="23"/>
        <v/>
      </c>
    </row>
    <row r="685" spans="1:13" s="3" customFormat="1" ht="13.9" hidden="1" x14ac:dyDescent="0.4">
      <c r="A685" s="5"/>
      <c r="M685" s="4" t="str">
        <f t="shared" si="23"/>
        <v/>
      </c>
    </row>
    <row r="686" spans="1:13" s="3" customFormat="1" ht="13.9" hidden="1" x14ac:dyDescent="0.4">
      <c r="A686" s="5"/>
      <c r="M686" s="4" t="str">
        <f t="shared" si="23"/>
        <v/>
      </c>
    </row>
    <row r="687" spans="1:13" s="3" customFormat="1" ht="13.9" hidden="1" x14ac:dyDescent="0.4">
      <c r="A687" s="5"/>
      <c r="M687" s="4" t="str">
        <f t="shared" si="23"/>
        <v/>
      </c>
    </row>
    <row r="688" spans="1:13" s="3" customFormat="1" ht="13.9" hidden="1" x14ac:dyDescent="0.4">
      <c r="A688" s="5"/>
      <c r="M688" s="4" t="str">
        <f t="shared" si="23"/>
        <v/>
      </c>
    </row>
    <row r="689" spans="1:13" s="3" customFormat="1" ht="13.9" hidden="1" x14ac:dyDescent="0.4">
      <c r="A689" s="5"/>
      <c r="M689" s="4" t="str">
        <f t="shared" si="23"/>
        <v/>
      </c>
    </row>
    <row r="690" spans="1:13" s="3" customFormat="1" ht="13.9" hidden="1" x14ac:dyDescent="0.4">
      <c r="A690" s="5"/>
      <c r="M690" s="4" t="str">
        <f t="shared" si="23"/>
        <v/>
      </c>
    </row>
    <row r="691" spans="1:13" s="3" customFormat="1" ht="13.9" hidden="1" x14ac:dyDescent="0.4">
      <c r="A691" s="5"/>
      <c r="M691" s="4" t="str">
        <f t="shared" si="23"/>
        <v/>
      </c>
    </row>
    <row r="692" spans="1:13" s="3" customFormat="1" ht="13.9" hidden="1" x14ac:dyDescent="0.4">
      <c r="A692" s="5"/>
      <c r="M692" s="4" t="str">
        <f t="shared" si="23"/>
        <v/>
      </c>
    </row>
    <row r="693" spans="1:13" s="3" customFormat="1" ht="13.9" hidden="1" x14ac:dyDescent="0.4">
      <c r="A693" s="5"/>
      <c r="M693" s="4" t="str">
        <f t="shared" si="23"/>
        <v/>
      </c>
    </row>
    <row r="694" spans="1:13" s="3" customFormat="1" ht="13.9" hidden="1" x14ac:dyDescent="0.4">
      <c r="A694" s="5"/>
      <c r="M694" s="4" t="str">
        <f t="shared" si="23"/>
        <v/>
      </c>
    </row>
    <row r="695" spans="1:13" s="3" customFormat="1" ht="13.9" hidden="1" x14ac:dyDescent="0.4">
      <c r="A695" s="5"/>
      <c r="M695" s="4" t="str">
        <f t="shared" si="23"/>
        <v/>
      </c>
    </row>
    <row r="696" spans="1:13" s="3" customFormat="1" ht="13.9" hidden="1" x14ac:dyDescent="0.4">
      <c r="A696" s="5"/>
      <c r="M696" s="4" t="str">
        <f t="shared" si="23"/>
        <v/>
      </c>
    </row>
    <row r="697" spans="1:13" s="3" customFormat="1" ht="13.9" hidden="1" x14ac:dyDescent="0.4">
      <c r="A697" s="5"/>
      <c r="M697" s="4" t="str">
        <f t="shared" si="23"/>
        <v/>
      </c>
    </row>
    <row r="698" spans="1:13" s="3" customFormat="1" ht="13.9" hidden="1" x14ac:dyDescent="0.4">
      <c r="A698" s="5"/>
      <c r="M698" s="4" t="str">
        <f t="shared" si="23"/>
        <v/>
      </c>
    </row>
    <row r="699" spans="1:13" s="3" customFormat="1" ht="13.9" hidden="1" x14ac:dyDescent="0.4">
      <c r="A699" s="5"/>
      <c r="M699" s="4" t="str">
        <f t="shared" si="23"/>
        <v/>
      </c>
    </row>
    <row r="700" spans="1:13" s="3" customFormat="1" ht="13.9" hidden="1" x14ac:dyDescent="0.4">
      <c r="A700" s="5"/>
      <c r="M700" s="4" t="str">
        <f t="shared" si="23"/>
        <v/>
      </c>
    </row>
    <row r="701" spans="1:13" s="3" customFormat="1" ht="13.9" hidden="1" x14ac:dyDescent="0.4">
      <c r="A701" s="5"/>
      <c r="M701" s="4" t="str">
        <f t="shared" si="23"/>
        <v/>
      </c>
    </row>
    <row r="702" spans="1:13" s="3" customFormat="1" ht="13.9" hidden="1" x14ac:dyDescent="0.4">
      <c r="A702" s="5"/>
      <c r="M702" s="4" t="str">
        <f t="shared" si="23"/>
        <v/>
      </c>
    </row>
    <row r="703" spans="1:13" s="3" customFormat="1" ht="13.9" hidden="1" x14ac:dyDescent="0.4">
      <c r="A703" s="5"/>
      <c r="M703" s="4" t="str">
        <f t="shared" si="23"/>
        <v/>
      </c>
    </row>
    <row r="704" spans="1:13" s="3" customFormat="1" ht="13.9" hidden="1" x14ac:dyDescent="0.4">
      <c r="A704" s="5"/>
      <c r="M704" s="4" t="str">
        <f t="shared" si="23"/>
        <v/>
      </c>
    </row>
    <row r="705" spans="1:13" s="3" customFormat="1" ht="13.9" hidden="1" x14ac:dyDescent="0.4">
      <c r="A705" s="5"/>
      <c r="M705" s="4" t="str">
        <f t="shared" si="23"/>
        <v/>
      </c>
    </row>
    <row r="706" spans="1:13" s="3" customFormat="1" ht="13.9" hidden="1" x14ac:dyDescent="0.4">
      <c r="A706" s="5"/>
      <c r="M706" s="4" t="str">
        <f t="shared" si="23"/>
        <v/>
      </c>
    </row>
    <row r="707" spans="1:13" s="3" customFormat="1" ht="13.9" hidden="1" x14ac:dyDescent="0.4">
      <c r="A707" s="5"/>
      <c r="M707" s="4" t="str">
        <f t="shared" si="23"/>
        <v/>
      </c>
    </row>
    <row r="708" spans="1:13" s="3" customFormat="1" ht="13.9" hidden="1" x14ac:dyDescent="0.4">
      <c r="A708" s="5"/>
      <c r="M708" s="4" t="str">
        <f t="shared" si="23"/>
        <v/>
      </c>
    </row>
    <row r="709" spans="1:13" s="3" customFormat="1" ht="13.9" hidden="1" x14ac:dyDescent="0.4">
      <c r="A709" s="5"/>
      <c r="M709" s="4" t="str">
        <f t="shared" ref="M709:M772" si="24">IF(B709&lt;&gt;"","visible","")</f>
        <v/>
      </c>
    </row>
    <row r="710" spans="1:13" s="3" customFormat="1" ht="13.9" hidden="1" x14ac:dyDescent="0.4">
      <c r="A710" s="5"/>
      <c r="M710" s="4" t="str">
        <f t="shared" si="24"/>
        <v/>
      </c>
    </row>
    <row r="711" spans="1:13" s="3" customFormat="1" ht="13.9" hidden="1" x14ac:dyDescent="0.4">
      <c r="A711" s="5"/>
      <c r="M711" s="4" t="str">
        <f t="shared" si="24"/>
        <v/>
      </c>
    </row>
    <row r="712" spans="1:13" s="3" customFormat="1" ht="13.9" hidden="1" x14ac:dyDescent="0.4">
      <c r="A712" s="5"/>
      <c r="M712" s="4" t="str">
        <f t="shared" si="24"/>
        <v/>
      </c>
    </row>
    <row r="713" spans="1:13" s="3" customFormat="1" ht="13.9" hidden="1" x14ac:dyDescent="0.4">
      <c r="A713" s="5"/>
      <c r="M713" s="4" t="str">
        <f t="shared" si="24"/>
        <v/>
      </c>
    </row>
    <row r="714" spans="1:13" s="3" customFormat="1" ht="13.9" hidden="1" x14ac:dyDescent="0.4">
      <c r="A714" s="5"/>
      <c r="M714" s="4" t="str">
        <f t="shared" si="24"/>
        <v/>
      </c>
    </row>
    <row r="715" spans="1:13" s="3" customFormat="1" ht="13.9" hidden="1" x14ac:dyDescent="0.4">
      <c r="A715" s="5"/>
      <c r="M715" s="4" t="str">
        <f t="shared" si="24"/>
        <v/>
      </c>
    </row>
    <row r="716" spans="1:13" s="3" customFormat="1" ht="13.9" hidden="1" x14ac:dyDescent="0.4">
      <c r="A716" s="5"/>
      <c r="M716" s="4" t="str">
        <f t="shared" si="24"/>
        <v/>
      </c>
    </row>
    <row r="717" spans="1:13" s="3" customFormat="1" ht="13.9" hidden="1" x14ac:dyDescent="0.4">
      <c r="A717" s="5"/>
      <c r="M717" s="4" t="str">
        <f t="shared" si="24"/>
        <v/>
      </c>
    </row>
    <row r="718" spans="1:13" s="3" customFormat="1" ht="13.9" hidden="1" x14ac:dyDescent="0.4">
      <c r="A718" s="5"/>
      <c r="M718" s="4" t="str">
        <f t="shared" si="24"/>
        <v/>
      </c>
    </row>
    <row r="719" spans="1:13" s="3" customFormat="1" ht="13.9" hidden="1" x14ac:dyDescent="0.4">
      <c r="A719" s="5"/>
      <c r="M719" s="4" t="str">
        <f t="shared" si="24"/>
        <v/>
      </c>
    </row>
    <row r="720" spans="1:13" s="3" customFormat="1" ht="13.9" hidden="1" x14ac:dyDescent="0.4">
      <c r="A720" s="5"/>
      <c r="M720" s="4" t="str">
        <f t="shared" si="24"/>
        <v/>
      </c>
    </row>
    <row r="721" spans="1:13" s="3" customFormat="1" ht="13.9" hidden="1" x14ac:dyDescent="0.4">
      <c r="A721" s="5"/>
      <c r="M721" s="4" t="str">
        <f t="shared" si="24"/>
        <v/>
      </c>
    </row>
    <row r="722" spans="1:13" s="3" customFormat="1" ht="13.9" hidden="1" x14ac:dyDescent="0.4">
      <c r="A722" s="5"/>
      <c r="M722" s="4" t="str">
        <f t="shared" si="24"/>
        <v/>
      </c>
    </row>
    <row r="723" spans="1:13" s="3" customFormat="1" ht="13.9" hidden="1" x14ac:dyDescent="0.4">
      <c r="A723" s="5"/>
      <c r="M723" s="4" t="str">
        <f t="shared" si="24"/>
        <v/>
      </c>
    </row>
    <row r="724" spans="1:13" s="3" customFormat="1" ht="13.9" hidden="1" x14ac:dyDescent="0.4">
      <c r="A724" s="5"/>
      <c r="M724" s="4" t="str">
        <f t="shared" si="24"/>
        <v/>
      </c>
    </row>
    <row r="725" spans="1:13" s="3" customFormat="1" ht="13.9" hidden="1" x14ac:dyDescent="0.4">
      <c r="A725" s="5"/>
      <c r="M725" s="4" t="str">
        <f t="shared" si="24"/>
        <v/>
      </c>
    </row>
    <row r="726" spans="1:13" s="3" customFormat="1" ht="13.9" hidden="1" x14ac:dyDescent="0.4">
      <c r="A726" s="5"/>
      <c r="M726" s="4" t="str">
        <f t="shared" si="24"/>
        <v/>
      </c>
    </row>
    <row r="727" spans="1:13" s="3" customFormat="1" ht="13.9" hidden="1" x14ac:dyDescent="0.4">
      <c r="A727" s="5"/>
      <c r="M727" s="4" t="str">
        <f t="shared" si="24"/>
        <v/>
      </c>
    </row>
    <row r="728" spans="1:13" s="3" customFormat="1" ht="13.9" hidden="1" x14ac:dyDescent="0.4">
      <c r="A728" s="5"/>
      <c r="M728" s="4" t="str">
        <f t="shared" si="24"/>
        <v/>
      </c>
    </row>
    <row r="729" spans="1:13" s="3" customFormat="1" ht="13.9" hidden="1" x14ac:dyDescent="0.4">
      <c r="A729" s="5"/>
      <c r="M729" s="4" t="str">
        <f t="shared" si="24"/>
        <v/>
      </c>
    </row>
    <row r="730" spans="1:13" s="3" customFormat="1" ht="13.9" hidden="1" x14ac:dyDescent="0.4">
      <c r="A730" s="5"/>
      <c r="M730" s="4" t="str">
        <f t="shared" si="24"/>
        <v/>
      </c>
    </row>
    <row r="731" spans="1:13" s="3" customFormat="1" ht="13.9" hidden="1" x14ac:dyDescent="0.4">
      <c r="A731" s="5"/>
      <c r="M731" s="4" t="str">
        <f t="shared" si="24"/>
        <v/>
      </c>
    </row>
    <row r="732" spans="1:13" s="3" customFormat="1" ht="13.9" hidden="1" x14ac:dyDescent="0.4">
      <c r="A732" s="5"/>
      <c r="M732" s="4" t="str">
        <f t="shared" si="24"/>
        <v/>
      </c>
    </row>
    <row r="733" spans="1:13" s="3" customFormat="1" ht="13.9" hidden="1" x14ac:dyDescent="0.4">
      <c r="A733" s="5"/>
      <c r="M733" s="4" t="str">
        <f t="shared" si="24"/>
        <v/>
      </c>
    </row>
    <row r="734" spans="1:13" s="3" customFormat="1" ht="13.9" hidden="1" x14ac:dyDescent="0.4">
      <c r="A734" s="5"/>
      <c r="M734" s="4" t="str">
        <f t="shared" si="24"/>
        <v/>
      </c>
    </row>
    <row r="735" spans="1:13" s="3" customFormat="1" ht="13.9" hidden="1" x14ac:dyDescent="0.4">
      <c r="A735" s="5"/>
      <c r="M735" s="4" t="str">
        <f t="shared" si="24"/>
        <v/>
      </c>
    </row>
    <row r="736" spans="1:13" s="3" customFormat="1" ht="13.9" hidden="1" x14ac:dyDescent="0.4">
      <c r="A736" s="5"/>
      <c r="M736" s="4" t="str">
        <f t="shared" si="24"/>
        <v/>
      </c>
    </row>
    <row r="737" spans="1:13" s="3" customFormat="1" ht="13.9" hidden="1" x14ac:dyDescent="0.4">
      <c r="A737" s="5"/>
      <c r="M737" s="4" t="str">
        <f t="shared" si="24"/>
        <v/>
      </c>
    </row>
    <row r="738" spans="1:13" s="3" customFormat="1" ht="13.9" hidden="1" x14ac:dyDescent="0.4">
      <c r="A738" s="5"/>
      <c r="M738" s="4" t="str">
        <f t="shared" si="24"/>
        <v/>
      </c>
    </row>
    <row r="739" spans="1:13" s="3" customFormat="1" ht="13.9" hidden="1" x14ac:dyDescent="0.4">
      <c r="A739" s="5"/>
      <c r="M739" s="4" t="str">
        <f t="shared" si="24"/>
        <v/>
      </c>
    </row>
    <row r="740" spans="1:13" s="3" customFormat="1" ht="13.9" hidden="1" x14ac:dyDescent="0.4">
      <c r="A740" s="5"/>
      <c r="M740" s="4" t="str">
        <f t="shared" si="24"/>
        <v/>
      </c>
    </row>
    <row r="741" spans="1:13" s="3" customFormat="1" ht="13.9" hidden="1" x14ac:dyDescent="0.4">
      <c r="A741" s="5"/>
      <c r="M741" s="4" t="str">
        <f t="shared" si="24"/>
        <v/>
      </c>
    </row>
    <row r="742" spans="1:13" s="3" customFormat="1" ht="13.9" hidden="1" x14ac:dyDescent="0.4">
      <c r="A742" s="5"/>
      <c r="M742" s="4" t="str">
        <f t="shared" si="24"/>
        <v/>
      </c>
    </row>
    <row r="743" spans="1:13" s="3" customFormat="1" ht="13.9" hidden="1" x14ac:dyDescent="0.4">
      <c r="A743" s="5"/>
      <c r="M743" s="4" t="str">
        <f t="shared" si="24"/>
        <v/>
      </c>
    </row>
    <row r="744" spans="1:13" s="3" customFormat="1" ht="13.9" hidden="1" x14ac:dyDescent="0.4">
      <c r="A744" s="5"/>
      <c r="M744" s="4" t="str">
        <f t="shared" si="24"/>
        <v/>
      </c>
    </row>
    <row r="745" spans="1:13" s="3" customFormat="1" ht="13.9" hidden="1" x14ac:dyDescent="0.4">
      <c r="A745" s="5"/>
      <c r="M745" s="4" t="str">
        <f t="shared" si="24"/>
        <v/>
      </c>
    </row>
    <row r="746" spans="1:13" s="3" customFormat="1" ht="13.9" hidden="1" x14ac:dyDescent="0.4">
      <c r="A746" s="5"/>
      <c r="M746" s="4" t="str">
        <f t="shared" si="24"/>
        <v/>
      </c>
    </row>
    <row r="747" spans="1:13" s="3" customFormat="1" ht="13.9" hidden="1" x14ac:dyDescent="0.4">
      <c r="A747" s="5"/>
      <c r="M747" s="4" t="str">
        <f t="shared" si="24"/>
        <v/>
      </c>
    </row>
    <row r="748" spans="1:13" s="3" customFormat="1" ht="13.9" hidden="1" x14ac:dyDescent="0.4">
      <c r="A748" s="5"/>
      <c r="M748" s="4" t="str">
        <f t="shared" si="24"/>
        <v/>
      </c>
    </row>
    <row r="749" spans="1:13" s="3" customFormat="1" ht="13.9" hidden="1" x14ac:dyDescent="0.4">
      <c r="A749" s="5"/>
      <c r="M749" s="4" t="str">
        <f t="shared" si="24"/>
        <v/>
      </c>
    </row>
    <row r="750" spans="1:13" s="3" customFormat="1" ht="13.9" hidden="1" x14ac:dyDescent="0.4">
      <c r="A750" s="5"/>
      <c r="M750" s="4" t="str">
        <f t="shared" si="24"/>
        <v/>
      </c>
    </row>
    <row r="751" spans="1:13" s="3" customFormat="1" ht="13.9" hidden="1" x14ac:dyDescent="0.4">
      <c r="A751" s="5"/>
      <c r="M751" s="4" t="str">
        <f t="shared" si="24"/>
        <v/>
      </c>
    </row>
    <row r="752" spans="1:13" s="3" customFormat="1" ht="13.9" hidden="1" x14ac:dyDescent="0.4">
      <c r="A752" s="5"/>
      <c r="M752" s="4" t="str">
        <f t="shared" si="24"/>
        <v/>
      </c>
    </row>
    <row r="753" spans="1:13" s="3" customFormat="1" ht="13.9" hidden="1" x14ac:dyDescent="0.4">
      <c r="A753" s="5"/>
      <c r="M753" s="4" t="str">
        <f t="shared" si="24"/>
        <v/>
      </c>
    </row>
    <row r="754" spans="1:13" s="3" customFormat="1" ht="13.9" hidden="1" x14ac:dyDescent="0.4">
      <c r="A754" s="5"/>
      <c r="M754" s="4" t="str">
        <f t="shared" si="24"/>
        <v/>
      </c>
    </row>
    <row r="755" spans="1:13" s="3" customFormat="1" ht="13.9" hidden="1" x14ac:dyDescent="0.4">
      <c r="A755" s="5"/>
      <c r="M755" s="4" t="str">
        <f t="shared" si="24"/>
        <v/>
      </c>
    </row>
    <row r="756" spans="1:13" s="3" customFormat="1" ht="13.9" hidden="1" x14ac:dyDescent="0.4">
      <c r="A756" s="5"/>
      <c r="M756" s="4" t="str">
        <f t="shared" si="24"/>
        <v/>
      </c>
    </row>
    <row r="757" spans="1:13" s="3" customFormat="1" ht="13.9" hidden="1" x14ac:dyDescent="0.4">
      <c r="A757" s="5"/>
      <c r="M757" s="4" t="str">
        <f t="shared" si="24"/>
        <v/>
      </c>
    </row>
    <row r="758" spans="1:13" s="3" customFormat="1" ht="13.9" hidden="1" x14ac:dyDescent="0.4">
      <c r="A758" s="5"/>
      <c r="M758" s="4" t="str">
        <f t="shared" si="24"/>
        <v/>
      </c>
    </row>
    <row r="759" spans="1:13" s="3" customFormat="1" ht="13.9" hidden="1" x14ac:dyDescent="0.4">
      <c r="A759" s="5"/>
      <c r="M759" s="4" t="str">
        <f t="shared" si="24"/>
        <v/>
      </c>
    </row>
    <row r="760" spans="1:13" s="3" customFormat="1" ht="13.9" hidden="1" x14ac:dyDescent="0.4">
      <c r="A760" s="5"/>
      <c r="M760" s="4" t="str">
        <f t="shared" si="24"/>
        <v/>
      </c>
    </row>
    <row r="761" spans="1:13" s="3" customFormat="1" ht="13.9" hidden="1" x14ac:dyDescent="0.4">
      <c r="A761" s="5"/>
      <c r="M761" s="4" t="str">
        <f t="shared" si="24"/>
        <v/>
      </c>
    </row>
    <row r="762" spans="1:13" s="3" customFormat="1" ht="13.9" hidden="1" x14ac:dyDescent="0.4">
      <c r="A762" s="5"/>
      <c r="M762" s="4" t="str">
        <f t="shared" si="24"/>
        <v/>
      </c>
    </row>
    <row r="763" spans="1:13" s="3" customFormat="1" ht="13.9" hidden="1" x14ac:dyDescent="0.4">
      <c r="A763" s="5"/>
      <c r="M763" s="4" t="str">
        <f t="shared" si="24"/>
        <v/>
      </c>
    </row>
    <row r="764" spans="1:13" s="3" customFormat="1" ht="13.9" hidden="1" x14ac:dyDescent="0.4">
      <c r="A764" s="5"/>
      <c r="M764" s="4" t="str">
        <f t="shared" si="24"/>
        <v/>
      </c>
    </row>
    <row r="765" spans="1:13" s="3" customFormat="1" ht="13.9" hidden="1" x14ac:dyDescent="0.4">
      <c r="A765" s="5"/>
      <c r="M765" s="4" t="str">
        <f t="shared" si="24"/>
        <v/>
      </c>
    </row>
    <row r="766" spans="1:13" s="3" customFormat="1" ht="13.9" hidden="1" x14ac:dyDescent="0.4">
      <c r="A766" s="5"/>
      <c r="M766" s="4" t="str">
        <f t="shared" si="24"/>
        <v/>
      </c>
    </row>
    <row r="767" spans="1:13" s="3" customFormat="1" ht="13.9" hidden="1" x14ac:dyDescent="0.4">
      <c r="A767" s="5"/>
      <c r="M767" s="4" t="str">
        <f t="shared" si="24"/>
        <v/>
      </c>
    </row>
    <row r="768" spans="1:13" s="3" customFormat="1" ht="13.9" hidden="1" x14ac:dyDescent="0.4">
      <c r="A768" s="5"/>
      <c r="M768" s="4" t="str">
        <f t="shared" si="24"/>
        <v/>
      </c>
    </row>
    <row r="769" spans="1:13" s="3" customFormat="1" ht="13.9" hidden="1" x14ac:dyDescent="0.4">
      <c r="A769" s="5"/>
      <c r="M769" s="4" t="str">
        <f t="shared" si="24"/>
        <v/>
      </c>
    </row>
    <row r="770" spans="1:13" s="3" customFormat="1" ht="13.9" hidden="1" x14ac:dyDescent="0.4">
      <c r="A770" s="5"/>
      <c r="M770" s="4" t="str">
        <f t="shared" si="24"/>
        <v/>
      </c>
    </row>
    <row r="771" spans="1:13" s="3" customFormat="1" ht="13.9" hidden="1" x14ac:dyDescent="0.4">
      <c r="A771" s="5"/>
      <c r="M771" s="4" t="str">
        <f t="shared" si="24"/>
        <v/>
      </c>
    </row>
    <row r="772" spans="1:13" s="3" customFormat="1" ht="13.9" hidden="1" x14ac:dyDescent="0.4">
      <c r="A772" s="5"/>
      <c r="M772" s="4" t="str">
        <f t="shared" si="24"/>
        <v/>
      </c>
    </row>
    <row r="773" spans="1:13" s="3" customFormat="1" ht="13.9" hidden="1" x14ac:dyDescent="0.4">
      <c r="A773" s="5"/>
      <c r="M773" s="4" t="str">
        <f t="shared" ref="M773:M836" si="25">IF(B773&lt;&gt;"","visible","")</f>
        <v/>
      </c>
    </row>
    <row r="774" spans="1:13" s="3" customFormat="1" ht="13.9" hidden="1" x14ac:dyDescent="0.4">
      <c r="A774" s="5"/>
      <c r="M774" s="4" t="str">
        <f t="shared" si="25"/>
        <v/>
      </c>
    </row>
    <row r="775" spans="1:13" s="3" customFormat="1" ht="13.9" hidden="1" x14ac:dyDescent="0.4">
      <c r="A775" s="5"/>
      <c r="M775" s="4" t="str">
        <f t="shared" si="25"/>
        <v/>
      </c>
    </row>
    <row r="776" spans="1:13" s="3" customFormat="1" ht="13.9" hidden="1" x14ac:dyDescent="0.4">
      <c r="A776" s="5"/>
      <c r="M776" s="4" t="str">
        <f t="shared" si="25"/>
        <v/>
      </c>
    </row>
    <row r="777" spans="1:13" s="3" customFormat="1" ht="13.9" hidden="1" x14ac:dyDescent="0.4">
      <c r="A777" s="5"/>
      <c r="M777" s="4" t="str">
        <f t="shared" si="25"/>
        <v/>
      </c>
    </row>
    <row r="778" spans="1:13" s="3" customFormat="1" ht="13.9" hidden="1" x14ac:dyDescent="0.4">
      <c r="A778" s="5"/>
      <c r="M778" s="4" t="str">
        <f t="shared" si="25"/>
        <v/>
      </c>
    </row>
    <row r="779" spans="1:13" s="3" customFormat="1" ht="13.9" hidden="1" x14ac:dyDescent="0.4">
      <c r="A779" s="5"/>
      <c r="M779" s="4" t="str">
        <f t="shared" si="25"/>
        <v/>
      </c>
    </row>
    <row r="780" spans="1:13" s="3" customFormat="1" ht="13.9" hidden="1" x14ac:dyDescent="0.4">
      <c r="A780" s="5"/>
      <c r="M780" s="4" t="str">
        <f t="shared" si="25"/>
        <v/>
      </c>
    </row>
    <row r="781" spans="1:13" s="3" customFormat="1" ht="13.9" hidden="1" x14ac:dyDescent="0.4">
      <c r="A781" s="5"/>
      <c r="M781" s="4" t="str">
        <f t="shared" si="25"/>
        <v/>
      </c>
    </row>
    <row r="782" spans="1:13" s="3" customFormat="1" ht="13.9" hidden="1" x14ac:dyDescent="0.4">
      <c r="A782" s="5"/>
      <c r="M782" s="4" t="str">
        <f t="shared" si="25"/>
        <v/>
      </c>
    </row>
    <row r="783" spans="1:13" s="3" customFormat="1" ht="13.9" hidden="1" x14ac:dyDescent="0.4">
      <c r="A783" s="5"/>
      <c r="M783" s="4" t="str">
        <f t="shared" si="25"/>
        <v/>
      </c>
    </row>
    <row r="784" spans="1:13" s="3" customFormat="1" ht="13.9" hidden="1" x14ac:dyDescent="0.4">
      <c r="A784" s="5"/>
      <c r="M784" s="4" t="str">
        <f t="shared" si="25"/>
        <v/>
      </c>
    </row>
    <row r="785" spans="1:13" s="3" customFormat="1" ht="13.9" hidden="1" x14ac:dyDescent="0.4">
      <c r="A785" s="5"/>
      <c r="M785" s="4" t="str">
        <f t="shared" si="25"/>
        <v/>
      </c>
    </row>
    <row r="786" spans="1:13" s="3" customFormat="1" ht="13.9" hidden="1" x14ac:dyDescent="0.4">
      <c r="A786" s="5"/>
      <c r="M786" s="4" t="str">
        <f t="shared" si="25"/>
        <v/>
      </c>
    </row>
    <row r="787" spans="1:13" s="3" customFormat="1" ht="13.9" hidden="1" x14ac:dyDescent="0.4">
      <c r="A787" s="5"/>
      <c r="M787" s="4" t="str">
        <f t="shared" si="25"/>
        <v/>
      </c>
    </row>
    <row r="788" spans="1:13" s="3" customFormat="1" ht="13.9" hidden="1" x14ac:dyDescent="0.4">
      <c r="A788" s="5"/>
      <c r="M788" s="4" t="str">
        <f t="shared" si="25"/>
        <v/>
      </c>
    </row>
    <row r="789" spans="1:13" s="3" customFormat="1" ht="13.9" hidden="1" x14ac:dyDescent="0.4">
      <c r="A789" s="5"/>
      <c r="M789" s="4" t="str">
        <f t="shared" si="25"/>
        <v/>
      </c>
    </row>
    <row r="790" spans="1:13" s="3" customFormat="1" ht="13.9" hidden="1" x14ac:dyDescent="0.4">
      <c r="A790" s="5"/>
      <c r="M790" s="4" t="str">
        <f t="shared" si="25"/>
        <v/>
      </c>
    </row>
    <row r="791" spans="1:13" s="3" customFormat="1" ht="13.9" hidden="1" x14ac:dyDescent="0.4">
      <c r="A791" s="5"/>
      <c r="M791" s="4" t="str">
        <f t="shared" si="25"/>
        <v/>
      </c>
    </row>
    <row r="792" spans="1:13" s="3" customFormat="1" ht="13.9" hidden="1" x14ac:dyDescent="0.4">
      <c r="A792" s="5"/>
      <c r="M792" s="4" t="str">
        <f t="shared" si="25"/>
        <v/>
      </c>
    </row>
    <row r="793" spans="1:13" s="3" customFormat="1" ht="13.9" hidden="1" x14ac:dyDescent="0.4">
      <c r="A793" s="5"/>
      <c r="M793" s="4" t="str">
        <f t="shared" si="25"/>
        <v/>
      </c>
    </row>
    <row r="794" spans="1:13" s="3" customFormat="1" ht="13.9" hidden="1" x14ac:dyDescent="0.4">
      <c r="A794" s="5"/>
      <c r="M794" s="4" t="str">
        <f t="shared" si="25"/>
        <v/>
      </c>
    </row>
    <row r="795" spans="1:13" s="3" customFormat="1" ht="13.9" hidden="1" x14ac:dyDescent="0.4">
      <c r="A795" s="5"/>
      <c r="M795" s="4" t="str">
        <f t="shared" si="25"/>
        <v/>
      </c>
    </row>
    <row r="796" spans="1:13" s="3" customFormat="1" ht="13.9" hidden="1" x14ac:dyDescent="0.4">
      <c r="A796" s="5"/>
      <c r="M796" s="4" t="str">
        <f t="shared" si="25"/>
        <v/>
      </c>
    </row>
    <row r="797" spans="1:13" s="3" customFormat="1" ht="13.9" hidden="1" x14ac:dyDescent="0.4">
      <c r="A797" s="5"/>
      <c r="M797" s="4" t="str">
        <f t="shared" si="25"/>
        <v/>
      </c>
    </row>
    <row r="798" spans="1:13" s="3" customFormat="1" ht="13.9" hidden="1" x14ac:dyDescent="0.4">
      <c r="A798" s="5"/>
      <c r="M798" s="4" t="str">
        <f t="shared" si="25"/>
        <v/>
      </c>
    </row>
    <row r="799" spans="1:13" s="3" customFormat="1" ht="13.9" hidden="1" x14ac:dyDescent="0.4">
      <c r="A799" s="5"/>
      <c r="M799" s="4" t="str">
        <f t="shared" si="25"/>
        <v/>
      </c>
    </row>
    <row r="800" spans="1:13" s="3" customFormat="1" ht="13.9" hidden="1" x14ac:dyDescent="0.4">
      <c r="A800" s="5"/>
      <c r="M800" s="4" t="str">
        <f t="shared" si="25"/>
        <v/>
      </c>
    </row>
    <row r="801" spans="1:13" s="3" customFormat="1" ht="13.9" hidden="1" x14ac:dyDescent="0.4">
      <c r="A801" s="5"/>
      <c r="M801" s="4" t="str">
        <f t="shared" si="25"/>
        <v/>
      </c>
    </row>
    <row r="802" spans="1:13" s="3" customFormat="1" ht="13.9" hidden="1" x14ac:dyDescent="0.4">
      <c r="A802" s="5"/>
      <c r="M802" s="4" t="str">
        <f t="shared" si="25"/>
        <v/>
      </c>
    </row>
    <row r="803" spans="1:13" s="3" customFormat="1" ht="13.9" hidden="1" x14ac:dyDescent="0.4">
      <c r="A803" s="5"/>
      <c r="M803" s="4" t="str">
        <f t="shared" si="25"/>
        <v/>
      </c>
    </row>
    <row r="804" spans="1:13" s="3" customFormat="1" ht="13.9" hidden="1" x14ac:dyDescent="0.4">
      <c r="A804" s="5"/>
      <c r="M804" s="4" t="str">
        <f t="shared" si="25"/>
        <v/>
      </c>
    </row>
    <row r="805" spans="1:13" s="3" customFormat="1" ht="13.9" hidden="1" x14ac:dyDescent="0.4">
      <c r="A805" s="5"/>
      <c r="M805" s="4" t="str">
        <f t="shared" si="25"/>
        <v/>
      </c>
    </row>
    <row r="806" spans="1:13" s="3" customFormat="1" ht="13.9" hidden="1" x14ac:dyDescent="0.4">
      <c r="A806" s="5"/>
      <c r="M806" s="4" t="str">
        <f t="shared" si="25"/>
        <v/>
      </c>
    </row>
    <row r="807" spans="1:13" s="3" customFormat="1" ht="13.9" hidden="1" x14ac:dyDescent="0.4">
      <c r="A807" s="5"/>
      <c r="M807" s="4" t="str">
        <f t="shared" si="25"/>
        <v/>
      </c>
    </row>
    <row r="808" spans="1:13" s="3" customFormat="1" ht="13.9" hidden="1" x14ac:dyDescent="0.4">
      <c r="A808" s="5"/>
      <c r="M808" s="4" t="str">
        <f t="shared" si="25"/>
        <v/>
      </c>
    </row>
    <row r="809" spans="1:13" s="3" customFormat="1" ht="13.9" hidden="1" x14ac:dyDescent="0.4">
      <c r="A809" s="5"/>
      <c r="M809" s="4" t="str">
        <f t="shared" si="25"/>
        <v/>
      </c>
    </row>
    <row r="810" spans="1:13" s="3" customFormat="1" ht="13.9" hidden="1" x14ac:dyDescent="0.4">
      <c r="A810" s="5"/>
      <c r="M810" s="4" t="str">
        <f t="shared" si="25"/>
        <v/>
      </c>
    </row>
    <row r="811" spans="1:13" s="3" customFormat="1" ht="13.9" hidden="1" x14ac:dyDescent="0.4">
      <c r="A811" s="5"/>
      <c r="M811" s="4" t="str">
        <f t="shared" si="25"/>
        <v/>
      </c>
    </row>
    <row r="812" spans="1:13" s="3" customFormat="1" ht="13.9" hidden="1" x14ac:dyDescent="0.4">
      <c r="A812" s="5"/>
      <c r="M812" s="4" t="str">
        <f t="shared" si="25"/>
        <v/>
      </c>
    </row>
    <row r="813" spans="1:13" s="3" customFormat="1" ht="13.9" hidden="1" x14ac:dyDescent="0.4">
      <c r="A813" s="5"/>
      <c r="M813" s="4" t="str">
        <f t="shared" si="25"/>
        <v/>
      </c>
    </row>
    <row r="814" spans="1:13" s="3" customFormat="1" ht="13.9" hidden="1" x14ac:dyDescent="0.4">
      <c r="A814" s="5"/>
      <c r="M814" s="4" t="str">
        <f t="shared" si="25"/>
        <v/>
      </c>
    </row>
    <row r="815" spans="1:13" s="3" customFormat="1" ht="13.9" hidden="1" x14ac:dyDescent="0.4">
      <c r="A815" s="5"/>
      <c r="M815" s="4" t="str">
        <f t="shared" si="25"/>
        <v/>
      </c>
    </row>
    <row r="816" spans="1:13" s="3" customFormat="1" ht="13.9" hidden="1" x14ac:dyDescent="0.4">
      <c r="A816" s="5"/>
      <c r="M816" s="4" t="str">
        <f t="shared" si="25"/>
        <v/>
      </c>
    </row>
    <row r="817" spans="1:13" s="3" customFormat="1" ht="13.9" hidden="1" x14ac:dyDescent="0.4">
      <c r="A817" s="5"/>
      <c r="M817" s="4" t="str">
        <f t="shared" si="25"/>
        <v/>
      </c>
    </row>
    <row r="818" spans="1:13" s="3" customFormat="1" ht="13.9" hidden="1" x14ac:dyDescent="0.4">
      <c r="A818" s="5"/>
      <c r="M818" s="4" t="str">
        <f t="shared" si="25"/>
        <v/>
      </c>
    </row>
    <row r="819" spans="1:13" s="3" customFormat="1" ht="13.9" hidden="1" x14ac:dyDescent="0.4">
      <c r="A819" s="5"/>
      <c r="M819" s="4" t="str">
        <f t="shared" si="25"/>
        <v/>
      </c>
    </row>
    <row r="820" spans="1:13" s="3" customFormat="1" ht="13.9" hidden="1" x14ac:dyDescent="0.4">
      <c r="A820" s="5"/>
      <c r="M820" s="4" t="str">
        <f t="shared" si="25"/>
        <v/>
      </c>
    </row>
    <row r="821" spans="1:13" s="3" customFormat="1" ht="13.9" hidden="1" x14ac:dyDescent="0.4">
      <c r="A821" s="5"/>
      <c r="M821" s="4" t="str">
        <f t="shared" si="25"/>
        <v/>
      </c>
    </row>
    <row r="822" spans="1:13" s="3" customFormat="1" ht="13.9" hidden="1" x14ac:dyDescent="0.4">
      <c r="A822" s="5"/>
      <c r="M822" s="4" t="str">
        <f t="shared" si="25"/>
        <v/>
      </c>
    </row>
    <row r="823" spans="1:13" s="3" customFormat="1" ht="13.9" hidden="1" x14ac:dyDescent="0.4">
      <c r="A823" s="5"/>
      <c r="M823" s="4" t="str">
        <f t="shared" si="25"/>
        <v/>
      </c>
    </row>
    <row r="824" spans="1:13" s="3" customFormat="1" ht="13.9" hidden="1" x14ac:dyDescent="0.4">
      <c r="A824" s="5"/>
      <c r="M824" s="4" t="str">
        <f t="shared" si="25"/>
        <v/>
      </c>
    </row>
    <row r="825" spans="1:13" s="3" customFormat="1" ht="13.9" hidden="1" x14ac:dyDescent="0.4">
      <c r="A825" s="5"/>
      <c r="M825" s="4" t="str">
        <f t="shared" si="25"/>
        <v/>
      </c>
    </row>
    <row r="826" spans="1:13" s="3" customFormat="1" ht="13.9" hidden="1" x14ac:dyDescent="0.4">
      <c r="A826" s="5"/>
      <c r="M826" s="4" t="str">
        <f t="shared" si="25"/>
        <v/>
      </c>
    </row>
    <row r="827" spans="1:13" s="3" customFormat="1" ht="13.9" hidden="1" x14ac:dyDescent="0.4">
      <c r="A827" s="5"/>
      <c r="M827" s="4" t="str">
        <f t="shared" si="25"/>
        <v/>
      </c>
    </row>
    <row r="828" spans="1:13" s="3" customFormat="1" ht="13.9" hidden="1" x14ac:dyDescent="0.4">
      <c r="A828" s="5"/>
      <c r="M828" s="4" t="str">
        <f t="shared" si="25"/>
        <v/>
      </c>
    </row>
    <row r="829" spans="1:13" s="3" customFormat="1" ht="13.9" hidden="1" x14ac:dyDescent="0.4">
      <c r="A829" s="5"/>
      <c r="M829" s="4" t="str">
        <f t="shared" si="25"/>
        <v/>
      </c>
    </row>
    <row r="830" spans="1:13" s="3" customFormat="1" ht="13.9" hidden="1" x14ac:dyDescent="0.4">
      <c r="A830" s="5"/>
      <c r="M830" s="4" t="str">
        <f t="shared" si="25"/>
        <v/>
      </c>
    </row>
    <row r="831" spans="1:13" s="3" customFormat="1" ht="13.9" hidden="1" x14ac:dyDescent="0.4">
      <c r="A831" s="5"/>
      <c r="M831" s="4" t="str">
        <f t="shared" si="25"/>
        <v/>
      </c>
    </row>
    <row r="832" spans="1:13" s="3" customFormat="1" ht="13.9" hidden="1" x14ac:dyDescent="0.4">
      <c r="A832" s="5"/>
      <c r="M832" s="4" t="str">
        <f t="shared" si="25"/>
        <v/>
      </c>
    </row>
    <row r="833" spans="1:13" s="3" customFormat="1" ht="13.9" hidden="1" x14ac:dyDescent="0.4">
      <c r="A833" s="5"/>
      <c r="M833" s="4" t="str">
        <f t="shared" si="25"/>
        <v/>
      </c>
    </row>
    <row r="834" spans="1:13" s="3" customFormat="1" ht="13.9" hidden="1" x14ac:dyDescent="0.4">
      <c r="A834" s="5"/>
      <c r="M834" s="4" t="str">
        <f t="shared" si="25"/>
        <v/>
      </c>
    </row>
    <row r="835" spans="1:13" s="3" customFormat="1" ht="13.9" hidden="1" x14ac:dyDescent="0.4">
      <c r="A835" s="5"/>
      <c r="M835" s="4" t="str">
        <f t="shared" si="25"/>
        <v/>
      </c>
    </row>
    <row r="836" spans="1:13" s="3" customFormat="1" ht="13.9" hidden="1" x14ac:dyDescent="0.4">
      <c r="A836" s="5"/>
      <c r="M836" s="4" t="str">
        <f t="shared" si="25"/>
        <v/>
      </c>
    </row>
    <row r="837" spans="1:13" s="3" customFormat="1" ht="13.9" hidden="1" x14ac:dyDescent="0.4">
      <c r="A837" s="5"/>
      <c r="M837" s="4" t="str">
        <f t="shared" ref="M837:M900" si="26">IF(B837&lt;&gt;"","visible","")</f>
        <v/>
      </c>
    </row>
    <row r="838" spans="1:13" s="3" customFormat="1" ht="13.9" hidden="1" x14ac:dyDescent="0.4">
      <c r="A838" s="5"/>
      <c r="M838" s="4" t="str">
        <f t="shared" si="26"/>
        <v/>
      </c>
    </row>
    <row r="839" spans="1:13" s="3" customFormat="1" ht="13.9" hidden="1" x14ac:dyDescent="0.4">
      <c r="A839" s="5"/>
      <c r="M839" s="4" t="str">
        <f t="shared" si="26"/>
        <v/>
      </c>
    </row>
    <row r="840" spans="1:13" s="3" customFormat="1" ht="13.9" hidden="1" x14ac:dyDescent="0.4">
      <c r="A840" s="5"/>
      <c r="M840" s="4" t="str">
        <f t="shared" si="26"/>
        <v/>
      </c>
    </row>
    <row r="841" spans="1:13" s="3" customFormat="1" ht="13.9" hidden="1" x14ac:dyDescent="0.4">
      <c r="A841" s="5"/>
      <c r="M841" s="4" t="str">
        <f t="shared" si="26"/>
        <v/>
      </c>
    </row>
    <row r="842" spans="1:13" s="3" customFormat="1" ht="13.9" hidden="1" x14ac:dyDescent="0.4">
      <c r="A842" s="5"/>
      <c r="M842" s="4" t="str">
        <f t="shared" si="26"/>
        <v/>
      </c>
    </row>
    <row r="843" spans="1:13" s="3" customFormat="1" ht="13.9" hidden="1" x14ac:dyDescent="0.4">
      <c r="A843" s="5"/>
      <c r="M843" s="4" t="str">
        <f t="shared" si="26"/>
        <v/>
      </c>
    </row>
    <row r="844" spans="1:13" s="3" customFormat="1" ht="13.9" hidden="1" x14ac:dyDescent="0.4">
      <c r="A844" s="5"/>
      <c r="M844" s="4" t="str">
        <f t="shared" si="26"/>
        <v/>
      </c>
    </row>
    <row r="845" spans="1:13" s="3" customFormat="1" ht="13.9" hidden="1" x14ac:dyDescent="0.4">
      <c r="A845" s="5"/>
      <c r="M845" s="4" t="str">
        <f t="shared" si="26"/>
        <v/>
      </c>
    </row>
    <row r="846" spans="1:13" s="3" customFormat="1" ht="13.9" hidden="1" x14ac:dyDescent="0.4">
      <c r="A846" s="5"/>
      <c r="M846" s="4" t="str">
        <f t="shared" si="26"/>
        <v/>
      </c>
    </row>
    <row r="847" spans="1:13" s="3" customFormat="1" ht="13.9" hidden="1" x14ac:dyDescent="0.4">
      <c r="A847" s="5"/>
      <c r="M847" s="4" t="str">
        <f t="shared" si="26"/>
        <v/>
      </c>
    </row>
    <row r="848" spans="1:13" s="3" customFormat="1" ht="13.9" hidden="1" x14ac:dyDescent="0.4">
      <c r="A848" s="5"/>
      <c r="M848" s="4" t="str">
        <f t="shared" si="26"/>
        <v/>
      </c>
    </row>
    <row r="849" spans="1:13" s="3" customFormat="1" ht="13.9" hidden="1" x14ac:dyDescent="0.4">
      <c r="A849" s="5"/>
      <c r="M849" s="4" t="str">
        <f t="shared" si="26"/>
        <v/>
      </c>
    </row>
    <row r="850" spans="1:13" s="3" customFormat="1" ht="13.9" hidden="1" x14ac:dyDescent="0.4">
      <c r="A850" s="5"/>
      <c r="M850" s="4" t="str">
        <f t="shared" si="26"/>
        <v/>
      </c>
    </row>
    <row r="851" spans="1:13" s="3" customFormat="1" ht="13.9" hidden="1" x14ac:dyDescent="0.4">
      <c r="A851" s="5"/>
      <c r="M851" s="4" t="str">
        <f t="shared" si="26"/>
        <v/>
      </c>
    </row>
    <row r="852" spans="1:13" s="3" customFormat="1" ht="13.9" hidden="1" x14ac:dyDescent="0.4">
      <c r="A852" s="5"/>
      <c r="M852" s="4" t="str">
        <f t="shared" si="26"/>
        <v/>
      </c>
    </row>
    <row r="853" spans="1:13" s="3" customFormat="1" ht="13.9" hidden="1" x14ac:dyDescent="0.4">
      <c r="A853" s="5"/>
      <c r="M853" s="4" t="str">
        <f t="shared" si="26"/>
        <v/>
      </c>
    </row>
    <row r="854" spans="1:13" s="3" customFormat="1" ht="13.9" hidden="1" x14ac:dyDescent="0.4">
      <c r="A854" s="5"/>
      <c r="M854" s="4" t="str">
        <f t="shared" si="26"/>
        <v/>
      </c>
    </row>
    <row r="855" spans="1:13" s="3" customFormat="1" ht="13.9" hidden="1" x14ac:dyDescent="0.4">
      <c r="A855" s="5"/>
      <c r="M855" s="4" t="str">
        <f t="shared" si="26"/>
        <v/>
      </c>
    </row>
    <row r="856" spans="1:13" s="3" customFormat="1" ht="13.9" hidden="1" x14ac:dyDescent="0.4">
      <c r="A856" s="5"/>
      <c r="M856" s="4" t="str">
        <f t="shared" si="26"/>
        <v/>
      </c>
    </row>
    <row r="857" spans="1:13" s="3" customFormat="1" ht="13.9" hidden="1" x14ac:dyDescent="0.4">
      <c r="A857" s="5"/>
      <c r="M857" s="4" t="str">
        <f t="shared" si="26"/>
        <v/>
      </c>
    </row>
    <row r="858" spans="1:13" s="3" customFormat="1" ht="13.9" hidden="1" x14ac:dyDescent="0.4">
      <c r="A858" s="5"/>
      <c r="M858" s="4" t="str">
        <f t="shared" si="26"/>
        <v/>
      </c>
    </row>
    <row r="859" spans="1:13" s="3" customFormat="1" ht="13.9" hidden="1" x14ac:dyDescent="0.4">
      <c r="A859" s="5"/>
      <c r="M859" s="4" t="str">
        <f t="shared" si="26"/>
        <v/>
      </c>
    </row>
    <row r="860" spans="1:13" s="3" customFormat="1" ht="13.9" hidden="1" x14ac:dyDescent="0.4">
      <c r="A860" s="5"/>
      <c r="M860" s="4" t="str">
        <f t="shared" si="26"/>
        <v/>
      </c>
    </row>
    <row r="861" spans="1:13" s="3" customFormat="1" ht="13.9" hidden="1" x14ac:dyDescent="0.4">
      <c r="A861" s="5"/>
      <c r="M861" s="4" t="str">
        <f t="shared" si="26"/>
        <v/>
      </c>
    </row>
    <row r="862" spans="1:13" s="3" customFormat="1" ht="13.9" hidden="1" x14ac:dyDescent="0.4">
      <c r="A862" s="5"/>
      <c r="M862" s="4" t="str">
        <f t="shared" si="26"/>
        <v/>
      </c>
    </row>
    <row r="863" spans="1:13" s="3" customFormat="1" ht="13.9" hidden="1" x14ac:dyDescent="0.4">
      <c r="A863" s="5"/>
      <c r="M863" s="4" t="str">
        <f t="shared" si="26"/>
        <v/>
      </c>
    </row>
    <row r="864" spans="1:13" s="3" customFormat="1" ht="13.9" hidden="1" x14ac:dyDescent="0.4">
      <c r="A864" s="5"/>
      <c r="M864" s="4" t="str">
        <f t="shared" si="26"/>
        <v/>
      </c>
    </row>
    <row r="865" spans="1:13" s="3" customFormat="1" ht="13.9" hidden="1" x14ac:dyDescent="0.4">
      <c r="A865" s="5"/>
      <c r="M865" s="4" t="str">
        <f t="shared" si="26"/>
        <v/>
      </c>
    </row>
    <row r="866" spans="1:13" s="3" customFormat="1" ht="13.9" hidden="1" x14ac:dyDescent="0.4">
      <c r="A866" s="5"/>
      <c r="M866" s="4" t="str">
        <f t="shared" si="26"/>
        <v/>
      </c>
    </row>
    <row r="867" spans="1:13" s="3" customFormat="1" ht="13.9" hidden="1" x14ac:dyDescent="0.4">
      <c r="A867" s="5"/>
      <c r="M867" s="4" t="str">
        <f t="shared" si="26"/>
        <v/>
      </c>
    </row>
    <row r="868" spans="1:13" s="3" customFormat="1" ht="13.9" hidden="1" x14ac:dyDescent="0.4">
      <c r="A868" s="5"/>
      <c r="M868" s="4" t="str">
        <f t="shared" si="26"/>
        <v/>
      </c>
    </row>
    <row r="869" spans="1:13" s="3" customFormat="1" ht="13.9" hidden="1" x14ac:dyDescent="0.4">
      <c r="A869" s="5"/>
      <c r="M869" s="4" t="str">
        <f t="shared" si="26"/>
        <v/>
      </c>
    </row>
    <row r="870" spans="1:13" s="3" customFormat="1" ht="13.9" hidden="1" x14ac:dyDescent="0.4">
      <c r="A870" s="5"/>
      <c r="M870" s="4" t="str">
        <f t="shared" si="26"/>
        <v/>
      </c>
    </row>
    <row r="871" spans="1:13" s="3" customFormat="1" ht="13.9" hidden="1" x14ac:dyDescent="0.4">
      <c r="A871" s="5"/>
      <c r="M871" s="4" t="str">
        <f t="shared" si="26"/>
        <v/>
      </c>
    </row>
    <row r="872" spans="1:13" s="3" customFormat="1" ht="13.9" hidden="1" x14ac:dyDescent="0.4">
      <c r="A872" s="5"/>
      <c r="M872" s="4" t="str">
        <f t="shared" si="26"/>
        <v/>
      </c>
    </row>
    <row r="873" spans="1:13" s="3" customFormat="1" ht="13.9" hidden="1" x14ac:dyDescent="0.4">
      <c r="A873" s="5"/>
      <c r="M873" s="4" t="str">
        <f t="shared" si="26"/>
        <v/>
      </c>
    </row>
    <row r="874" spans="1:13" s="3" customFormat="1" ht="13.9" hidden="1" x14ac:dyDescent="0.4">
      <c r="A874" s="5"/>
      <c r="M874" s="4" t="str">
        <f t="shared" si="26"/>
        <v/>
      </c>
    </row>
    <row r="875" spans="1:13" s="3" customFormat="1" ht="13.9" hidden="1" x14ac:dyDescent="0.4">
      <c r="A875" s="5"/>
      <c r="M875" s="4" t="str">
        <f t="shared" si="26"/>
        <v/>
      </c>
    </row>
    <row r="876" spans="1:13" s="3" customFormat="1" ht="13.9" hidden="1" x14ac:dyDescent="0.4">
      <c r="A876" s="5"/>
      <c r="M876" s="4" t="str">
        <f t="shared" si="26"/>
        <v/>
      </c>
    </row>
    <row r="877" spans="1:13" s="3" customFormat="1" ht="13.9" hidden="1" x14ac:dyDescent="0.4">
      <c r="A877" s="5"/>
      <c r="M877" s="4" t="str">
        <f t="shared" si="26"/>
        <v/>
      </c>
    </row>
    <row r="878" spans="1:13" s="3" customFormat="1" ht="13.9" hidden="1" x14ac:dyDescent="0.4">
      <c r="A878" s="5"/>
      <c r="M878" s="4" t="str">
        <f t="shared" si="26"/>
        <v/>
      </c>
    </row>
    <row r="879" spans="1:13" s="3" customFormat="1" ht="13.9" hidden="1" x14ac:dyDescent="0.4">
      <c r="A879" s="5"/>
      <c r="M879" s="4" t="str">
        <f t="shared" si="26"/>
        <v/>
      </c>
    </row>
    <row r="880" spans="1:13" s="3" customFormat="1" ht="13.9" hidden="1" x14ac:dyDescent="0.4">
      <c r="A880" s="5"/>
      <c r="M880" s="4" t="str">
        <f t="shared" si="26"/>
        <v/>
      </c>
    </row>
    <row r="881" spans="1:13" s="3" customFormat="1" ht="13.9" hidden="1" x14ac:dyDescent="0.4">
      <c r="A881" s="5"/>
      <c r="M881" s="4" t="str">
        <f t="shared" si="26"/>
        <v/>
      </c>
    </row>
    <row r="882" spans="1:13" s="3" customFormat="1" ht="13.9" hidden="1" x14ac:dyDescent="0.4">
      <c r="A882" s="5"/>
      <c r="M882" s="4" t="str">
        <f t="shared" si="26"/>
        <v/>
      </c>
    </row>
    <row r="883" spans="1:13" s="3" customFormat="1" ht="13.9" hidden="1" x14ac:dyDescent="0.4">
      <c r="A883" s="5"/>
      <c r="M883" s="4" t="str">
        <f t="shared" si="26"/>
        <v/>
      </c>
    </row>
    <row r="884" spans="1:13" s="3" customFormat="1" ht="13.9" hidden="1" x14ac:dyDescent="0.4">
      <c r="A884" s="5"/>
      <c r="M884" s="4" t="str">
        <f t="shared" si="26"/>
        <v/>
      </c>
    </row>
    <row r="885" spans="1:13" s="3" customFormat="1" ht="13.9" hidden="1" x14ac:dyDescent="0.4">
      <c r="A885" s="5"/>
      <c r="M885" s="4" t="str">
        <f t="shared" si="26"/>
        <v/>
      </c>
    </row>
    <row r="886" spans="1:13" s="3" customFormat="1" ht="13.9" hidden="1" x14ac:dyDescent="0.4">
      <c r="A886" s="5"/>
      <c r="M886" s="4" t="str">
        <f t="shared" si="26"/>
        <v/>
      </c>
    </row>
    <row r="887" spans="1:13" s="3" customFormat="1" ht="13.9" hidden="1" x14ac:dyDescent="0.4">
      <c r="A887" s="5"/>
      <c r="M887" s="4" t="str">
        <f t="shared" si="26"/>
        <v/>
      </c>
    </row>
    <row r="888" spans="1:13" s="3" customFormat="1" ht="13.9" hidden="1" x14ac:dyDescent="0.4">
      <c r="A888" s="5"/>
      <c r="M888" s="4" t="str">
        <f t="shared" si="26"/>
        <v/>
      </c>
    </row>
    <row r="889" spans="1:13" s="3" customFormat="1" ht="13.9" hidden="1" x14ac:dyDescent="0.4">
      <c r="A889" s="5"/>
      <c r="M889" s="4" t="str">
        <f t="shared" si="26"/>
        <v/>
      </c>
    </row>
    <row r="890" spans="1:13" s="3" customFormat="1" ht="13.9" hidden="1" x14ac:dyDescent="0.4">
      <c r="A890" s="5"/>
      <c r="M890" s="4" t="str">
        <f t="shared" si="26"/>
        <v/>
      </c>
    </row>
    <row r="891" spans="1:13" s="3" customFormat="1" ht="13.9" hidden="1" x14ac:dyDescent="0.4">
      <c r="A891" s="5"/>
      <c r="M891" s="4" t="str">
        <f t="shared" si="26"/>
        <v/>
      </c>
    </row>
    <row r="892" spans="1:13" s="3" customFormat="1" ht="13.9" hidden="1" x14ac:dyDescent="0.4">
      <c r="A892" s="5"/>
      <c r="M892" s="4" t="str">
        <f t="shared" si="26"/>
        <v/>
      </c>
    </row>
    <row r="893" spans="1:13" s="3" customFormat="1" ht="13.9" hidden="1" x14ac:dyDescent="0.4">
      <c r="A893" s="5"/>
      <c r="M893" s="4" t="str">
        <f t="shared" si="26"/>
        <v/>
      </c>
    </row>
    <row r="894" spans="1:13" s="3" customFormat="1" ht="13.9" hidden="1" x14ac:dyDescent="0.4">
      <c r="A894" s="5"/>
      <c r="M894" s="4" t="str">
        <f t="shared" si="26"/>
        <v/>
      </c>
    </row>
    <row r="895" spans="1:13" s="3" customFormat="1" ht="13.9" hidden="1" x14ac:dyDescent="0.4">
      <c r="A895" s="5"/>
      <c r="M895" s="4" t="str">
        <f t="shared" si="26"/>
        <v/>
      </c>
    </row>
    <row r="896" spans="1:13" s="3" customFormat="1" ht="13.9" hidden="1" x14ac:dyDescent="0.4">
      <c r="A896" s="5"/>
      <c r="M896" s="4" t="str">
        <f t="shared" si="26"/>
        <v/>
      </c>
    </row>
    <row r="897" spans="1:13" s="3" customFormat="1" ht="13.9" hidden="1" x14ac:dyDescent="0.4">
      <c r="A897" s="5"/>
      <c r="M897" s="4" t="str">
        <f t="shared" si="26"/>
        <v/>
      </c>
    </row>
    <row r="898" spans="1:13" s="3" customFormat="1" ht="13.9" hidden="1" x14ac:dyDescent="0.4">
      <c r="A898" s="5"/>
      <c r="M898" s="4" t="str">
        <f t="shared" si="26"/>
        <v/>
      </c>
    </row>
    <row r="899" spans="1:13" s="3" customFormat="1" ht="13.9" hidden="1" x14ac:dyDescent="0.4">
      <c r="A899" s="5"/>
      <c r="M899" s="4" t="str">
        <f t="shared" si="26"/>
        <v/>
      </c>
    </row>
    <row r="900" spans="1:13" s="3" customFormat="1" ht="13.9" hidden="1" x14ac:dyDescent="0.4">
      <c r="A900" s="5"/>
      <c r="M900" s="4" t="str">
        <f t="shared" si="26"/>
        <v/>
      </c>
    </row>
    <row r="901" spans="1:13" s="3" customFormat="1" ht="13.9" hidden="1" x14ac:dyDescent="0.4">
      <c r="A901" s="5"/>
      <c r="M901" s="4" t="str">
        <f t="shared" ref="M901:M964" si="27">IF(B901&lt;&gt;"","visible","")</f>
        <v/>
      </c>
    </row>
    <row r="902" spans="1:13" s="3" customFormat="1" ht="13.9" hidden="1" x14ac:dyDescent="0.4">
      <c r="A902" s="5"/>
      <c r="M902" s="4" t="str">
        <f t="shared" si="27"/>
        <v/>
      </c>
    </row>
    <row r="903" spans="1:13" s="3" customFormat="1" ht="13.9" hidden="1" x14ac:dyDescent="0.4">
      <c r="A903" s="5"/>
      <c r="M903" s="4" t="str">
        <f t="shared" si="27"/>
        <v/>
      </c>
    </row>
    <row r="904" spans="1:13" s="3" customFormat="1" ht="13.9" hidden="1" x14ac:dyDescent="0.4">
      <c r="A904" s="5"/>
      <c r="M904" s="4" t="str">
        <f t="shared" si="27"/>
        <v/>
      </c>
    </row>
    <row r="905" spans="1:13" s="3" customFormat="1" ht="13.9" hidden="1" x14ac:dyDescent="0.4">
      <c r="A905" s="5"/>
      <c r="M905" s="4" t="str">
        <f t="shared" si="27"/>
        <v/>
      </c>
    </row>
    <row r="906" spans="1:13" s="3" customFormat="1" ht="13.9" hidden="1" x14ac:dyDescent="0.4">
      <c r="A906" s="5"/>
      <c r="M906" s="4" t="str">
        <f t="shared" si="27"/>
        <v/>
      </c>
    </row>
    <row r="907" spans="1:13" s="3" customFormat="1" ht="13.9" hidden="1" x14ac:dyDescent="0.4">
      <c r="A907" s="5"/>
      <c r="M907" s="4" t="str">
        <f t="shared" si="27"/>
        <v/>
      </c>
    </row>
    <row r="908" spans="1:13" s="3" customFormat="1" ht="13.9" hidden="1" x14ac:dyDescent="0.4">
      <c r="A908" s="5"/>
      <c r="M908" s="4" t="str">
        <f t="shared" si="27"/>
        <v/>
      </c>
    </row>
    <row r="909" spans="1:13" s="3" customFormat="1" ht="13.9" hidden="1" x14ac:dyDescent="0.4">
      <c r="A909" s="5"/>
      <c r="M909" s="4" t="str">
        <f t="shared" si="27"/>
        <v/>
      </c>
    </row>
    <row r="910" spans="1:13" s="3" customFormat="1" ht="13.9" hidden="1" x14ac:dyDescent="0.4">
      <c r="A910" s="5"/>
      <c r="M910" s="4" t="str">
        <f t="shared" si="27"/>
        <v/>
      </c>
    </row>
    <row r="911" spans="1:13" s="3" customFormat="1" ht="13.9" hidden="1" x14ac:dyDescent="0.4">
      <c r="A911" s="5"/>
      <c r="M911" s="4" t="str">
        <f t="shared" si="27"/>
        <v/>
      </c>
    </row>
    <row r="912" spans="1:13" s="3" customFormat="1" ht="13.9" hidden="1" x14ac:dyDescent="0.4">
      <c r="A912" s="5"/>
      <c r="M912" s="4" t="str">
        <f t="shared" si="27"/>
        <v/>
      </c>
    </row>
    <row r="913" spans="1:13" s="3" customFormat="1" ht="13.9" hidden="1" x14ac:dyDescent="0.4">
      <c r="A913" s="5"/>
      <c r="M913" s="4" t="str">
        <f t="shared" si="27"/>
        <v/>
      </c>
    </row>
    <row r="914" spans="1:13" s="3" customFormat="1" ht="13.9" hidden="1" x14ac:dyDescent="0.4">
      <c r="A914" s="5"/>
      <c r="M914" s="4" t="str">
        <f t="shared" si="27"/>
        <v/>
      </c>
    </row>
    <row r="915" spans="1:13" s="3" customFormat="1" ht="13.9" hidden="1" x14ac:dyDescent="0.4">
      <c r="A915" s="5"/>
      <c r="M915" s="4" t="str">
        <f t="shared" si="27"/>
        <v/>
      </c>
    </row>
    <row r="916" spans="1:13" s="3" customFormat="1" ht="13.9" hidden="1" x14ac:dyDescent="0.4">
      <c r="A916" s="5"/>
      <c r="M916" s="4" t="str">
        <f t="shared" si="27"/>
        <v/>
      </c>
    </row>
    <row r="917" spans="1:13" s="3" customFormat="1" ht="13.9" hidden="1" x14ac:dyDescent="0.4">
      <c r="A917" s="5"/>
      <c r="M917" s="4" t="str">
        <f t="shared" si="27"/>
        <v/>
      </c>
    </row>
    <row r="918" spans="1:13" s="3" customFormat="1" ht="13.9" hidden="1" x14ac:dyDescent="0.4">
      <c r="A918" s="5"/>
      <c r="M918" s="4" t="str">
        <f t="shared" si="27"/>
        <v/>
      </c>
    </row>
    <row r="919" spans="1:13" s="3" customFormat="1" ht="13.9" hidden="1" x14ac:dyDescent="0.4">
      <c r="A919" s="5"/>
      <c r="M919" s="4" t="str">
        <f t="shared" si="27"/>
        <v/>
      </c>
    </row>
    <row r="920" spans="1:13" s="3" customFormat="1" ht="13.9" hidden="1" x14ac:dyDescent="0.4">
      <c r="A920" s="5"/>
      <c r="M920" s="4" t="str">
        <f t="shared" si="27"/>
        <v/>
      </c>
    </row>
    <row r="921" spans="1:13" s="3" customFormat="1" ht="13.9" hidden="1" x14ac:dyDescent="0.4">
      <c r="A921" s="5"/>
      <c r="M921" s="4" t="str">
        <f t="shared" si="27"/>
        <v/>
      </c>
    </row>
    <row r="922" spans="1:13" s="3" customFormat="1" ht="13.9" hidden="1" x14ac:dyDescent="0.4">
      <c r="A922" s="5"/>
      <c r="M922" s="4" t="str">
        <f t="shared" si="27"/>
        <v/>
      </c>
    </row>
    <row r="923" spans="1:13" s="3" customFormat="1" ht="13.9" hidden="1" x14ac:dyDescent="0.4">
      <c r="A923" s="5"/>
      <c r="M923" s="4" t="str">
        <f t="shared" si="27"/>
        <v/>
      </c>
    </row>
    <row r="924" spans="1:13" s="3" customFormat="1" ht="13.9" hidden="1" x14ac:dyDescent="0.4">
      <c r="A924" s="5"/>
      <c r="M924" s="4" t="str">
        <f t="shared" si="27"/>
        <v/>
      </c>
    </row>
    <row r="925" spans="1:13" s="3" customFormat="1" ht="13.9" hidden="1" x14ac:dyDescent="0.4">
      <c r="A925" s="5"/>
      <c r="M925" s="4" t="str">
        <f t="shared" si="27"/>
        <v/>
      </c>
    </row>
    <row r="926" spans="1:13" s="3" customFormat="1" ht="13.9" hidden="1" x14ac:dyDescent="0.4">
      <c r="A926" s="5"/>
      <c r="M926" s="4" t="str">
        <f t="shared" si="27"/>
        <v/>
      </c>
    </row>
    <row r="927" spans="1:13" s="3" customFormat="1" ht="13.9" hidden="1" x14ac:dyDescent="0.4">
      <c r="A927" s="5"/>
      <c r="M927" s="4" t="str">
        <f t="shared" si="27"/>
        <v/>
      </c>
    </row>
    <row r="928" spans="1:13" s="3" customFormat="1" ht="13.9" hidden="1" x14ac:dyDescent="0.4">
      <c r="A928" s="5"/>
      <c r="M928" s="4" t="str">
        <f t="shared" si="27"/>
        <v/>
      </c>
    </row>
    <row r="929" spans="1:13" s="3" customFormat="1" ht="13.9" hidden="1" x14ac:dyDescent="0.4">
      <c r="A929" s="5"/>
      <c r="M929" s="4" t="str">
        <f t="shared" si="27"/>
        <v/>
      </c>
    </row>
    <row r="930" spans="1:13" s="3" customFormat="1" ht="13.9" hidden="1" x14ac:dyDescent="0.4">
      <c r="A930" s="5"/>
      <c r="M930" s="4" t="str">
        <f t="shared" si="27"/>
        <v/>
      </c>
    </row>
    <row r="931" spans="1:13" s="3" customFormat="1" ht="13.9" hidden="1" x14ac:dyDescent="0.4">
      <c r="A931" s="5"/>
      <c r="M931" s="4" t="str">
        <f t="shared" si="27"/>
        <v/>
      </c>
    </row>
    <row r="932" spans="1:13" s="3" customFormat="1" ht="13.9" hidden="1" x14ac:dyDescent="0.4">
      <c r="A932" s="5"/>
      <c r="M932" s="4" t="str">
        <f t="shared" si="27"/>
        <v/>
      </c>
    </row>
    <row r="933" spans="1:13" s="3" customFormat="1" ht="13.9" hidden="1" x14ac:dyDescent="0.4">
      <c r="A933" s="5"/>
      <c r="M933" s="4" t="str">
        <f t="shared" si="27"/>
        <v/>
      </c>
    </row>
    <row r="934" spans="1:13" s="3" customFormat="1" ht="13.9" hidden="1" x14ac:dyDescent="0.4">
      <c r="A934" s="5"/>
      <c r="M934" s="4" t="str">
        <f t="shared" si="27"/>
        <v/>
      </c>
    </row>
    <row r="935" spans="1:13" s="3" customFormat="1" ht="13.9" hidden="1" x14ac:dyDescent="0.4">
      <c r="A935" s="5"/>
      <c r="M935" s="4" t="str">
        <f t="shared" si="27"/>
        <v/>
      </c>
    </row>
    <row r="936" spans="1:13" s="3" customFormat="1" ht="13.9" hidden="1" x14ac:dyDescent="0.4">
      <c r="A936" s="5"/>
      <c r="M936" s="4" t="str">
        <f t="shared" si="27"/>
        <v/>
      </c>
    </row>
    <row r="937" spans="1:13" s="3" customFormat="1" ht="13.9" hidden="1" x14ac:dyDescent="0.4">
      <c r="A937" s="5"/>
      <c r="M937" s="4" t="str">
        <f t="shared" si="27"/>
        <v/>
      </c>
    </row>
    <row r="938" spans="1:13" s="3" customFormat="1" ht="13.9" hidden="1" x14ac:dyDescent="0.4">
      <c r="A938" s="5"/>
      <c r="M938" s="4" t="str">
        <f t="shared" si="27"/>
        <v/>
      </c>
    </row>
    <row r="939" spans="1:13" s="3" customFormat="1" ht="13.9" hidden="1" x14ac:dyDescent="0.4">
      <c r="A939" s="5"/>
      <c r="M939" s="4" t="str">
        <f t="shared" si="27"/>
        <v/>
      </c>
    </row>
    <row r="940" spans="1:13" s="3" customFormat="1" ht="13.9" hidden="1" x14ac:dyDescent="0.4">
      <c r="A940" s="5"/>
      <c r="M940" s="4" t="str">
        <f t="shared" si="27"/>
        <v/>
      </c>
    </row>
    <row r="941" spans="1:13" s="3" customFormat="1" ht="13.9" hidden="1" x14ac:dyDescent="0.4">
      <c r="A941" s="5"/>
      <c r="M941" s="4" t="str">
        <f t="shared" si="27"/>
        <v/>
      </c>
    </row>
    <row r="942" spans="1:13" s="3" customFormat="1" ht="13.9" hidden="1" x14ac:dyDescent="0.4">
      <c r="A942" s="5"/>
      <c r="M942" s="4" t="str">
        <f t="shared" si="27"/>
        <v/>
      </c>
    </row>
    <row r="943" spans="1:13" s="3" customFormat="1" ht="13.9" hidden="1" x14ac:dyDescent="0.4">
      <c r="A943" s="5"/>
      <c r="M943" s="4" t="str">
        <f t="shared" si="27"/>
        <v/>
      </c>
    </row>
    <row r="944" spans="1:13" s="3" customFormat="1" ht="13.9" hidden="1" x14ac:dyDescent="0.4">
      <c r="A944" s="5"/>
      <c r="M944" s="4" t="str">
        <f t="shared" si="27"/>
        <v/>
      </c>
    </row>
    <row r="945" spans="1:13" s="3" customFormat="1" ht="13.9" hidden="1" x14ac:dyDescent="0.4">
      <c r="A945" s="5"/>
      <c r="M945" s="4" t="str">
        <f t="shared" si="27"/>
        <v/>
      </c>
    </row>
    <row r="946" spans="1:13" s="3" customFormat="1" ht="13.9" hidden="1" x14ac:dyDescent="0.4">
      <c r="A946" s="5"/>
      <c r="M946" s="4" t="str">
        <f t="shared" si="27"/>
        <v/>
      </c>
    </row>
    <row r="947" spans="1:13" s="3" customFormat="1" ht="13.9" hidden="1" x14ac:dyDescent="0.4">
      <c r="A947" s="5"/>
      <c r="M947" s="4" t="str">
        <f t="shared" si="27"/>
        <v/>
      </c>
    </row>
    <row r="948" spans="1:13" s="3" customFormat="1" ht="13.9" hidden="1" x14ac:dyDescent="0.4">
      <c r="A948" s="5"/>
      <c r="M948" s="4" t="str">
        <f t="shared" si="27"/>
        <v/>
      </c>
    </row>
    <row r="949" spans="1:13" s="3" customFormat="1" ht="13.9" hidden="1" x14ac:dyDescent="0.4">
      <c r="A949" s="5"/>
      <c r="M949" s="4" t="str">
        <f t="shared" si="27"/>
        <v/>
      </c>
    </row>
    <row r="950" spans="1:13" s="3" customFormat="1" ht="13.9" hidden="1" x14ac:dyDescent="0.4">
      <c r="A950" s="5"/>
      <c r="M950" s="4" t="str">
        <f t="shared" si="27"/>
        <v/>
      </c>
    </row>
    <row r="951" spans="1:13" s="3" customFormat="1" ht="13.9" hidden="1" x14ac:dyDescent="0.4">
      <c r="A951" s="5"/>
      <c r="M951" s="4" t="str">
        <f t="shared" si="27"/>
        <v/>
      </c>
    </row>
    <row r="952" spans="1:13" s="3" customFormat="1" ht="13.9" hidden="1" x14ac:dyDescent="0.4">
      <c r="A952" s="5"/>
      <c r="M952" s="4" t="str">
        <f t="shared" si="27"/>
        <v/>
      </c>
    </row>
    <row r="953" spans="1:13" s="3" customFormat="1" ht="13.9" hidden="1" x14ac:dyDescent="0.4">
      <c r="A953" s="5"/>
      <c r="M953" s="4" t="str">
        <f t="shared" si="27"/>
        <v/>
      </c>
    </row>
    <row r="954" spans="1:13" s="3" customFormat="1" ht="13.9" hidden="1" x14ac:dyDescent="0.4">
      <c r="A954" s="5"/>
      <c r="M954" s="4" t="str">
        <f t="shared" si="27"/>
        <v/>
      </c>
    </row>
    <row r="955" spans="1:13" s="3" customFormat="1" ht="13.9" hidden="1" x14ac:dyDescent="0.4">
      <c r="A955" s="5"/>
      <c r="M955" s="4" t="str">
        <f t="shared" si="27"/>
        <v/>
      </c>
    </row>
    <row r="956" spans="1:13" s="3" customFormat="1" ht="13.9" hidden="1" x14ac:dyDescent="0.4">
      <c r="A956" s="5"/>
      <c r="M956" s="4" t="str">
        <f t="shared" si="27"/>
        <v/>
      </c>
    </row>
    <row r="957" spans="1:13" s="3" customFormat="1" ht="13.9" hidden="1" x14ac:dyDescent="0.4">
      <c r="A957" s="5"/>
      <c r="M957" s="4" t="str">
        <f t="shared" si="27"/>
        <v/>
      </c>
    </row>
    <row r="958" spans="1:13" s="3" customFormat="1" ht="13.9" hidden="1" x14ac:dyDescent="0.4">
      <c r="A958" s="5"/>
      <c r="M958" s="4" t="str">
        <f t="shared" si="27"/>
        <v/>
      </c>
    </row>
    <row r="959" spans="1:13" s="3" customFormat="1" ht="13.9" hidden="1" x14ac:dyDescent="0.4">
      <c r="A959" s="5"/>
      <c r="M959" s="4" t="str">
        <f t="shared" si="27"/>
        <v/>
      </c>
    </row>
    <row r="960" spans="1:13" s="3" customFormat="1" ht="13.9" hidden="1" x14ac:dyDescent="0.4">
      <c r="A960" s="5"/>
      <c r="M960" s="4" t="str">
        <f t="shared" si="27"/>
        <v/>
      </c>
    </row>
    <row r="961" spans="1:13" s="3" customFormat="1" ht="13.9" hidden="1" x14ac:dyDescent="0.4">
      <c r="A961" s="5"/>
      <c r="M961" s="4" t="str">
        <f t="shared" si="27"/>
        <v/>
      </c>
    </row>
    <row r="962" spans="1:13" s="3" customFormat="1" ht="13.9" hidden="1" x14ac:dyDescent="0.4">
      <c r="A962" s="5"/>
      <c r="M962" s="4" t="str">
        <f t="shared" si="27"/>
        <v/>
      </c>
    </row>
    <row r="963" spans="1:13" s="3" customFormat="1" ht="13.9" hidden="1" x14ac:dyDescent="0.4">
      <c r="A963" s="5"/>
      <c r="M963" s="4" t="str">
        <f t="shared" si="27"/>
        <v/>
      </c>
    </row>
    <row r="964" spans="1:13" s="3" customFormat="1" ht="13.9" hidden="1" x14ac:dyDescent="0.4">
      <c r="A964" s="5"/>
      <c r="M964" s="4" t="str">
        <f t="shared" si="27"/>
        <v/>
      </c>
    </row>
    <row r="965" spans="1:13" s="3" customFormat="1" ht="13.9" hidden="1" x14ac:dyDescent="0.4">
      <c r="A965" s="5"/>
      <c r="M965" s="4" t="str">
        <f t="shared" ref="M965:M1010" si="28">IF(B965&lt;&gt;"","visible","")</f>
        <v/>
      </c>
    </row>
    <row r="966" spans="1:13" s="3" customFormat="1" ht="13.9" hidden="1" x14ac:dyDescent="0.4">
      <c r="A966" s="5"/>
      <c r="M966" s="4" t="str">
        <f t="shared" si="28"/>
        <v/>
      </c>
    </row>
    <row r="967" spans="1:13" s="3" customFormat="1" ht="13.9" hidden="1" x14ac:dyDescent="0.4">
      <c r="A967" s="5"/>
      <c r="M967" s="4" t="str">
        <f t="shared" si="28"/>
        <v/>
      </c>
    </row>
    <row r="968" spans="1:13" s="3" customFormat="1" ht="13.9" hidden="1" x14ac:dyDescent="0.4">
      <c r="A968" s="5"/>
      <c r="M968" s="4" t="str">
        <f t="shared" si="28"/>
        <v/>
      </c>
    </row>
    <row r="969" spans="1:13" s="3" customFormat="1" ht="13.9" hidden="1" x14ac:dyDescent="0.4">
      <c r="A969" s="5"/>
      <c r="M969" s="4" t="str">
        <f t="shared" si="28"/>
        <v/>
      </c>
    </row>
    <row r="970" spans="1:13" s="3" customFormat="1" ht="13.9" hidden="1" x14ac:dyDescent="0.4">
      <c r="A970" s="5"/>
      <c r="M970" s="4" t="str">
        <f t="shared" si="28"/>
        <v/>
      </c>
    </row>
    <row r="971" spans="1:13" s="3" customFormat="1" ht="13.9" hidden="1" x14ac:dyDescent="0.4">
      <c r="A971" s="5"/>
      <c r="M971" s="4" t="str">
        <f t="shared" si="28"/>
        <v/>
      </c>
    </row>
    <row r="972" spans="1:13" s="3" customFormat="1" ht="13.9" hidden="1" x14ac:dyDescent="0.4">
      <c r="A972" s="5"/>
      <c r="M972" s="4" t="str">
        <f t="shared" si="28"/>
        <v/>
      </c>
    </row>
    <row r="973" spans="1:13" s="3" customFormat="1" ht="13.9" hidden="1" x14ac:dyDescent="0.4">
      <c r="A973" s="5"/>
      <c r="M973" s="4" t="str">
        <f t="shared" si="28"/>
        <v/>
      </c>
    </row>
    <row r="974" spans="1:13" s="3" customFormat="1" ht="13.9" hidden="1" x14ac:dyDescent="0.4">
      <c r="A974" s="5"/>
      <c r="M974" s="4" t="str">
        <f t="shared" si="28"/>
        <v/>
      </c>
    </row>
    <row r="975" spans="1:13" s="3" customFormat="1" ht="13.9" hidden="1" x14ac:dyDescent="0.4">
      <c r="A975" s="5"/>
      <c r="M975" s="4" t="str">
        <f t="shared" si="28"/>
        <v/>
      </c>
    </row>
    <row r="976" spans="1:13" s="3" customFormat="1" ht="13.9" hidden="1" x14ac:dyDescent="0.4">
      <c r="A976" s="5"/>
      <c r="M976" s="4" t="str">
        <f t="shared" si="28"/>
        <v/>
      </c>
    </row>
    <row r="977" spans="1:13" s="3" customFormat="1" ht="13.9" hidden="1" x14ac:dyDescent="0.4">
      <c r="A977" s="5"/>
      <c r="M977" s="4" t="str">
        <f t="shared" si="28"/>
        <v/>
      </c>
    </row>
    <row r="978" spans="1:13" s="3" customFormat="1" ht="13.9" hidden="1" x14ac:dyDescent="0.4">
      <c r="A978" s="5"/>
      <c r="M978" s="4" t="str">
        <f t="shared" si="28"/>
        <v/>
      </c>
    </row>
    <row r="979" spans="1:13" s="3" customFormat="1" ht="13.9" hidden="1" x14ac:dyDescent="0.4">
      <c r="A979" s="5"/>
      <c r="M979" s="4" t="str">
        <f t="shared" si="28"/>
        <v/>
      </c>
    </row>
    <row r="980" spans="1:13" s="3" customFormat="1" ht="13.9" hidden="1" x14ac:dyDescent="0.4">
      <c r="A980" s="5"/>
      <c r="M980" s="4" t="str">
        <f t="shared" si="28"/>
        <v/>
      </c>
    </row>
    <row r="981" spans="1:13" s="3" customFormat="1" ht="13.9" hidden="1" x14ac:dyDescent="0.4">
      <c r="A981" s="5"/>
      <c r="M981" s="4" t="str">
        <f t="shared" si="28"/>
        <v/>
      </c>
    </row>
    <row r="982" spans="1:13" s="3" customFormat="1" ht="13.9" hidden="1" x14ac:dyDescent="0.4">
      <c r="A982" s="5"/>
      <c r="M982" s="4" t="str">
        <f t="shared" si="28"/>
        <v/>
      </c>
    </row>
    <row r="983" spans="1:13" s="3" customFormat="1" ht="13.9" hidden="1" x14ac:dyDescent="0.4">
      <c r="A983" s="5"/>
      <c r="M983" s="4" t="str">
        <f t="shared" si="28"/>
        <v/>
      </c>
    </row>
    <row r="984" spans="1:13" s="3" customFormat="1" ht="13.9" hidden="1" x14ac:dyDescent="0.4">
      <c r="A984" s="5"/>
      <c r="M984" s="4" t="str">
        <f t="shared" si="28"/>
        <v/>
      </c>
    </row>
    <row r="985" spans="1:13" s="3" customFormat="1" ht="13.9" hidden="1" x14ac:dyDescent="0.4">
      <c r="A985" s="5"/>
      <c r="M985" s="4" t="str">
        <f t="shared" si="28"/>
        <v/>
      </c>
    </row>
    <row r="986" spans="1:13" s="3" customFormat="1" ht="13.9" hidden="1" x14ac:dyDescent="0.4">
      <c r="A986" s="5"/>
      <c r="M986" s="4" t="str">
        <f t="shared" si="28"/>
        <v/>
      </c>
    </row>
    <row r="987" spans="1:13" s="3" customFormat="1" ht="13.9" hidden="1" x14ac:dyDescent="0.4">
      <c r="A987" s="5"/>
      <c r="M987" s="4" t="str">
        <f t="shared" si="28"/>
        <v/>
      </c>
    </row>
    <row r="988" spans="1:13" s="3" customFormat="1" ht="13.9" hidden="1" x14ac:dyDescent="0.4">
      <c r="A988" s="5"/>
      <c r="M988" s="4" t="str">
        <f t="shared" si="28"/>
        <v/>
      </c>
    </row>
    <row r="989" spans="1:13" s="3" customFormat="1" ht="13.9" hidden="1" x14ac:dyDescent="0.4">
      <c r="A989" s="5"/>
      <c r="M989" s="4" t="str">
        <f t="shared" si="28"/>
        <v/>
      </c>
    </row>
    <row r="990" spans="1:13" s="3" customFormat="1" ht="13.9" hidden="1" x14ac:dyDescent="0.4">
      <c r="A990" s="5"/>
      <c r="M990" s="4" t="str">
        <f t="shared" si="28"/>
        <v/>
      </c>
    </row>
    <row r="991" spans="1:13" s="3" customFormat="1" ht="13.9" hidden="1" x14ac:dyDescent="0.4">
      <c r="A991" s="5"/>
      <c r="M991" s="4" t="str">
        <f t="shared" si="28"/>
        <v/>
      </c>
    </row>
    <row r="992" spans="1:13" s="3" customFormat="1" ht="13.9" hidden="1" x14ac:dyDescent="0.4">
      <c r="A992" s="5"/>
      <c r="M992" s="4" t="str">
        <f t="shared" si="28"/>
        <v/>
      </c>
    </row>
    <row r="993" spans="1:13" s="3" customFormat="1" ht="13.9" hidden="1" x14ac:dyDescent="0.4">
      <c r="A993" s="5"/>
      <c r="M993" s="4" t="str">
        <f t="shared" si="28"/>
        <v/>
      </c>
    </row>
    <row r="994" spans="1:13" s="3" customFormat="1" ht="13.9" hidden="1" x14ac:dyDescent="0.4">
      <c r="A994" s="5"/>
      <c r="M994" s="4" t="str">
        <f t="shared" si="28"/>
        <v/>
      </c>
    </row>
    <row r="995" spans="1:13" s="3" customFormat="1" ht="13.9" hidden="1" x14ac:dyDescent="0.4">
      <c r="A995" s="5"/>
      <c r="M995" s="4" t="str">
        <f t="shared" si="28"/>
        <v/>
      </c>
    </row>
    <row r="996" spans="1:13" s="3" customFormat="1" ht="13.9" hidden="1" x14ac:dyDescent="0.4">
      <c r="A996" s="5"/>
      <c r="M996" s="4" t="str">
        <f t="shared" si="28"/>
        <v/>
      </c>
    </row>
    <row r="997" spans="1:13" s="3" customFormat="1" ht="13.9" hidden="1" x14ac:dyDescent="0.4">
      <c r="A997" s="5"/>
      <c r="M997" s="4" t="str">
        <f t="shared" si="28"/>
        <v/>
      </c>
    </row>
    <row r="998" spans="1:13" s="3" customFormat="1" ht="13.9" hidden="1" x14ac:dyDescent="0.4">
      <c r="A998" s="5"/>
      <c r="M998" s="4" t="str">
        <f t="shared" si="28"/>
        <v/>
      </c>
    </row>
    <row r="999" spans="1:13" s="3" customFormat="1" ht="13.9" hidden="1" x14ac:dyDescent="0.4">
      <c r="A999" s="5"/>
      <c r="M999" s="4" t="str">
        <f t="shared" si="28"/>
        <v/>
      </c>
    </row>
    <row r="1000" spans="1:13" s="3" customFormat="1" ht="13.9" hidden="1" x14ac:dyDescent="0.4">
      <c r="A1000" s="5"/>
      <c r="M1000" s="4" t="str">
        <f t="shared" si="28"/>
        <v/>
      </c>
    </row>
    <row r="1001" spans="1:13" s="3" customFormat="1" ht="13.9" hidden="1" x14ac:dyDescent="0.4">
      <c r="A1001" s="5"/>
      <c r="M1001" s="4" t="str">
        <f t="shared" si="28"/>
        <v/>
      </c>
    </row>
    <row r="1002" spans="1:13" s="3" customFormat="1" ht="13.9" hidden="1" x14ac:dyDescent="0.4">
      <c r="A1002" s="5"/>
      <c r="M1002" s="4" t="str">
        <f t="shared" si="28"/>
        <v/>
      </c>
    </row>
    <row r="1003" spans="1:13" s="3" customFormat="1" ht="13.9" hidden="1" x14ac:dyDescent="0.4">
      <c r="A1003" s="5"/>
      <c r="M1003" s="4" t="str">
        <f t="shared" si="28"/>
        <v/>
      </c>
    </row>
    <row r="1004" spans="1:13" s="3" customFormat="1" ht="13.9" hidden="1" x14ac:dyDescent="0.4">
      <c r="A1004" s="5"/>
      <c r="M1004" s="4" t="str">
        <f t="shared" si="28"/>
        <v/>
      </c>
    </row>
    <row r="1005" spans="1:13" s="3" customFormat="1" ht="13.9" hidden="1" x14ac:dyDescent="0.4">
      <c r="A1005" s="5"/>
      <c r="M1005" s="4" t="str">
        <f t="shared" si="28"/>
        <v/>
      </c>
    </row>
    <row r="1006" spans="1:13" s="3" customFormat="1" ht="13.9" hidden="1" x14ac:dyDescent="0.4">
      <c r="A1006" s="5"/>
      <c r="M1006" s="4" t="str">
        <f t="shared" si="28"/>
        <v/>
      </c>
    </row>
    <row r="1007" spans="1:13" s="3" customFormat="1" ht="13.9" hidden="1" x14ac:dyDescent="0.4">
      <c r="A1007" s="5"/>
      <c r="M1007" s="4" t="str">
        <f t="shared" si="28"/>
        <v/>
      </c>
    </row>
    <row r="1008" spans="1:13" s="3" customFormat="1" ht="13.9" hidden="1" x14ac:dyDescent="0.4">
      <c r="A1008" s="5"/>
      <c r="M1008" s="4" t="str">
        <f t="shared" si="28"/>
        <v/>
      </c>
    </row>
    <row r="1009" spans="1:17" s="3" customFormat="1" ht="13.9" hidden="1" x14ac:dyDescent="0.4">
      <c r="A1009" s="5"/>
      <c r="M1009" s="4" t="str">
        <f t="shared" si="28"/>
        <v/>
      </c>
    </row>
    <row r="1010" spans="1:17" s="3" customFormat="1" ht="13.9" hidden="1" x14ac:dyDescent="0.4">
      <c r="A1010" s="5"/>
      <c r="M1010" s="4" t="str">
        <f t="shared" si="28"/>
        <v/>
      </c>
    </row>
    <row r="1011" spans="1:17" s="3" customFormat="1" ht="13.9" hidden="1" x14ac:dyDescent="0.4">
      <c r="A1011" s="5"/>
      <c r="M1011" s="4" t="str">
        <f>IF(B1011&lt;&gt;"","visible","")</f>
        <v/>
      </c>
    </row>
    <row r="1012" spans="1:17" x14ac:dyDescent="0.45">
      <c r="Q1012" s="74"/>
    </row>
    <row r="1013" spans="1:17" ht="15.75" thickBot="1" x14ac:dyDescent="0.5">
      <c r="Q1013" s="74"/>
    </row>
    <row r="1014" spans="1:17" ht="15.75" thickBot="1" x14ac:dyDescent="0.5">
      <c r="C1014" s="187"/>
      <c r="D1014" s="182" t="s">
        <v>144</v>
      </c>
      <c r="E1014" s="182"/>
      <c r="F1014" s="182" t="s">
        <v>145</v>
      </c>
      <c r="G1014" s="182"/>
      <c r="H1014" s="182" t="s">
        <v>224</v>
      </c>
      <c r="I1014" s="182"/>
      <c r="J1014" s="182" t="s">
        <v>146</v>
      </c>
      <c r="K1014" s="182"/>
    </row>
    <row r="1015" spans="1:17" ht="15.75" thickBot="1" x14ac:dyDescent="0.5">
      <c r="C1015" s="187"/>
      <c r="D1015" s="182"/>
      <c r="E1015" s="182"/>
      <c r="F1015" s="182"/>
      <c r="G1015" s="182"/>
      <c r="H1015" s="182"/>
      <c r="I1015" s="182"/>
      <c r="J1015" s="182"/>
      <c r="K1015" s="182"/>
    </row>
    <row r="1016" spans="1:17" ht="15.75" thickBot="1" x14ac:dyDescent="0.5">
      <c r="C1016" s="18" t="s">
        <v>147</v>
      </c>
      <c r="D1016" s="190">
        <f>D1017+D1018+D1019</f>
        <v>46</v>
      </c>
      <c r="E1016" s="190"/>
      <c r="F1016" s="190">
        <f>F1017+F1018+F1019</f>
        <v>12</v>
      </c>
      <c r="G1016" s="190"/>
      <c r="H1016" s="190">
        <f>H1017+H1018+H1019</f>
        <v>10</v>
      </c>
      <c r="I1016" s="190"/>
      <c r="J1016" s="190">
        <f>J1017+J1018+J1019</f>
        <v>107</v>
      </c>
      <c r="K1016" s="190"/>
    </row>
    <row r="1017" spans="1:17" ht="15.75" thickBot="1" x14ac:dyDescent="0.5">
      <c r="C1017" s="78" t="s">
        <v>2</v>
      </c>
      <c r="D1017" s="180">
        <f>COUNTIF(C9:C209,"ITA")</f>
        <v>28</v>
      </c>
      <c r="E1017" s="181"/>
      <c r="F1017" s="180">
        <f>COUNTIF(C214:C313,"ITA")</f>
        <v>7</v>
      </c>
      <c r="G1017" s="181"/>
      <c r="H1017" s="180">
        <f>COUNTIF(C318:C419,"ITA")</f>
        <v>4</v>
      </c>
      <c r="I1017" s="181"/>
      <c r="J1017" s="180">
        <f>COUNTIF(C519:C1011,"ITA")</f>
        <v>70</v>
      </c>
      <c r="K1017" s="181"/>
    </row>
    <row r="1018" spans="1:17" ht="15.75" thickBot="1" x14ac:dyDescent="0.5">
      <c r="C1018" s="78" t="s">
        <v>1</v>
      </c>
      <c r="D1018" s="180">
        <f>COUNTIF(C9:C209,"IPK")</f>
        <v>11</v>
      </c>
      <c r="E1018" s="181"/>
      <c r="F1018" s="180">
        <f>COUNTIF(C214:C313,"IPK")</f>
        <v>4</v>
      </c>
      <c r="G1018" s="181"/>
      <c r="H1018" s="180">
        <f>COUNTIF(C318:C419,"IPK")</f>
        <v>4</v>
      </c>
      <c r="I1018" s="181"/>
      <c r="J1018" s="180">
        <f>COUNTIF(C519:C1011,"IPK")</f>
        <v>28</v>
      </c>
      <c r="K1018" s="181"/>
    </row>
    <row r="1019" spans="1:17" ht="15.75" thickBot="1" x14ac:dyDescent="0.5">
      <c r="C1019" s="78" t="s">
        <v>97</v>
      </c>
      <c r="D1019" s="180">
        <f>COUNTIF(C9:C209,"IPK &amp; ITA")</f>
        <v>7</v>
      </c>
      <c r="E1019" s="181"/>
      <c r="F1019" s="180">
        <f>COUNTIF(C214:C313,"IPK &amp; ITA")</f>
        <v>1</v>
      </c>
      <c r="G1019" s="181"/>
      <c r="H1019" s="180">
        <f>COUNTIF(C318:C419,"IPK &amp; ITA")</f>
        <v>2</v>
      </c>
      <c r="I1019" s="181"/>
      <c r="J1019" s="180">
        <f>COUNTIF(C519:C1011,"IPK &amp; ITA")</f>
        <v>9</v>
      </c>
      <c r="K1019" s="181"/>
    </row>
    <row r="1020" spans="1:17" ht="15.75" thickBot="1" x14ac:dyDescent="0.5">
      <c r="C1020" s="19" t="s">
        <v>0</v>
      </c>
      <c r="D1020" s="191">
        <f>COUNTIF(D9:D209,"Industry")</f>
        <v>29</v>
      </c>
      <c r="E1020" s="191"/>
      <c r="F1020" s="191">
        <f>COUNTIF(D214:D313,"Industry")</f>
        <v>6</v>
      </c>
      <c r="G1020" s="191"/>
      <c r="H1020" s="191">
        <f>COUNTIF(D318:D419,"Industry")</f>
        <v>8</v>
      </c>
      <c r="I1020" s="191"/>
      <c r="J1020" s="191">
        <f>COUNTIF(D519:D1011,"Industry")</f>
        <v>78</v>
      </c>
      <c r="K1020" s="191"/>
    </row>
    <row r="1021" spans="1:17" ht="15.75" thickBot="1" x14ac:dyDescent="0.5">
      <c r="C1021" s="79" t="s">
        <v>2</v>
      </c>
      <c r="D1021" s="178">
        <f>COUNTIFS(D9:D209,"Industry",C9:C209,"ITA")</f>
        <v>19</v>
      </c>
      <c r="E1021" s="179"/>
      <c r="F1021" s="178">
        <f>COUNTIFS(D214:D313,"Industry",C214:C313,"ITA")</f>
        <v>2</v>
      </c>
      <c r="G1021" s="179"/>
      <c r="H1021" s="178">
        <f>COUNTIFS(D318:D419,"Industry",C318:C419,"ITA")</f>
        <v>4</v>
      </c>
      <c r="I1021" s="179"/>
      <c r="J1021" s="178">
        <f>COUNTIFS(D519:D1011,"Industry",C519:C1011,"ITA")</f>
        <v>50</v>
      </c>
      <c r="K1021" s="179"/>
    </row>
    <row r="1022" spans="1:17" ht="15.75" thickBot="1" x14ac:dyDescent="0.5">
      <c r="C1022" s="79" t="s">
        <v>1</v>
      </c>
      <c r="D1022" s="178">
        <f>COUNTIFS(D9:D209,"Industry",C9:C209,"IPK")</f>
        <v>7</v>
      </c>
      <c r="E1022" s="179"/>
      <c r="F1022" s="178">
        <f>COUNTIFS(D214:D313,"Industry",C214:C313,"IPK")</f>
        <v>4</v>
      </c>
      <c r="G1022" s="179"/>
      <c r="H1022" s="178">
        <f>COUNTIFS(D318:D419,"Industry",C318:C419,"IPK")</f>
        <v>3</v>
      </c>
      <c r="I1022" s="179"/>
      <c r="J1022" s="178">
        <f>COUNTIFS(D519:D1011,"Industry",C519:C1011,"IPK")</f>
        <v>21</v>
      </c>
      <c r="K1022" s="179"/>
    </row>
    <row r="1023" spans="1:17" ht="15.75" thickBot="1" x14ac:dyDescent="0.5">
      <c r="C1023" s="79" t="s">
        <v>97</v>
      </c>
      <c r="D1023" s="178">
        <f>COUNTIFS(D9:D209,"Industry",C9:C209,"IPK &amp; ITA")</f>
        <v>3</v>
      </c>
      <c r="E1023" s="179"/>
      <c r="F1023" s="178">
        <f>COUNTIFS(D214:D313,"Industry",C214:C313,"IPK &amp; ITA")</f>
        <v>0</v>
      </c>
      <c r="G1023" s="179"/>
      <c r="H1023" s="178">
        <f>COUNTIFS(D318:D419,"Industry",C318:C419,"IPK &amp; ITA")</f>
        <v>1</v>
      </c>
      <c r="I1023" s="179"/>
      <c r="J1023" s="178">
        <f>COUNTIFS(D519:D1011,"Industry",C519:C1011,"IPK &amp; ITA")</f>
        <v>7</v>
      </c>
      <c r="K1023" s="179"/>
    </row>
    <row r="1024" spans="1:17" ht="15.75" thickBot="1" x14ac:dyDescent="0.5">
      <c r="C1024" s="18" t="s">
        <v>148</v>
      </c>
      <c r="D1024" s="185">
        <f>COUNTIF(D9:D209,"Public Funding")</f>
        <v>17</v>
      </c>
      <c r="E1024" s="185"/>
      <c r="F1024" s="185">
        <f>COUNTIF(D214:D313,"Public Funding")</f>
        <v>6</v>
      </c>
      <c r="G1024" s="185"/>
      <c r="H1024" s="185">
        <f>COUNTIF(D318:D419,"Public Funding")</f>
        <v>2</v>
      </c>
      <c r="I1024" s="185"/>
      <c r="J1024" s="185">
        <f>COUNTIF(D519:D1011,"Public Funding")</f>
        <v>28</v>
      </c>
      <c r="K1024" s="185"/>
    </row>
    <row r="1025" spans="1:22" ht="15.75" thickBot="1" x14ac:dyDescent="0.5">
      <c r="C1025" s="78" t="s">
        <v>2</v>
      </c>
      <c r="D1025" s="177">
        <f>COUNTIFS(D9:D209,"Public funding",C9:C209,"ITA")</f>
        <v>9</v>
      </c>
      <c r="E1025" s="177"/>
      <c r="F1025" s="177">
        <f>COUNTIFS(D214:D313,"Public Funding",C214:C313,"ITA")</f>
        <v>5</v>
      </c>
      <c r="G1025" s="177"/>
      <c r="H1025" s="177">
        <f>COUNTIFS(D318:D419,"Public Funding",C318:C419,"ITA")</f>
        <v>0</v>
      </c>
      <c r="I1025" s="177"/>
      <c r="J1025" s="177">
        <f>COUNTIFS(D519:D1011,"Public Funding",C519:C1011,"ITA")</f>
        <v>19</v>
      </c>
      <c r="K1025" s="177"/>
    </row>
    <row r="1026" spans="1:22" ht="15.75" thickBot="1" x14ac:dyDescent="0.5">
      <c r="C1026" s="78" t="s">
        <v>1</v>
      </c>
      <c r="D1026" s="177">
        <f>COUNTIFS(D9:D209,"Public funding",C9:C209,"IPK")</f>
        <v>4</v>
      </c>
      <c r="E1026" s="177"/>
      <c r="F1026" s="177">
        <f>COUNTIFS(D214:D313,"Public Funding",C214:C313,"IPK")</f>
        <v>0</v>
      </c>
      <c r="G1026" s="177"/>
      <c r="H1026" s="177">
        <f>COUNTIFS(D318:D419,"Public Funding",C318:C419,"IPK")</f>
        <v>0</v>
      </c>
      <c r="I1026" s="177"/>
      <c r="J1026" s="177">
        <f>COUNTIFS(D519:D1011,"Public Funding",C519:C1011,"IPK")</f>
        <v>7</v>
      </c>
      <c r="K1026" s="177"/>
    </row>
    <row r="1027" spans="1:22" ht="15.75" thickBot="1" x14ac:dyDescent="0.5">
      <c r="C1027" s="78" t="s">
        <v>97</v>
      </c>
      <c r="D1027" s="177">
        <f>COUNTIFS(D9:D209,"Public funding",C9:C209,"IPK &amp; ITA")</f>
        <v>4</v>
      </c>
      <c r="E1027" s="177"/>
      <c r="F1027" s="177">
        <f>COUNTIFS(D214:D313,"Public Funding",C214:C313,"IPK &amp; ITA")</f>
        <v>1</v>
      </c>
      <c r="G1027" s="177"/>
      <c r="H1027" s="177">
        <f>COUNTIFS(D318:D419,"Public Funding",C318:C419,"IPK &amp; ITA")</f>
        <v>1</v>
      </c>
      <c r="I1027" s="177"/>
      <c r="J1027" s="177">
        <f>COUNTIFS(D519:D1011,"Public Funding",C519:C1011,"IPK &amp; ITA")</f>
        <v>2</v>
      </c>
      <c r="K1027" s="177"/>
    </row>
    <row r="1028" spans="1:22" ht="23.25" thickBot="1" x14ac:dyDescent="0.5">
      <c r="C1028" s="24"/>
      <c r="D1028" s="188"/>
      <c r="E1028" s="189"/>
      <c r="F1028" s="188"/>
      <c r="G1028" s="189"/>
      <c r="H1028" s="188"/>
      <c r="I1028" s="189"/>
      <c r="J1028" s="24"/>
      <c r="K1028" s="24"/>
    </row>
    <row r="1029" spans="1:22" ht="15.75" thickBot="1" x14ac:dyDescent="0.5">
      <c r="C1029" s="182" t="s">
        <v>149</v>
      </c>
      <c r="D1029" s="182" t="s">
        <v>150</v>
      </c>
      <c r="E1029" s="182"/>
      <c r="F1029" s="182" t="s">
        <v>150</v>
      </c>
      <c r="G1029" s="182"/>
      <c r="H1029" s="182" t="s">
        <v>150</v>
      </c>
      <c r="I1029" s="182"/>
      <c r="J1029" s="182" t="s">
        <v>150</v>
      </c>
      <c r="K1029" s="182"/>
    </row>
    <row r="1030" spans="1:22" ht="15.75" thickBot="1" x14ac:dyDescent="0.5">
      <c r="C1030" s="182"/>
      <c r="D1030" s="20" t="s">
        <v>0</v>
      </c>
      <c r="E1030" s="20" t="s">
        <v>148</v>
      </c>
      <c r="F1030" s="20" t="s">
        <v>0</v>
      </c>
      <c r="G1030" s="20" t="s">
        <v>148</v>
      </c>
      <c r="H1030" s="20" t="s">
        <v>0</v>
      </c>
      <c r="I1030" s="20" t="s">
        <v>148</v>
      </c>
      <c r="J1030" s="20" t="s">
        <v>0</v>
      </c>
      <c r="K1030" s="20" t="s">
        <v>148</v>
      </c>
      <c r="P1030" s="26" t="s">
        <v>509</v>
      </c>
    </row>
    <row r="1031" spans="1:22" ht="15.75" thickBot="1" x14ac:dyDescent="0.5">
      <c r="C1031" s="185" t="s">
        <v>2</v>
      </c>
      <c r="D1031" s="186">
        <f>SUMIF(D9:D209,"=Industry",H9:H209)</f>
        <v>2261517.5547001008</v>
      </c>
      <c r="E1031" s="186">
        <f>SUMIF(D9:D209,"=Public Funding",H9:H209)</f>
        <v>2963693.2254287601</v>
      </c>
      <c r="F1031" s="186">
        <f>SUMIF(D214:D313,"=Industry",H214:H313)</f>
        <v>402358.49056603777</v>
      </c>
      <c r="G1031" s="186">
        <f>SUMIF(D214:D313,"=Public Funding",H214:H313)</f>
        <v>3852169.4198737876</v>
      </c>
      <c r="H1031" s="18" t="s">
        <v>151</v>
      </c>
      <c r="I1031" s="18" t="s">
        <v>153</v>
      </c>
      <c r="J1031" s="186">
        <f>SUMIF(D519:D1011,"=Industry",H519:H1011)</f>
        <v>3297021.8926960444</v>
      </c>
      <c r="K1031" s="186">
        <f>SUMIF(D519:D1011,"=Public Funding",H519:H1011)</f>
        <v>8435256.0186901931</v>
      </c>
      <c r="P1031" s="76" t="s">
        <v>148</v>
      </c>
      <c r="S1031" s="76" t="s">
        <v>0</v>
      </c>
    </row>
    <row r="1032" spans="1:22" ht="15.75" thickBot="1" x14ac:dyDescent="0.5">
      <c r="C1032" s="185"/>
      <c r="D1032" s="186"/>
      <c r="E1032" s="186"/>
      <c r="F1032" s="186"/>
      <c r="G1032" s="186"/>
      <c r="H1032" s="21">
        <f>SUMIF(D318:D419,"=Industry",H318:H419)</f>
        <v>511764.76110015955</v>
      </c>
      <c r="I1032" s="21">
        <f>SUMIF(D318:D419,"=Public Funding",H318:H419)</f>
        <v>0</v>
      </c>
      <c r="J1032" s="186"/>
      <c r="K1032" s="186"/>
      <c r="P1032" s="77" t="s">
        <v>503</v>
      </c>
      <c r="S1032" s="77" t="s">
        <v>503</v>
      </c>
    </row>
    <row r="1033" spans="1:22" s="26" customFormat="1" ht="15.75" thickBot="1" x14ac:dyDescent="0.5">
      <c r="A1033" s="25"/>
      <c r="C1033" s="27"/>
      <c r="D1033" s="27"/>
      <c r="E1033" s="27"/>
      <c r="F1033" s="27"/>
      <c r="G1033" s="27"/>
      <c r="H1033" s="27"/>
      <c r="I1033" s="27"/>
      <c r="J1033" s="27"/>
      <c r="K1033" s="27"/>
      <c r="L1033" s="28"/>
      <c r="M1033" s="29"/>
      <c r="N1033" s="28"/>
      <c r="O1033" s="28"/>
      <c r="P1033" s="29" t="s">
        <v>504</v>
      </c>
      <c r="Q1033" s="29" t="s">
        <v>505</v>
      </c>
      <c r="S1033" s="29" t="s">
        <v>504</v>
      </c>
      <c r="T1033" s="29" t="s">
        <v>505</v>
      </c>
    </row>
    <row r="1034" spans="1:22" ht="15.75" thickBot="1" x14ac:dyDescent="0.5">
      <c r="C1034" s="185" t="s">
        <v>1</v>
      </c>
      <c r="D1034" s="186">
        <f>SUMIF(D9:D209,"=Industry",G9:G209)</f>
        <v>3625475</v>
      </c>
      <c r="E1034" s="186">
        <f>SUMIF(D9:D209,"=Public Funding",G9:G209)</f>
        <v>484293</v>
      </c>
      <c r="F1034" s="186">
        <f>SUMIF(D214:D313,"=Industry",G214:G313)</f>
        <v>1040000</v>
      </c>
      <c r="G1034" s="186">
        <f>SUMIF(D214:D313,"=Public Funding",G214:G313)</f>
        <v>145800</v>
      </c>
      <c r="H1034" s="18" t="s">
        <v>152</v>
      </c>
      <c r="I1034" s="18" t="s">
        <v>153</v>
      </c>
      <c r="J1034" s="186">
        <f>SUMIF(D519:D1011,"=Industry",G519:G1011)</f>
        <v>3855800</v>
      </c>
      <c r="K1034" s="186">
        <f>SUMIF(D519:D1011,"=Public Funding",G519:G1011)</f>
        <v>4497360</v>
      </c>
      <c r="P1034" s="29">
        <f>J1024+H1024+F1024+D1024</f>
        <v>53</v>
      </c>
      <c r="Q1034" s="92">
        <f>K1037+I1038+G1037+E1037</f>
        <v>20476571.66399274</v>
      </c>
      <c r="S1034" s="29">
        <f>H1020+F1020+D1020+J1020</f>
        <v>121</v>
      </c>
      <c r="T1034" s="92">
        <f>J1037+H1038+F1037+D1037</f>
        <v>15210297.699062342</v>
      </c>
    </row>
    <row r="1035" spans="1:22" ht="15.75" thickBot="1" x14ac:dyDescent="0.5">
      <c r="C1035" s="185"/>
      <c r="D1035" s="186"/>
      <c r="E1035" s="186"/>
      <c r="F1035" s="186"/>
      <c r="G1035" s="186"/>
      <c r="H1035" s="21">
        <f>SUMIF(D318:D419,"=Industry",G318:G419)</f>
        <v>216360</v>
      </c>
      <c r="I1035" s="21">
        <f>SUMIF(D318:D419,"=Public Funding",G318:G419)</f>
        <v>98000</v>
      </c>
      <c r="J1035" s="186"/>
      <c r="K1035" s="186"/>
      <c r="P1035" s="77" t="s">
        <v>506</v>
      </c>
      <c r="S1035" s="77" t="s">
        <v>506</v>
      </c>
    </row>
    <row r="1036" spans="1:22" s="26" customFormat="1" ht="15.75" thickBot="1" x14ac:dyDescent="0.5">
      <c r="A1036" s="25"/>
      <c r="C1036" s="27"/>
      <c r="D1036" s="27"/>
      <c r="E1036" s="27"/>
      <c r="F1036" s="27"/>
      <c r="G1036" s="27"/>
      <c r="H1036" s="27"/>
      <c r="I1036" s="27"/>
      <c r="J1036" s="27"/>
      <c r="K1036" s="27"/>
      <c r="L1036" s="28"/>
      <c r="M1036" s="29"/>
      <c r="N1036" s="28"/>
      <c r="O1036" s="28"/>
      <c r="P1036" s="29" t="s">
        <v>504</v>
      </c>
      <c r="Q1036" s="29" t="s">
        <v>505</v>
      </c>
      <c r="S1036" s="29" t="s">
        <v>504</v>
      </c>
      <c r="T1036" s="29" t="s">
        <v>505</v>
      </c>
    </row>
    <row r="1037" spans="1:22" ht="15.75" thickBot="1" x14ac:dyDescent="0.5">
      <c r="C1037" s="183" t="s">
        <v>154</v>
      </c>
      <c r="D1037" s="184">
        <f>D1031+D1034</f>
        <v>5886992.5547001008</v>
      </c>
      <c r="E1037" s="184">
        <f>E1031+E1034</f>
        <v>3447986.2254287601</v>
      </c>
      <c r="F1037" s="184">
        <f>F1034+F1031</f>
        <v>1442358.4905660378</v>
      </c>
      <c r="G1037" s="184">
        <f>G1034+G1031</f>
        <v>3997969.4198737876</v>
      </c>
      <c r="H1037" s="22" t="s">
        <v>151</v>
      </c>
      <c r="I1037" s="22" t="s">
        <v>153</v>
      </c>
      <c r="J1037" s="184">
        <f>J1031+J1034</f>
        <v>7152821.8926960444</v>
      </c>
      <c r="K1037" s="184">
        <f>K1031+K1034</f>
        <v>12932616.018690193</v>
      </c>
      <c r="P1037" s="29">
        <f>J1024+F1024+D1024</f>
        <v>51</v>
      </c>
      <c r="Q1037" s="95">
        <f>K1037+G1037+E1037</f>
        <v>20378571.66399274</v>
      </c>
      <c r="S1037" s="29">
        <f>F1020+D1020+J1020</f>
        <v>113</v>
      </c>
      <c r="T1037" s="92">
        <f>J1037+F1037+D1037</f>
        <v>14482172.937962184</v>
      </c>
    </row>
    <row r="1038" spans="1:22" ht="15.75" thickBot="1" x14ac:dyDescent="0.5">
      <c r="C1038" s="183"/>
      <c r="D1038" s="184"/>
      <c r="E1038" s="184"/>
      <c r="F1038" s="184"/>
      <c r="G1038" s="184"/>
      <c r="H1038" s="23">
        <f>H1032+H1035</f>
        <v>728124.76110015949</v>
      </c>
      <c r="I1038" s="23">
        <f>I1032+I1035</f>
        <v>98000</v>
      </c>
      <c r="J1038" s="184"/>
      <c r="K1038" s="184"/>
      <c r="N1038" s="84" t="s">
        <v>512</v>
      </c>
      <c r="P1038" s="77" t="s">
        <v>507</v>
      </c>
      <c r="S1038" s="77" t="s">
        <v>507</v>
      </c>
      <c r="U1038" s="84" t="s">
        <v>512</v>
      </c>
      <c r="V1038" s="28"/>
    </row>
    <row r="1039" spans="1:22" x14ac:dyDescent="0.45">
      <c r="N1039" s="85" t="s">
        <v>513</v>
      </c>
      <c r="O1039" s="85" t="s">
        <v>514</v>
      </c>
      <c r="P1039" s="29" t="s">
        <v>504</v>
      </c>
      <c r="Q1039" s="29" t="s">
        <v>505</v>
      </c>
      <c r="S1039" s="29" t="s">
        <v>504</v>
      </c>
      <c r="T1039" s="29" t="s">
        <v>505</v>
      </c>
      <c r="U1039" s="85" t="s">
        <v>513</v>
      </c>
      <c r="V1039" s="85" t="s">
        <v>514</v>
      </c>
    </row>
    <row r="1040" spans="1:22" x14ac:dyDescent="0.45">
      <c r="N1040" s="86">
        <f>P1040/(P1040+P1043)</f>
        <v>0.37777777777777777</v>
      </c>
      <c r="O1040" s="86">
        <f>Q1040/(Q1040+Q1043)</f>
        <v>0.21049203039324599</v>
      </c>
      <c r="P1040" s="29">
        <f>D1024</f>
        <v>17</v>
      </c>
      <c r="Q1040" s="92">
        <f>E1037</f>
        <v>3447986.2254287601</v>
      </c>
      <c r="S1040" s="29">
        <f>D1020</f>
        <v>29</v>
      </c>
      <c r="T1040" s="92">
        <f>D1037</f>
        <v>5886992.5547001008</v>
      </c>
      <c r="U1040" s="86">
        <f>S1040/(S1040+S1043)</f>
        <v>0.27102803738317754</v>
      </c>
      <c r="V1040" s="86">
        <f>T1040/(T1040+T1043)</f>
        <v>0.45146290834496078</v>
      </c>
    </row>
    <row r="1041" spans="5:20" x14ac:dyDescent="0.45">
      <c r="P1041" s="77" t="s">
        <v>508</v>
      </c>
      <c r="S1041" s="77" t="s">
        <v>508</v>
      </c>
    </row>
    <row r="1042" spans="5:20" x14ac:dyDescent="0.45">
      <c r="P1042" s="29" t="s">
        <v>504</v>
      </c>
      <c r="Q1042" s="29" t="s">
        <v>505</v>
      </c>
      <c r="S1042" s="29" t="s">
        <v>504</v>
      </c>
      <c r="T1042" s="29" t="s">
        <v>505</v>
      </c>
    </row>
    <row r="1043" spans="5:20" x14ac:dyDescent="0.45">
      <c r="P1043" s="29">
        <f>J1024</f>
        <v>28</v>
      </c>
      <c r="Q1043" s="92">
        <f>K1037</f>
        <v>12932616.018690193</v>
      </c>
      <c r="S1043" s="29">
        <f>J1020</f>
        <v>78</v>
      </c>
      <c r="T1043" s="92">
        <f>J1037</f>
        <v>7152821.8926960444</v>
      </c>
    </row>
    <row r="1044" spans="5:20" x14ac:dyDescent="0.45">
      <c r="P1044" s="29"/>
      <c r="Q1044" s="75"/>
      <c r="S1044" s="29"/>
      <c r="T1044" s="75"/>
    </row>
    <row r="1045" spans="5:20" x14ac:dyDescent="0.45">
      <c r="P1045" s="29"/>
      <c r="Q1045" s="83" t="s">
        <v>515</v>
      </c>
      <c r="S1045" s="29"/>
      <c r="T1045" s="75"/>
    </row>
    <row r="1046" spans="5:20" x14ac:dyDescent="0.45">
      <c r="K1046" s="87"/>
      <c r="P1046" s="26" t="s">
        <v>516</v>
      </c>
      <c r="Q1046" s="26" t="s">
        <v>517</v>
      </c>
      <c r="R1046" s="26" t="s">
        <v>518</v>
      </c>
    </row>
    <row r="1047" spans="5:20" x14ac:dyDescent="0.45">
      <c r="P1047" s="94">
        <f>Q1040+T1040</f>
        <v>9334978.7801288608</v>
      </c>
      <c r="Q1047" s="93">
        <v>2600000</v>
      </c>
      <c r="R1047" s="81">
        <f>P1047/Q1047</f>
        <v>3.5903764538957157</v>
      </c>
    </row>
    <row r="1048" spans="5:20" x14ac:dyDescent="0.45">
      <c r="P1048" s="80"/>
      <c r="Q1048" s="82"/>
      <c r="R1048" s="81"/>
    </row>
    <row r="1049" spans="5:20" x14ac:dyDescent="0.45">
      <c r="P1049" s="80"/>
      <c r="Q1049" s="82"/>
      <c r="R1049" s="81"/>
    </row>
    <row r="1050" spans="5:20" x14ac:dyDescent="0.45">
      <c r="P1050" s="80"/>
      <c r="Q1050" s="82"/>
      <c r="R1050" s="81"/>
    </row>
    <row r="1051" spans="5:20" x14ac:dyDescent="0.45">
      <c r="P1051" s="26" t="s">
        <v>510</v>
      </c>
    </row>
    <row r="1052" spans="5:20" x14ac:dyDescent="0.45">
      <c r="P1052" s="76" t="s">
        <v>2</v>
      </c>
      <c r="S1052" s="76" t="s">
        <v>1</v>
      </c>
    </row>
    <row r="1053" spans="5:20" x14ac:dyDescent="0.45">
      <c r="E1053" s="72"/>
      <c r="P1053" s="77" t="s">
        <v>503</v>
      </c>
      <c r="S1053" s="77" t="s">
        <v>503</v>
      </c>
    </row>
    <row r="1054" spans="5:20" x14ac:dyDescent="0.45">
      <c r="P1054" s="29" t="s">
        <v>504</v>
      </c>
      <c r="Q1054" s="29" t="s">
        <v>505</v>
      </c>
      <c r="S1054" s="29" t="s">
        <v>504</v>
      </c>
      <c r="T1054" s="29" t="s">
        <v>505</v>
      </c>
    </row>
    <row r="1055" spans="5:20" x14ac:dyDescent="0.45">
      <c r="P1055" s="29">
        <f>J1021+H1021+F1021+D1021+(J1023+H1023+F1023+D1023)/2</f>
        <v>80.5</v>
      </c>
      <c r="Q1055" s="92">
        <f>J1031+H1032+F1031+D1031</f>
        <v>6472662.6990623428</v>
      </c>
      <c r="S1055" s="29">
        <f>J1022+H1022+F1022+D1022+(J1023+H1023+F1023+D1023)/2</f>
        <v>40.5</v>
      </c>
      <c r="T1055" s="92">
        <f>J1034+H1035+F1034+D1034</f>
        <v>8737635</v>
      </c>
    </row>
    <row r="1056" spans="5:20" x14ac:dyDescent="0.45">
      <c r="P1056" s="77" t="s">
        <v>506</v>
      </c>
      <c r="S1056" s="77" t="s">
        <v>506</v>
      </c>
    </row>
    <row r="1057" spans="14:22" x14ac:dyDescent="0.45">
      <c r="P1057" s="29" t="s">
        <v>504</v>
      </c>
      <c r="Q1057" s="29" t="s">
        <v>505</v>
      </c>
      <c r="S1057" s="29" t="s">
        <v>504</v>
      </c>
      <c r="T1057" s="29" t="s">
        <v>505</v>
      </c>
    </row>
    <row r="1058" spans="14:22" x14ac:dyDescent="0.45">
      <c r="P1058" s="29">
        <f>J1021+F1021+D1021+(J1023+F1023+D1023)/2</f>
        <v>76</v>
      </c>
      <c r="Q1058" s="92">
        <f>J1031+F1031+D1031</f>
        <v>5960897.9379621828</v>
      </c>
      <c r="S1058" s="29">
        <f>J1022+F1022+D1022+(J1023+F1023+D1023)/2</f>
        <v>37</v>
      </c>
      <c r="T1058" s="92">
        <f>J1034+F1034+D1034</f>
        <v>8521275</v>
      </c>
    </row>
    <row r="1059" spans="14:22" x14ac:dyDescent="0.45">
      <c r="N1059" s="84" t="s">
        <v>512</v>
      </c>
      <c r="P1059" s="77" t="s">
        <v>507</v>
      </c>
      <c r="S1059" s="77" t="s">
        <v>507</v>
      </c>
      <c r="U1059" s="84" t="s">
        <v>512</v>
      </c>
      <c r="V1059" s="28"/>
    </row>
    <row r="1060" spans="14:22" x14ac:dyDescent="0.45">
      <c r="N1060" s="85" t="s">
        <v>513</v>
      </c>
      <c r="O1060" s="85" t="s">
        <v>514</v>
      </c>
      <c r="P1060" s="29" t="s">
        <v>504</v>
      </c>
      <c r="Q1060" s="29" t="s">
        <v>505</v>
      </c>
      <c r="S1060" s="29" t="s">
        <v>504</v>
      </c>
      <c r="T1060" s="29" t="s">
        <v>505</v>
      </c>
      <c r="U1060" s="85" t="s">
        <v>513</v>
      </c>
      <c r="V1060" s="85" t="s">
        <v>514</v>
      </c>
    </row>
    <row r="1061" spans="14:22" x14ac:dyDescent="0.45">
      <c r="N1061" s="86">
        <f>P1061/(P1061+P1064)</f>
        <v>0.27702702702702703</v>
      </c>
      <c r="O1061" s="86">
        <f>Q1061/(Q1061+Q1064)</f>
        <v>0.40685463800378197</v>
      </c>
      <c r="P1061" s="29">
        <f>D1021+D1023/2</f>
        <v>20.5</v>
      </c>
      <c r="Q1061" s="92">
        <f>D1031</f>
        <v>2261517.5547001008</v>
      </c>
      <c r="S1061" s="29">
        <f>D1022+D1023/2</f>
        <v>8.5</v>
      </c>
      <c r="T1061" s="92">
        <f>D1034</f>
        <v>3625475</v>
      </c>
      <c r="U1061" s="86">
        <f>S1061/(S1061+S1064)</f>
        <v>0.25757575757575757</v>
      </c>
      <c r="V1061" s="86">
        <f>T1061/(T1061+T1064)</f>
        <v>0.48460656773076782</v>
      </c>
    </row>
    <row r="1062" spans="14:22" x14ac:dyDescent="0.45">
      <c r="P1062" s="77" t="s">
        <v>508</v>
      </c>
      <c r="S1062" s="77" t="s">
        <v>508</v>
      </c>
    </row>
    <row r="1063" spans="14:22" x14ac:dyDescent="0.45">
      <c r="P1063" s="29" t="s">
        <v>504</v>
      </c>
      <c r="Q1063" s="29" t="s">
        <v>505</v>
      </c>
      <c r="S1063" s="29" t="s">
        <v>504</v>
      </c>
      <c r="T1063" s="29" t="s">
        <v>505</v>
      </c>
    </row>
    <row r="1064" spans="14:22" x14ac:dyDescent="0.45">
      <c r="P1064" s="29">
        <f>J1021+J1023/2</f>
        <v>53.5</v>
      </c>
      <c r="Q1064" s="92">
        <f>J1031</f>
        <v>3297021.8926960444</v>
      </c>
      <c r="S1064" s="29">
        <f>J1022+J1023/2</f>
        <v>24.5</v>
      </c>
      <c r="T1064" s="92">
        <f>J1034</f>
        <v>3855800</v>
      </c>
    </row>
    <row r="1066" spans="14:22" x14ac:dyDescent="0.45">
      <c r="P1066" s="29"/>
      <c r="Q1066" s="83" t="s">
        <v>515</v>
      </c>
    </row>
    <row r="1067" spans="14:22" x14ac:dyDescent="0.45">
      <c r="P1067" s="26" t="s">
        <v>516</v>
      </c>
      <c r="Q1067" s="26" t="s">
        <v>517</v>
      </c>
      <c r="R1067" s="26" t="s">
        <v>518</v>
      </c>
    </row>
    <row r="1068" spans="14:22" x14ac:dyDescent="0.45">
      <c r="P1068" s="92">
        <f>Q1061+T1061</f>
        <v>5886992.5547001008</v>
      </c>
      <c r="Q1068" s="92">
        <v>1100000</v>
      </c>
      <c r="R1068" s="81">
        <f>P1068/Q1068</f>
        <v>5.3518114133637278</v>
      </c>
    </row>
    <row r="1072" spans="14:22" x14ac:dyDescent="0.45">
      <c r="P1072" s="26" t="s">
        <v>511</v>
      </c>
    </row>
    <row r="1073" spans="14:22" x14ac:dyDescent="0.45">
      <c r="P1073" s="76" t="s">
        <v>2</v>
      </c>
      <c r="S1073" s="76" t="s">
        <v>1</v>
      </c>
    </row>
    <row r="1074" spans="14:22" x14ac:dyDescent="0.45">
      <c r="P1074" s="77" t="s">
        <v>503</v>
      </c>
      <c r="S1074" s="77" t="s">
        <v>503</v>
      </c>
    </row>
    <row r="1075" spans="14:22" x14ac:dyDescent="0.45">
      <c r="P1075" s="29" t="s">
        <v>504</v>
      </c>
      <c r="Q1075" s="29" t="s">
        <v>505</v>
      </c>
      <c r="S1075" s="29" t="s">
        <v>504</v>
      </c>
      <c r="T1075" s="29" t="s">
        <v>505</v>
      </c>
    </row>
    <row r="1076" spans="14:22" x14ac:dyDescent="0.45">
      <c r="P1076" s="29">
        <f>J1025+H1025+F1025+D1025+(J1027+H1027+F1027+D1027)/2</f>
        <v>37</v>
      </c>
      <c r="Q1076" s="92">
        <f>K1031+I1032+G1031+E1031</f>
        <v>15251118.66399274</v>
      </c>
      <c r="S1076" s="29">
        <f>J1026+H1026+F1026+D1026+(J1027+H1027+F1027+D1027)/2</f>
        <v>15</v>
      </c>
      <c r="T1076" s="92">
        <f>K1034+I1035+G1034+E1034</f>
        <v>5225453</v>
      </c>
    </row>
    <row r="1077" spans="14:22" x14ac:dyDescent="0.45">
      <c r="P1077" s="77" t="s">
        <v>506</v>
      </c>
      <c r="S1077" s="77" t="s">
        <v>506</v>
      </c>
    </row>
    <row r="1078" spans="14:22" x14ac:dyDescent="0.45">
      <c r="P1078" s="29" t="s">
        <v>504</v>
      </c>
      <c r="Q1078" s="29" t="s">
        <v>505</v>
      </c>
      <c r="S1078" s="29" t="s">
        <v>504</v>
      </c>
      <c r="T1078" s="29" t="s">
        <v>505</v>
      </c>
    </row>
    <row r="1079" spans="14:22" x14ac:dyDescent="0.45">
      <c r="P1079" s="29">
        <f>J1025+F1025+D1025+(J1027+F1027+D1027)/2</f>
        <v>36.5</v>
      </c>
      <c r="Q1079" s="92">
        <f>K1031+G1031+E1031</f>
        <v>15251118.66399274</v>
      </c>
      <c r="S1079" s="29">
        <f>J1026+F1026+D1026+(J1027+F1027+D1027)/2</f>
        <v>14.5</v>
      </c>
      <c r="T1079" s="92">
        <f>K1034+G1034+E1034</f>
        <v>5127453</v>
      </c>
    </row>
    <row r="1080" spans="14:22" x14ac:dyDescent="0.45">
      <c r="N1080" s="84" t="s">
        <v>512</v>
      </c>
      <c r="P1080" s="77" t="s">
        <v>507</v>
      </c>
      <c r="S1080" s="77" t="s">
        <v>507</v>
      </c>
      <c r="U1080" s="84" t="s">
        <v>512</v>
      </c>
      <c r="V1080" s="28"/>
    </row>
    <row r="1081" spans="14:22" x14ac:dyDescent="0.45">
      <c r="N1081" s="85" t="s">
        <v>513</v>
      </c>
      <c r="O1081" s="85" t="s">
        <v>514</v>
      </c>
      <c r="P1081" s="29" t="s">
        <v>504</v>
      </c>
      <c r="Q1081" s="29" t="s">
        <v>505</v>
      </c>
      <c r="S1081" s="29" t="s">
        <v>504</v>
      </c>
      <c r="T1081" s="29" t="s">
        <v>505</v>
      </c>
      <c r="U1081" s="85" t="s">
        <v>513</v>
      </c>
      <c r="V1081" s="85" t="s">
        <v>514</v>
      </c>
    </row>
    <row r="1082" spans="14:22" x14ac:dyDescent="0.45">
      <c r="N1082" s="86">
        <f>P1082/(P1082+P1085)</f>
        <v>0.35483870967741937</v>
      </c>
      <c r="O1082" s="86">
        <f>Q1082/(Q1082+Q1085)</f>
        <v>0.25999705428619352</v>
      </c>
      <c r="P1082" s="29">
        <f>D1025+D1027/2</f>
        <v>11</v>
      </c>
      <c r="Q1082" s="92">
        <f>E1031</f>
        <v>2963693.2254287601</v>
      </c>
      <c r="S1082" s="29">
        <f>D1026+D1027/2</f>
        <v>6</v>
      </c>
      <c r="T1082" s="92">
        <f>E1034</f>
        <v>484293</v>
      </c>
      <c r="U1082" s="86">
        <f>S1082/(S1082+S1085)</f>
        <v>0.42857142857142855</v>
      </c>
      <c r="V1082" s="86">
        <f>T1082/(T1082+T1085)</f>
        <v>9.7215321902187887E-2</v>
      </c>
    </row>
    <row r="1083" spans="14:22" x14ac:dyDescent="0.45">
      <c r="P1083" s="77" t="s">
        <v>508</v>
      </c>
      <c r="S1083" s="77" t="s">
        <v>508</v>
      </c>
    </row>
    <row r="1084" spans="14:22" x14ac:dyDescent="0.45">
      <c r="P1084" s="29" t="s">
        <v>504</v>
      </c>
      <c r="Q1084" s="29" t="s">
        <v>505</v>
      </c>
      <c r="S1084" s="29" t="s">
        <v>504</v>
      </c>
      <c r="T1084" s="29" t="s">
        <v>505</v>
      </c>
    </row>
    <row r="1085" spans="14:22" x14ac:dyDescent="0.45">
      <c r="P1085" s="29">
        <f>J1025+J1027/2</f>
        <v>20</v>
      </c>
      <c r="Q1085" s="92">
        <f>K1031</f>
        <v>8435256.0186901931</v>
      </c>
      <c r="S1085" s="29">
        <f>J1026+J1027/2</f>
        <v>8</v>
      </c>
      <c r="T1085" s="92">
        <f>K1034</f>
        <v>4497360</v>
      </c>
    </row>
    <row r="1087" spans="14:22" x14ac:dyDescent="0.45">
      <c r="P1087" s="29"/>
      <c r="Q1087" s="83" t="s">
        <v>515</v>
      </c>
    </row>
    <row r="1088" spans="14:22" x14ac:dyDescent="0.45">
      <c r="P1088" s="26" t="s">
        <v>516</v>
      </c>
      <c r="Q1088" s="26" t="s">
        <v>517</v>
      </c>
      <c r="R1088" s="26" t="s">
        <v>518</v>
      </c>
    </row>
    <row r="1089" spans="16:18" x14ac:dyDescent="0.45">
      <c r="P1089" s="92">
        <f>Q1082+T1082</f>
        <v>3447986.2254287601</v>
      </c>
      <c r="Q1089" s="92">
        <v>1500000</v>
      </c>
      <c r="R1089" s="81">
        <f>P1089/Q1089</f>
        <v>2.2986574836191735</v>
      </c>
    </row>
  </sheetData>
  <autoFilter ref="M4:M1011" xr:uid="{00000000-0009-0000-0000-000002000000}">
    <filterColumn colId="0">
      <customFilters>
        <customFilter operator="notEqual" val=" "/>
      </customFilters>
    </filterColumn>
  </autoFilter>
  <mergeCells count="82">
    <mergeCell ref="J1024:K1024"/>
    <mergeCell ref="D1016:E1016"/>
    <mergeCell ref="H1016:I1016"/>
    <mergeCell ref="F1016:G1016"/>
    <mergeCell ref="J1016:K1016"/>
    <mergeCell ref="D1020:E1020"/>
    <mergeCell ref="F1020:G1020"/>
    <mergeCell ref="J1020:K1020"/>
    <mergeCell ref="H1020:I1020"/>
    <mergeCell ref="D1017:E1017"/>
    <mergeCell ref="D1018:E1018"/>
    <mergeCell ref="D1019:E1019"/>
    <mergeCell ref="F1017:G1017"/>
    <mergeCell ref="F1018:G1018"/>
    <mergeCell ref="F1019:G1019"/>
    <mergeCell ref="H1017:I1017"/>
    <mergeCell ref="K1034:K1035"/>
    <mergeCell ref="K1037:K1038"/>
    <mergeCell ref="J1031:J1032"/>
    <mergeCell ref="K1031:K1032"/>
    <mergeCell ref="J1037:J1038"/>
    <mergeCell ref="J1034:J1035"/>
    <mergeCell ref="G1031:G1032"/>
    <mergeCell ref="C1014:C1015"/>
    <mergeCell ref="D1014:E1015"/>
    <mergeCell ref="F1014:G1015"/>
    <mergeCell ref="J1014:K1015"/>
    <mergeCell ref="H1014:I1015"/>
    <mergeCell ref="H1028:I1028"/>
    <mergeCell ref="D1029:E1029"/>
    <mergeCell ref="F1029:G1029"/>
    <mergeCell ref="H1029:I1029"/>
    <mergeCell ref="J1029:K1029"/>
    <mergeCell ref="D1028:E1028"/>
    <mergeCell ref="F1028:G1028"/>
    <mergeCell ref="D1024:E1024"/>
    <mergeCell ref="F1024:G1024"/>
    <mergeCell ref="H1024:I1024"/>
    <mergeCell ref="G1037:G1038"/>
    <mergeCell ref="C1034:C1035"/>
    <mergeCell ref="D1034:D1035"/>
    <mergeCell ref="E1034:E1035"/>
    <mergeCell ref="F1034:F1035"/>
    <mergeCell ref="G1034:G1035"/>
    <mergeCell ref="C1029:C1030"/>
    <mergeCell ref="C1037:C1038"/>
    <mergeCell ref="D1037:D1038"/>
    <mergeCell ref="E1037:E1038"/>
    <mergeCell ref="F1037:F1038"/>
    <mergeCell ref="C1031:C1032"/>
    <mergeCell ref="D1031:D1032"/>
    <mergeCell ref="E1031:E1032"/>
    <mergeCell ref="F1031:F1032"/>
    <mergeCell ref="H1018:I1018"/>
    <mergeCell ref="H1019:I1019"/>
    <mergeCell ref="J1017:K1017"/>
    <mergeCell ref="J1018:K1018"/>
    <mergeCell ref="J1019:K1019"/>
    <mergeCell ref="J1021:K1021"/>
    <mergeCell ref="J1022:K1022"/>
    <mergeCell ref="J1023:K1023"/>
    <mergeCell ref="H1021:I1021"/>
    <mergeCell ref="H1022:I1022"/>
    <mergeCell ref="H1023:I1023"/>
    <mergeCell ref="F1021:G1021"/>
    <mergeCell ref="F1022:G1022"/>
    <mergeCell ref="F1023:G1023"/>
    <mergeCell ref="D1021:E1021"/>
    <mergeCell ref="D1022:E1022"/>
    <mergeCell ref="D1023:E1023"/>
    <mergeCell ref="J1025:K1025"/>
    <mergeCell ref="J1026:K1026"/>
    <mergeCell ref="J1027:K1027"/>
    <mergeCell ref="H1025:I1025"/>
    <mergeCell ref="H1026:I1026"/>
    <mergeCell ref="H1027:I1027"/>
    <mergeCell ref="F1025:G1025"/>
    <mergeCell ref="F1026:G1026"/>
    <mergeCell ref="F1027:G1027"/>
    <mergeCell ref="D1025:E1025"/>
    <mergeCell ref="D1026:E1026"/>
    <mergeCell ref="D1027:E1027"/>
  </mergeCells>
  <pageMargins left="0.7" right="0.7" top="0.78740157499999996" bottom="0.78740157499999996" header="0.3" footer="0.3"/>
  <pageSetup paperSize="9" orientation="portrait" horizontalDpi="4294967292" verticalDpi="1200" r:id="rId7"/>
  <drawing r:id="rId8"/>
  <legacyDrawing r:id="rId9"/>
  <mc:AlternateContent xmlns:mc="http://schemas.openxmlformats.org/markup-compatibility/2006">
    <mc:Choice Requires="x14">
      <controls>
        <mc:AlternateContent xmlns:mc="http://schemas.openxmlformats.org/markup-compatibility/2006">
          <mc:Choice Requires="x14">
            <control shapeId="6146" r:id="rId10" name="Button 2">
              <controlPr defaultSize="0" print="0" autoFill="0" autoPict="0" macro="[0]!Update_Summary">
                <anchor moveWithCells="1" sizeWithCells="1">
                  <from>
                    <xdr:col>0</xdr:col>
                    <xdr:colOff>114300</xdr:colOff>
                    <xdr:row>0</xdr:row>
                    <xdr:rowOff>66675</xdr:rowOff>
                  </from>
                  <to>
                    <xdr:col>1</xdr:col>
                    <xdr:colOff>790575</xdr:colOff>
                    <xdr:row>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8"/>
  <dimension ref="S6:Z18"/>
  <sheetViews>
    <sheetView showGridLines="0" zoomScale="86" zoomScaleNormal="55" workbookViewId="0">
      <selection activeCell="P27" sqref="P27"/>
    </sheetView>
  </sheetViews>
  <sheetFormatPr baseColWidth="10" defaultColWidth="11.265625" defaultRowHeight="14.25" x14ac:dyDescent="0.45"/>
  <cols>
    <col min="19" max="19" width="20.3984375" bestFit="1" customWidth="1"/>
    <col min="20" max="20" width="26" bestFit="1" customWidth="1"/>
    <col min="21" max="21" width="6.73046875" customWidth="1"/>
    <col min="22" max="22" width="20.3984375" bestFit="1" customWidth="1"/>
    <col min="23" max="23" width="26" bestFit="1" customWidth="1"/>
    <col min="24" max="24" width="6.59765625" customWidth="1"/>
    <col min="25" max="25" width="20.3984375" bestFit="1" customWidth="1"/>
    <col min="26" max="26" width="26" bestFit="1" customWidth="1"/>
  </cols>
  <sheetData>
    <row r="6" spans="19:26" x14ac:dyDescent="0.45">
      <c r="S6" s="150" t="s">
        <v>7</v>
      </c>
      <c r="T6" t="s">
        <v>2</v>
      </c>
      <c r="V6" s="150" t="s">
        <v>7</v>
      </c>
      <c r="W6" t="s">
        <v>1</v>
      </c>
      <c r="Y6" s="150" t="s">
        <v>7</v>
      </c>
      <c r="Z6" t="s">
        <v>97</v>
      </c>
    </row>
    <row r="7" spans="19:26" x14ac:dyDescent="0.45">
      <c r="S7" s="150" t="s">
        <v>304</v>
      </c>
      <c r="T7" t="s">
        <v>715</v>
      </c>
      <c r="V7" s="150" t="s">
        <v>304</v>
      </c>
      <c r="W7" t="s">
        <v>715</v>
      </c>
      <c r="Y7" s="150" t="s">
        <v>304</v>
      </c>
      <c r="Z7" t="s">
        <v>715</v>
      </c>
    </row>
    <row r="9" spans="19:26" x14ac:dyDescent="0.45">
      <c r="S9" s="150" t="s">
        <v>712</v>
      </c>
      <c r="T9" t="s">
        <v>714</v>
      </c>
      <c r="V9" s="150" t="s">
        <v>712</v>
      </c>
      <c r="W9" t="s">
        <v>714</v>
      </c>
      <c r="Y9" s="150" t="s">
        <v>712</v>
      </c>
      <c r="Z9" t="s">
        <v>714</v>
      </c>
    </row>
    <row r="10" spans="19:26" x14ac:dyDescent="0.45">
      <c r="S10" s="151" t="s">
        <v>705</v>
      </c>
      <c r="T10" s="154">
        <v>151139.46567849189</v>
      </c>
      <c r="V10" s="151" t="s">
        <v>709</v>
      </c>
      <c r="W10" s="155">
        <v>319000</v>
      </c>
      <c r="Y10" s="151" t="s">
        <v>706</v>
      </c>
      <c r="Z10" s="155">
        <v>391518.57835218089</v>
      </c>
    </row>
    <row r="11" spans="19:26" x14ac:dyDescent="0.45">
      <c r="S11" s="151" t="s">
        <v>706</v>
      </c>
      <c r="T11" s="154">
        <v>1830913.4243894722</v>
      </c>
      <c r="V11" s="151" t="s">
        <v>711</v>
      </c>
      <c r="W11" s="155">
        <v>3473151</v>
      </c>
      <c r="Y11" s="151" t="s">
        <v>709</v>
      </c>
      <c r="Z11" s="155">
        <v>61388.059701492537</v>
      </c>
    </row>
    <row r="12" spans="19:26" x14ac:dyDescent="0.45">
      <c r="S12" s="151" t="s">
        <v>708</v>
      </c>
      <c r="T12" s="154">
        <v>60331.825037707393</v>
      </c>
      <c r="V12" s="151" t="s">
        <v>713</v>
      </c>
      <c r="W12" s="155">
        <v>3792151</v>
      </c>
      <c r="Y12" s="151" t="s">
        <v>711</v>
      </c>
      <c r="Z12" s="155">
        <v>363772.29679200205</v>
      </c>
    </row>
    <row r="13" spans="19:26" x14ac:dyDescent="0.45">
      <c r="S13" s="151" t="s">
        <v>709</v>
      </c>
      <c r="T13" s="154">
        <v>491116.49289623823</v>
      </c>
      <c r="W13" s="152"/>
      <c r="Y13" s="151" t="s">
        <v>713</v>
      </c>
      <c r="Z13" s="155">
        <v>816678.93484567548</v>
      </c>
    </row>
    <row r="14" spans="19:26" x14ac:dyDescent="0.45">
      <c r="S14" s="151" t="s">
        <v>710</v>
      </c>
      <c r="T14" s="154">
        <v>2134026.1186240171</v>
      </c>
      <c r="W14" s="152"/>
      <c r="Z14" s="152"/>
    </row>
    <row r="15" spans="19:26" x14ac:dyDescent="0.45">
      <c r="S15" s="151" t="s">
        <v>711</v>
      </c>
      <c r="T15" s="154">
        <v>58621.518657258144</v>
      </c>
      <c r="W15" s="152"/>
      <c r="Z15" s="152"/>
    </row>
    <row r="16" spans="19:26" x14ac:dyDescent="0.45">
      <c r="S16" s="151" t="s">
        <v>713</v>
      </c>
      <c r="T16" s="154">
        <v>4726148.8452831842</v>
      </c>
      <c r="W16" s="152"/>
      <c r="Z16" s="152"/>
    </row>
    <row r="17" spans="20:26" x14ac:dyDescent="0.45">
      <c r="W17" s="152"/>
      <c r="Z17" s="152"/>
    </row>
    <row r="18" spans="20:26" x14ac:dyDescent="0.45">
      <c r="T18" s="152"/>
      <c r="W18" s="152"/>
      <c r="Z18" s="152"/>
    </row>
  </sheetData>
  <pageMargins left="0.7" right="0.7" top="0.78740157499999996" bottom="0.78740157499999996" header="0.3" footer="0.3"/>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filterMode="1">
    <pageSetUpPr fitToPage="1"/>
  </sheetPr>
  <dimension ref="A4:T1000"/>
  <sheetViews>
    <sheetView showGridLines="0" zoomScale="85" zoomScaleNormal="85" workbookViewId="0"/>
  </sheetViews>
  <sheetFormatPr baseColWidth="10" defaultColWidth="11.265625" defaultRowHeight="14.25" x14ac:dyDescent="0.45"/>
  <cols>
    <col min="1" max="1" width="3.73046875" style="5" bestFit="1" customWidth="1"/>
    <col min="2" max="2" width="66.1328125" style="6" customWidth="1"/>
    <col min="3" max="3" width="21.265625" style="6" customWidth="1"/>
    <col min="4" max="4" width="19.1328125" style="6" customWidth="1"/>
    <col min="5" max="5" width="25.33203125" style="6" bestFit="1" customWidth="1"/>
    <col min="6" max="6" width="20.59765625" style="30" bestFit="1" customWidth="1"/>
    <col min="7" max="7" width="19" style="30" bestFit="1" customWidth="1"/>
    <col min="8" max="8" width="21.3984375" style="54" bestFit="1" customWidth="1"/>
    <col min="9" max="9" width="22.6640625" style="54" bestFit="1" customWidth="1"/>
    <col min="10" max="10" width="7.265625" style="56" bestFit="1" customWidth="1"/>
    <col min="11" max="12" width="10.86328125" style="55" bestFit="1" customWidth="1"/>
    <col min="13" max="14" width="7.265625" style="56" bestFit="1" customWidth="1"/>
    <col min="15" max="15" width="25.73046875" style="56" bestFit="1" customWidth="1"/>
    <col min="16" max="16" width="25.1328125" style="54" bestFit="1" customWidth="1"/>
    <col min="17" max="17" width="10.796875" style="6" bestFit="1" customWidth="1"/>
    <col min="18" max="18" width="11.73046875" style="6" hidden="1" customWidth="1"/>
    <col min="19" max="19" width="12" style="4" hidden="1" customWidth="1"/>
    <col min="20" max="20" width="11.265625" style="6" hidden="1" customWidth="1"/>
    <col min="21" max="21" width="0" style="6" hidden="1" customWidth="1"/>
    <col min="22" max="16384" width="11.265625" style="6"/>
  </cols>
  <sheetData>
    <row r="4" spans="1:19" x14ac:dyDescent="0.45">
      <c r="S4" s="4" t="s">
        <v>134</v>
      </c>
    </row>
    <row r="5" spans="1:19" s="3" customFormat="1" ht="13.9" hidden="1" x14ac:dyDescent="0.4">
      <c r="A5" s="5"/>
      <c r="S5" s="4" t="str">
        <f t="shared" ref="S5:S68" si="0">IF(B5&lt;&gt;"","visible","")</f>
        <v/>
      </c>
    </row>
    <row r="6" spans="1:19" x14ac:dyDescent="0.45">
      <c r="A6" s="7"/>
      <c r="B6" s="196" t="s">
        <v>522</v>
      </c>
      <c r="C6" s="192" t="s">
        <v>245</v>
      </c>
      <c r="S6" s="4" t="str">
        <f t="shared" si="0"/>
        <v>visible</v>
      </c>
    </row>
    <row r="7" spans="1:19" s="3" customFormat="1" ht="13.9" hidden="1" x14ac:dyDescent="0.4">
      <c r="A7" s="5"/>
      <c r="S7" s="4" t="str">
        <f t="shared" si="0"/>
        <v/>
      </c>
    </row>
    <row r="8" spans="1:19" ht="13.9" x14ac:dyDescent="0.4">
      <c r="A8" s="8"/>
      <c r="B8" s="202" t="s">
        <v>5</v>
      </c>
      <c r="C8" s="202" t="s">
        <v>7</v>
      </c>
      <c r="D8" s="202" t="s">
        <v>23</v>
      </c>
      <c r="E8" s="202" t="s">
        <v>14</v>
      </c>
      <c r="F8" s="192" t="s">
        <v>135</v>
      </c>
      <c r="G8" s="192" t="s">
        <v>259</v>
      </c>
      <c r="H8" s="192" t="s">
        <v>247</v>
      </c>
      <c r="I8" s="194" t="s">
        <v>261</v>
      </c>
      <c r="J8" s="194" t="s">
        <v>234</v>
      </c>
      <c r="K8" s="194" t="s">
        <v>235</v>
      </c>
      <c r="L8" s="194" t="s">
        <v>236</v>
      </c>
      <c r="M8" s="194" t="s">
        <v>237</v>
      </c>
      <c r="N8" s="194" t="s">
        <v>238</v>
      </c>
      <c r="O8" s="194" t="s">
        <v>143</v>
      </c>
      <c r="P8" s="194" t="s">
        <v>142</v>
      </c>
      <c r="Q8" s="194" t="s">
        <v>239</v>
      </c>
      <c r="S8" s="4" t="str">
        <f t="shared" si="0"/>
        <v>visible</v>
      </c>
    </row>
    <row r="9" spans="1:19" ht="13.9" x14ac:dyDescent="0.4">
      <c r="A9" s="5">
        <f>IF(S9 ="visible",IF(B9 = "Total","",A8+1),"")</f>
        <v>1</v>
      </c>
      <c r="B9" s="192" t="s">
        <v>117</v>
      </c>
      <c r="C9" s="192" t="s">
        <v>1</v>
      </c>
      <c r="D9" s="192" t="s">
        <v>0</v>
      </c>
      <c r="E9" s="192" t="s">
        <v>118</v>
      </c>
      <c r="F9" s="194">
        <v>52000</v>
      </c>
      <c r="G9" s="194">
        <v>40000</v>
      </c>
      <c r="H9" s="206">
        <v>1</v>
      </c>
      <c r="I9" s="194">
        <v>40000</v>
      </c>
      <c r="J9" s="194"/>
      <c r="K9" s="194">
        <v>18000</v>
      </c>
      <c r="L9" s="194">
        <v>18000</v>
      </c>
      <c r="M9" s="194"/>
      <c r="N9" s="194"/>
      <c r="O9" s="194">
        <v>4000</v>
      </c>
      <c r="P9" s="194">
        <v>0</v>
      </c>
      <c r="Q9" s="194">
        <v>4000</v>
      </c>
      <c r="S9" s="4" t="str">
        <f t="shared" si="0"/>
        <v>visible</v>
      </c>
    </row>
    <row r="10" spans="1:19" ht="13.9" x14ac:dyDescent="0.4">
      <c r="A10" s="5">
        <f t="shared" ref="A10:A73" si="1">IF(S10 ="visible",IF(B10 = "Total","",A9+1),"")</f>
        <v>2</v>
      </c>
      <c r="B10" s="192" t="s">
        <v>114</v>
      </c>
      <c r="C10" s="192" t="s">
        <v>1</v>
      </c>
      <c r="D10" s="192" t="s">
        <v>0</v>
      </c>
      <c r="E10" s="192" t="s">
        <v>115</v>
      </c>
      <c r="F10" s="194">
        <v>7000</v>
      </c>
      <c r="G10" s="194">
        <v>7000</v>
      </c>
      <c r="H10" s="206">
        <v>1</v>
      </c>
      <c r="I10" s="194">
        <v>7000</v>
      </c>
      <c r="J10" s="194"/>
      <c r="K10" s="194">
        <v>3500</v>
      </c>
      <c r="L10" s="194"/>
      <c r="M10" s="194"/>
      <c r="N10" s="194"/>
      <c r="O10" s="194">
        <v>0</v>
      </c>
      <c r="P10" s="194">
        <v>3500</v>
      </c>
      <c r="Q10" s="194">
        <v>3500</v>
      </c>
      <c r="S10" s="4" t="str">
        <f t="shared" si="0"/>
        <v>visible</v>
      </c>
    </row>
    <row r="11" spans="1:19" ht="13.9" x14ac:dyDescent="0.4">
      <c r="A11" s="5">
        <f t="shared" si="1"/>
        <v>3</v>
      </c>
      <c r="B11" s="192" t="s">
        <v>127</v>
      </c>
      <c r="C11" s="192" t="s">
        <v>97</v>
      </c>
      <c r="D11" s="192" t="s">
        <v>96</v>
      </c>
      <c r="E11" s="192" t="s">
        <v>128</v>
      </c>
      <c r="F11" s="194">
        <v>42562</v>
      </c>
      <c r="G11" s="194">
        <v>42562</v>
      </c>
      <c r="H11" s="206">
        <v>1</v>
      </c>
      <c r="I11" s="194">
        <v>42562</v>
      </c>
      <c r="J11" s="194"/>
      <c r="K11" s="194"/>
      <c r="L11" s="194">
        <v>24321</v>
      </c>
      <c r="M11" s="194"/>
      <c r="N11" s="194"/>
      <c r="O11" s="194">
        <v>6384.3</v>
      </c>
      <c r="P11" s="194">
        <v>11856.7</v>
      </c>
      <c r="Q11" s="194">
        <v>18241</v>
      </c>
      <c r="S11" s="4" t="str">
        <f t="shared" si="0"/>
        <v>visible</v>
      </c>
    </row>
    <row r="12" spans="1:19" ht="13.9" x14ac:dyDescent="0.4">
      <c r="A12" s="5">
        <f t="shared" si="1"/>
        <v>4</v>
      </c>
      <c r="B12" s="192" t="s">
        <v>120</v>
      </c>
      <c r="C12" s="192" t="s">
        <v>1</v>
      </c>
      <c r="D12" s="192" t="s">
        <v>0</v>
      </c>
      <c r="E12" s="192" t="s">
        <v>121</v>
      </c>
      <c r="F12" s="194">
        <v>36850</v>
      </c>
      <c r="G12" s="194">
        <v>36850</v>
      </c>
      <c r="H12" s="206">
        <v>1</v>
      </c>
      <c r="I12" s="194">
        <v>36850</v>
      </c>
      <c r="J12" s="194"/>
      <c r="K12" s="194"/>
      <c r="L12" s="194">
        <v>36850</v>
      </c>
      <c r="M12" s="194"/>
      <c r="N12" s="194"/>
      <c r="O12" s="194">
        <v>0</v>
      </c>
      <c r="P12" s="194">
        <v>0</v>
      </c>
      <c r="Q12" s="194">
        <v>0</v>
      </c>
      <c r="S12" s="4" t="str">
        <f t="shared" si="0"/>
        <v>visible</v>
      </c>
    </row>
    <row r="13" spans="1:19" ht="13.9" x14ac:dyDescent="0.4">
      <c r="A13" s="5">
        <f t="shared" si="1"/>
        <v>5</v>
      </c>
      <c r="B13" s="192" t="s">
        <v>162</v>
      </c>
      <c r="C13" s="192" t="s">
        <v>1</v>
      </c>
      <c r="D13" s="192" t="s">
        <v>96</v>
      </c>
      <c r="E13" s="192" t="s">
        <v>163</v>
      </c>
      <c r="F13" s="194">
        <v>75000</v>
      </c>
      <c r="G13" s="194">
        <v>75000</v>
      </c>
      <c r="H13" s="206">
        <v>1</v>
      </c>
      <c r="I13" s="194">
        <v>75000</v>
      </c>
      <c r="J13" s="194"/>
      <c r="K13" s="194"/>
      <c r="L13" s="194"/>
      <c r="M13" s="194"/>
      <c r="N13" s="194"/>
      <c r="O13" s="194">
        <v>15000</v>
      </c>
      <c r="P13" s="194">
        <v>0</v>
      </c>
      <c r="Q13" s="194">
        <v>15000</v>
      </c>
      <c r="S13" s="4" t="str">
        <f t="shared" si="0"/>
        <v>visible</v>
      </c>
    </row>
    <row r="14" spans="1:19" ht="13.9" x14ac:dyDescent="0.4">
      <c r="A14" s="5">
        <f t="shared" si="1"/>
        <v>6</v>
      </c>
      <c r="B14" s="192" t="s">
        <v>176</v>
      </c>
      <c r="C14" s="192" t="s">
        <v>97</v>
      </c>
      <c r="D14" s="192" t="s">
        <v>0</v>
      </c>
      <c r="E14" s="192" t="s">
        <v>177</v>
      </c>
      <c r="F14" s="194">
        <v>275780.29679200205</v>
      </c>
      <c r="G14" s="194">
        <v>20625</v>
      </c>
      <c r="H14" s="206">
        <v>1</v>
      </c>
      <c r="I14" s="194">
        <v>20625</v>
      </c>
      <c r="J14" s="194"/>
      <c r="K14" s="194"/>
      <c r="L14" s="194"/>
      <c r="M14" s="194"/>
      <c r="N14" s="194"/>
      <c r="O14" s="194">
        <v>4125</v>
      </c>
      <c r="P14" s="194">
        <v>2000</v>
      </c>
      <c r="Q14" s="194">
        <v>6125</v>
      </c>
      <c r="S14" s="4" t="str">
        <f t="shared" si="0"/>
        <v>visible</v>
      </c>
    </row>
    <row r="15" spans="1:19" ht="13.9" x14ac:dyDescent="0.4">
      <c r="A15" s="5">
        <f t="shared" si="1"/>
        <v>7</v>
      </c>
      <c r="B15" s="192" t="s">
        <v>178</v>
      </c>
      <c r="C15" s="192" t="s">
        <v>1</v>
      </c>
      <c r="D15" s="192" t="s">
        <v>0</v>
      </c>
      <c r="E15" s="192" t="s">
        <v>179</v>
      </c>
      <c r="F15" s="194">
        <v>56000</v>
      </c>
      <c r="G15" s="194">
        <v>33000</v>
      </c>
      <c r="H15" s="206">
        <v>1</v>
      </c>
      <c r="I15" s="194">
        <v>33000</v>
      </c>
      <c r="J15" s="194">
        <v>5925</v>
      </c>
      <c r="K15" s="194"/>
      <c r="L15" s="194">
        <v>9921</v>
      </c>
      <c r="M15" s="194">
        <v>8779</v>
      </c>
      <c r="N15" s="194"/>
      <c r="O15" s="194">
        <v>4950</v>
      </c>
      <c r="P15" s="194">
        <v>3425</v>
      </c>
      <c r="Q15" s="194">
        <v>8375</v>
      </c>
      <c r="S15" s="4" t="str">
        <f t="shared" si="0"/>
        <v>visible</v>
      </c>
    </row>
    <row r="16" spans="1:19" ht="13.9" x14ac:dyDescent="0.4">
      <c r="A16" s="5">
        <f t="shared" si="1"/>
        <v>8</v>
      </c>
      <c r="B16" s="192" t="s">
        <v>248</v>
      </c>
      <c r="C16" s="192" t="s">
        <v>1</v>
      </c>
      <c r="D16" s="192" t="s">
        <v>96</v>
      </c>
      <c r="E16" s="192" t="s">
        <v>249</v>
      </c>
      <c r="F16" s="194">
        <v>91687</v>
      </c>
      <c r="G16" s="194">
        <v>67687</v>
      </c>
      <c r="H16" s="206">
        <v>1</v>
      </c>
      <c r="I16" s="194">
        <v>67687</v>
      </c>
      <c r="J16" s="194"/>
      <c r="K16" s="194"/>
      <c r="L16" s="194"/>
      <c r="M16" s="194"/>
      <c r="N16" s="194"/>
      <c r="O16" s="194">
        <v>0</v>
      </c>
      <c r="P16" s="194">
        <v>91687</v>
      </c>
      <c r="Q16" s="194">
        <v>91687</v>
      </c>
      <c r="S16" s="4" t="str">
        <f t="shared" si="0"/>
        <v>visible</v>
      </c>
    </row>
    <row r="17" spans="1:19" ht="13.9" x14ac:dyDescent="0.4">
      <c r="A17" s="5">
        <f t="shared" si="1"/>
        <v>9</v>
      </c>
      <c r="B17" s="192" t="s">
        <v>290</v>
      </c>
      <c r="C17" s="192" t="s">
        <v>97</v>
      </c>
      <c r="D17" s="192" t="s">
        <v>0</v>
      </c>
      <c r="E17" s="192" t="s">
        <v>291</v>
      </c>
      <c r="F17" s="194">
        <v>61388.059701492537</v>
      </c>
      <c r="G17" s="194">
        <v>59000</v>
      </c>
      <c r="H17" s="206">
        <v>1</v>
      </c>
      <c r="I17" s="194">
        <v>59000</v>
      </c>
      <c r="J17" s="194"/>
      <c r="K17" s="194">
        <v>47200</v>
      </c>
      <c r="L17" s="194"/>
      <c r="M17" s="194"/>
      <c r="N17" s="194"/>
      <c r="O17" s="194">
        <v>11800</v>
      </c>
      <c r="P17" s="194"/>
      <c r="Q17" s="194">
        <v>11800</v>
      </c>
      <c r="S17" s="4" t="str">
        <f t="shared" si="0"/>
        <v>visible</v>
      </c>
    </row>
    <row r="18" spans="1:19" ht="13.9" x14ac:dyDescent="0.4">
      <c r="A18" s="5">
        <f t="shared" si="1"/>
        <v>10</v>
      </c>
      <c r="B18" s="192" t="s">
        <v>294</v>
      </c>
      <c r="C18" s="192" t="s">
        <v>97</v>
      </c>
      <c r="D18" s="192" t="s">
        <v>96</v>
      </c>
      <c r="E18" s="192" t="s">
        <v>157</v>
      </c>
      <c r="F18" s="194">
        <v>19870</v>
      </c>
      <c r="G18" s="194">
        <v>12710</v>
      </c>
      <c r="H18" s="206">
        <v>1</v>
      </c>
      <c r="I18" s="194">
        <v>12710</v>
      </c>
      <c r="J18" s="194">
        <v>4350</v>
      </c>
      <c r="K18" s="194"/>
      <c r="L18" s="194"/>
      <c r="M18" s="194"/>
      <c r="N18" s="194"/>
      <c r="O18" s="194">
        <v>0</v>
      </c>
      <c r="P18" s="194">
        <v>8360</v>
      </c>
      <c r="Q18" s="194">
        <v>8360</v>
      </c>
      <c r="S18" s="4" t="str">
        <f t="shared" si="0"/>
        <v>visible</v>
      </c>
    </row>
    <row r="19" spans="1:19" ht="13.9" x14ac:dyDescent="0.4">
      <c r="A19" s="5">
        <f t="shared" si="1"/>
        <v>11</v>
      </c>
      <c r="B19" s="192" t="s">
        <v>790</v>
      </c>
      <c r="C19" s="192" t="s">
        <v>97</v>
      </c>
      <c r="D19" s="192" t="s">
        <v>96</v>
      </c>
      <c r="E19" s="192" t="s">
        <v>157</v>
      </c>
      <c r="F19" s="194">
        <v>8400</v>
      </c>
      <c r="G19" s="194">
        <v>8400</v>
      </c>
      <c r="H19" s="206">
        <v>1</v>
      </c>
      <c r="I19" s="194">
        <v>8400</v>
      </c>
      <c r="J19" s="194"/>
      <c r="K19" s="194"/>
      <c r="L19" s="194">
        <v>8400</v>
      </c>
      <c r="M19" s="194"/>
      <c r="N19" s="194"/>
      <c r="O19" s="194">
        <v>0</v>
      </c>
      <c r="P19" s="194">
        <v>4000</v>
      </c>
      <c r="Q19" s="194">
        <v>4000</v>
      </c>
      <c r="S19" s="4" t="str">
        <f t="shared" si="0"/>
        <v>visible</v>
      </c>
    </row>
    <row r="20" spans="1:19" ht="13.9" x14ac:dyDescent="0.4">
      <c r="A20" s="5" t="str">
        <f t="shared" si="1"/>
        <v/>
      </c>
      <c r="B20" s="202" t="s">
        <v>429</v>
      </c>
      <c r="C20" s="202"/>
      <c r="D20" s="202"/>
      <c r="E20" s="202"/>
      <c r="F20" s="203">
        <v>726537.35649349459</v>
      </c>
      <c r="G20" s="203">
        <v>402834</v>
      </c>
      <c r="H20" s="208">
        <v>1</v>
      </c>
      <c r="I20" s="203">
        <v>402834</v>
      </c>
      <c r="J20" s="203">
        <v>10275</v>
      </c>
      <c r="K20" s="203">
        <v>68700</v>
      </c>
      <c r="L20" s="203">
        <v>97492</v>
      </c>
      <c r="M20" s="203">
        <v>8779</v>
      </c>
      <c r="N20" s="203"/>
      <c r="O20" s="203">
        <v>46259.3</v>
      </c>
      <c r="P20" s="203">
        <v>124828.7</v>
      </c>
      <c r="Q20" s="203">
        <v>171088</v>
      </c>
      <c r="S20" s="4" t="str">
        <f t="shared" si="0"/>
        <v>visible</v>
      </c>
    </row>
    <row r="21" spans="1:19" hidden="1" x14ac:dyDescent="0.45">
      <c r="A21" s="5" t="str">
        <f t="shared" si="1"/>
        <v/>
      </c>
      <c r="B21"/>
      <c r="C21"/>
      <c r="D21"/>
      <c r="E21"/>
      <c r="F21"/>
      <c r="G21"/>
      <c r="H21"/>
      <c r="I21"/>
      <c r="J21"/>
      <c r="K21"/>
      <c r="L21"/>
      <c r="M21"/>
      <c r="N21"/>
      <c r="O21"/>
      <c r="P21"/>
      <c r="Q21"/>
      <c r="S21" s="4" t="str">
        <f t="shared" si="0"/>
        <v/>
      </c>
    </row>
    <row r="22" spans="1:19" hidden="1" x14ac:dyDescent="0.45">
      <c r="A22" s="5" t="str">
        <f t="shared" si="1"/>
        <v/>
      </c>
      <c r="B22"/>
      <c r="C22"/>
      <c r="D22"/>
      <c r="E22"/>
      <c r="F22"/>
      <c r="G22"/>
      <c r="H22"/>
      <c r="I22"/>
      <c r="J22"/>
      <c r="K22"/>
      <c r="L22"/>
      <c r="M22"/>
      <c r="N22"/>
      <c r="O22"/>
      <c r="P22"/>
      <c r="Q22"/>
      <c r="S22" s="4" t="str">
        <f t="shared" si="0"/>
        <v/>
      </c>
    </row>
    <row r="23" spans="1:19" ht="16.5" hidden="1" customHeight="1" x14ac:dyDescent="0.45">
      <c r="A23" s="5" t="str">
        <f t="shared" si="1"/>
        <v/>
      </c>
      <c r="B23"/>
      <c r="C23"/>
      <c r="D23"/>
      <c r="E23"/>
      <c r="F23"/>
      <c r="G23"/>
      <c r="H23"/>
      <c r="I23"/>
      <c r="J23"/>
      <c r="K23"/>
      <c r="L23"/>
      <c r="M23"/>
      <c r="N23"/>
      <c r="O23"/>
      <c r="P23"/>
      <c r="Q23"/>
      <c r="S23" s="4" t="str">
        <f t="shared" si="0"/>
        <v/>
      </c>
    </row>
    <row r="24" spans="1:19" ht="16.5" hidden="1" customHeight="1" x14ac:dyDescent="0.45">
      <c r="A24" s="5" t="str">
        <f t="shared" si="1"/>
        <v/>
      </c>
      <c r="B24"/>
      <c r="C24"/>
      <c r="D24"/>
      <c r="E24"/>
      <c r="F24"/>
      <c r="G24"/>
      <c r="H24"/>
      <c r="I24"/>
      <c r="J24"/>
      <c r="K24"/>
      <c r="L24"/>
      <c r="M24"/>
      <c r="N24"/>
      <c r="O24"/>
      <c r="P24"/>
      <c r="Q24"/>
      <c r="S24" s="4" t="str">
        <f t="shared" si="0"/>
        <v/>
      </c>
    </row>
    <row r="25" spans="1:19" ht="16.5" hidden="1" customHeight="1" x14ac:dyDescent="0.45">
      <c r="A25" s="5" t="str">
        <f t="shared" si="1"/>
        <v/>
      </c>
      <c r="B25"/>
      <c r="C25"/>
      <c r="D25"/>
      <c r="E25"/>
      <c r="F25"/>
      <c r="G25"/>
      <c r="H25"/>
      <c r="I25"/>
      <c r="J25"/>
      <c r="K25"/>
      <c r="L25"/>
      <c r="M25"/>
      <c r="N25"/>
      <c r="O25"/>
      <c r="P25"/>
      <c r="Q25"/>
      <c r="S25" s="4" t="str">
        <f t="shared" si="0"/>
        <v/>
      </c>
    </row>
    <row r="26" spans="1:19" ht="16.5" hidden="1" customHeight="1" x14ac:dyDescent="0.45">
      <c r="A26" s="5" t="str">
        <f t="shared" si="1"/>
        <v/>
      </c>
      <c r="B26"/>
      <c r="C26"/>
      <c r="D26"/>
      <c r="E26"/>
      <c r="F26"/>
      <c r="G26"/>
      <c r="H26"/>
      <c r="I26"/>
      <c r="J26"/>
      <c r="K26"/>
      <c r="L26"/>
      <c r="M26"/>
      <c r="N26"/>
      <c r="O26"/>
      <c r="P26"/>
      <c r="Q26"/>
      <c r="S26" s="4" t="str">
        <f t="shared" si="0"/>
        <v/>
      </c>
    </row>
    <row r="27" spans="1:19" ht="16.5" hidden="1" customHeight="1" x14ac:dyDescent="0.45">
      <c r="A27" s="5" t="str">
        <f t="shared" si="1"/>
        <v/>
      </c>
      <c r="B27"/>
      <c r="C27"/>
      <c r="D27"/>
      <c r="E27"/>
      <c r="F27"/>
      <c r="G27"/>
      <c r="H27"/>
      <c r="I27"/>
      <c r="J27"/>
      <c r="K27"/>
      <c r="L27"/>
      <c r="M27"/>
      <c r="N27"/>
      <c r="O27"/>
      <c r="P27"/>
      <c r="Q27"/>
      <c r="S27" s="4" t="str">
        <f t="shared" si="0"/>
        <v/>
      </c>
    </row>
    <row r="28" spans="1:19" ht="16.5" hidden="1" customHeight="1" x14ac:dyDescent="0.45">
      <c r="A28" s="5" t="str">
        <f t="shared" si="1"/>
        <v/>
      </c>
      <c r="B28"/>
      <c r="C28"/>
      <c r="D28"/>
      <c r="E28"/>
      <c r="F28"/>
      <c r="G28"/>
      <c r="H28"/>
      <c r="I28"/>
      <c r="J28"/>
      <c r="K28"/>
      <c r="L28"/>
      <c r="M28"/>
      <c r="N28"/>
      <c r="O28"/>
      <c r="P28"/>
      <c r="Q28"/>
      <c r="S28" s="4" t="str">
        <f t="shared" si="0"/>
        <v/>
      </c>
    </row>
    <row r="29" spans="1:19" ht="16.5" hidden="1" customHeight="1" x14ac:dyDescent="0.45">
      <c r="A29" s="5" t="str">
        <f t="shared" si="1"/>
        <v/>
      </c>
      <c r="B29"/>
      <c r="C29"/>
      <c r="D29"/>
      <c r="E29"/>
      <c r="F29"/>
      <c r="G29"/>
      <c r="H29"/>
      <c r="I29"/>
      <c r="J29"/>
      <c r="K29"/>
      <c r="L29"/>
      <c r="M29"/>
      <c r="N29"/>
      <c r="O29"/>
      <c r="P29"/>
      <c r="Q29"/>
      <c r="S29" s="4" t="str">
        <f t="shared" si="0"/>
        <v/>
      </c>
    </row>
    <row r="30" spans="1:19" ht="16.5" hidden="1" customHeight="1" x14ac:dyDescent="0.45">
      <c r="A30" s="5" t="str">
        <f t="shared" si="1"/>
        <v/>
      </c>
      <c r="B30"/>
      <c r="C30"/>
      <c r="D30"/>
      <c r="E30"/>
      <c r="F30"/>
      <c r="G30"/>
      <c r="H30"/>
      <c r="I30"/>
      <c r="J30"/>
      <c r="K30"/>
      <c r="L30"/>
      <c r="M30"/>
      <c r="N30"/>
      <c r="O30"/>
      <c r="P30"/>
      <c r="Q30"/>
      <c r="S30" s="4" t="str">
        <f t="shared" si="0"/>
        <v/>
      </c>
    </row>
    <row r="31" spans="1:19" ht="16.5" hidden="1" customHeight="1" x14ac:dyDescent="0.45">
      <c r="A31" s="5" t="str">
        <f t="shared" si="1"/>
        <v/>
      </c>
      <c r="B31"/>
      <c r="C31"/>
      <c r="D31"/>
      <c r="E31"/>
      <c r="F31"/>
      <c r="G31"/>
      <c r="H31"/>
      <c r="I31"/>
      <c r="J31"/>
      <c r="K31"/>
      <c r="L31"/>
      <c r="M31"/>
      <c r="N31"/>
      <c r="O31"/>
      <c r="P31"/>
      <c r="Q31"/>
      <c r="S31" s="4" t="str">
        <f t="shared" si="0"/>
        <v/>
      </c>
    </row>
    <row r="32" spans="1:19" ht="16.5" hidden="1" customHeight="1" x14ac:dyDescent="0.45">
      <c r="A32" s="5" t="str">
        <f t="shared" si="1"/>
        <v/>
      </c>
      <c r="B32"/>
      <c r="C32"/>
      <c r="D32"/>
      <c r="E32"/>
      <c r="F32"/>
      <c r="G32"/>
      <c r="H32"/>
      <c r="I32"/>
      <c r="J32"/>
      <c r="K32"/>
      <c r="L32"/>
      <c r="M32"/>
      <c r="N32"/>
      <c r="O32"/>
      <c r="P32"/>
      <c r="Q32"/>
      <c r="S32" s="4" t="str">
        <f t="shared" si="0"/>
        <v/>
      </c>
    </row>
    <row r="33" spans="1:19" ht="16.5" hidden="1" customHeight="1" x14ac:dyDescent="0.45">
      <c r="A33" s="5" t="str">
        <f t="shared" si="1"/>
        <v/>
      </c>
      <c r="B33"/>
      <c r="C33"/>
      <c r="D33"/>
      <c r="E33"/>
      <c r="F33"/>
      <c r="G33"/>
      <c r="H33"/>
      <c r="I33"/>
      <c r="J33"/>
      <c r="K33"/>
      <c r="L33"/>
      <c r="M33"/>
      <c r="N33"/>
      <c r="O33"/>
      <c r="P33"/>
      <c r="Q33"/>
      <c r="S33" s="4" t="str">
        <f t="shared" si="0"/>
        <v/>
      </c>
    </row>
    <row r="34" spans="1:19" ht="16.5" hidden="1" customHeight="1" x14ac:dyDescent="0.45">
      <c r="A34" s="5" t="str">
        <f t="shared" si="1"/>
        <v/>
      </c>
      <c r="B34"/>
      <c r="C34"/>
      <c r="D34"/>
      <c r="E34"/>
      <c r="F34"/>
      <c r="G34"/>
      <c r="H34"/>
      <c r="I34"/>
      <c r="J34"/>
      <c r="K34"/>
      <c r="L34"/>
      <c r="M34"/>
      <c r="N34"/>
      <c r="O34"/>
      <c r="P34"/>
      <c r="Q34"/>
      <c r="S34" s="4" t="str">
        <f t="shared" si="0"/>
        <v/>
      </c>
    </row>
    <row r="35" spans="1:19" hidden="1" x14ac:dyDescent="0.45">
      <c r="A35" s="5" t="str">
        <f t="shared" si="1"/>
        <v/>
      </c>
      <c r="B35"/>
      <c r="C35"/>
      <c r="D35"/>
      <c r="E35"/>
      <c r="F35"/>
      <c r="G35"/>
      <c r="H35"/>
      <c r="I35"/>
      <c r="J35"/>
      <c r="K35"/>
      <c r="L35"/>
      <c r="M35"/>
      <c r="N35"/>
      <c r="O35"/>
      <c r="P35"/>
      <c r="Q35"/>
      <c r="S35" s="4" t="str">
        <f t="shared" si="0"/>
        <v/>
      </c>
    </row>
    <row r="36" spans="1:19" hidden="1" x14ac:dyDescent="0.45">
      <c r="A36" s="5" t="str">
        <f t="shared" si="1"/>
        <v/>
      </c>
      <c r="B36"/>
      <c r="C36"/>
      <c r="D36"/>
      <c r="E36"/>
      <c r="F36"/>
      <c r="G36"/>
      <c r="H36"/>
      <c r="I36"/>
      <c r="J36"/>
      <c r="K36"/>
      <c r="L36"/>
      <c r="M36"/>
      <c r="N36"/>
      <c r="O36"/>
      <c r="P36"/>
      <c r="Q36"/>
      <c r="S36" s="4" t="str">
        <f t="shared" si="0"/>
        <v/>
      </c>
    </row>
    <row r="37" spans="1:19" hidden="1" x14ac:dyDescent="0.45">
      <c r="A37" s="5" t="str">
        <f t="shared" si="1"/>
        <v/>
      </c>
      <c r="B37"/>
      <c r="C37"/>
      <c r="D37"/>
      <c r="E37"/>
      <c r="F37"/>
      <c r="G37"/>
      <c r="H37"/>
      <c r="I37"/>
      <c r="J37"/>
      <c r="K37"/>
      <c r="L37"/>
      <c r="M37"/>
      <c r="N37"/>
      <c r="O37"/>
      <c r="P37"/>
      <c r="Q37"/>
      <c r="S37" s="4" t="str">
        <f t="shared" si="0"/>
        <v/>
      </c>
    </row>
    <row r="38" spans="1:19" hidden="1" x14ac:dyDescent="0.45">
      <c r="A38" s="5" t="str">
        <f t="shared" si="1"/>
        <v/>
      </c>
      <c r="B38"/>
      <c r="C38"/>
      <c r="D38"/>
      <c r="E38"/>
      <c r="F38"/>
      <c r="G38"/>
      <c r="H38"/>
      <c r="I38"/>
      <c r="J38"/>
      <c r="K38"/>
      <c r="L38"/>
      <c r="M38"/>
      <c r="N38"/>
      <c r="O38"/>
      <c r="P38"/>
      <c r="Q38"/>
      <c r="S38" s="4" t="str">
        <f t="shared" si="0"/>
        <v/>
      </c>
    </row>
    <row r="39" spans="1:19" hidden="1" x14ac:dyDescent="0.45">
      <c r="A39" s="5" t="str">
        <f t="shared" si="1"/>
        <v/>
      </c>
      <c r="B39"/>
      <c r="C39"/>
      <c r="D39"/>
      <c r="E39"/>
      <c r="F39"/>
      <c r="G39"/>
      <c r="H39"/>
      <c r="I39"/>
      <c r="J39"/>
      <c r="K39"/>
      <c r="L39"/>
      <c r="M39"/>
      <c r="N39"/>
      <c r="O39"/>
      <c r="P39"/>
      <c r="Q39"/>
      <c r="S39" s="4" t="str">
        <f t="shared" si="0"/>
        <v/>
      </c>
    </row>
    <row r="40" spans="1:19" hidden="1" x14ac:dyDescent="0.45">
      <c r="A40" s="5" t="str">
        <f t="shared" si="1"/>
        <v/>
      </c>
      <c r="B40"/>
      <c r="C40"/>
      <c r="D40"/>
      <c r="E40"/>
      <c r="F40"/>
      <c r="G40"/>
      <c r="H40"/>
      <c r="I40"/>
      <c r="J40"/>
      <c r="K40"/>
      <c r="L40"/>
      <c r="M40"/>
      <c r="N40"/>
      <c r="O40"/>
      <c r="P40"/>
      <c r="Q40"/>
      <c r="S40" s="4" t="str">
        <f t="shared" si="0"/>
        <v/>
      </c>
    </row>
    <row r="41" spans="1:19" hidden="1" x14ac:dyDescent="0.45">
      <c r="A41" s="5" t="str">
        <f t="shared" si="1"/>
        <v/>
      </c>
      <c r="B41"/>
      <c r="C41"/>
      <c r="D41"/>
      <c r="E41"/>
      <c r="F41"/>
      <c r="G41"/>
      <c r="H41"/>
      <c r="I41"/>
      <c r="J41"/>
      <c r="K41"/>
      <c r="L41"/>
      <c r="M41"/>
      <c r="N41"/>
      <c r="O41"/>
      <c r="P41"/>
      <c r="Q41"/>
      <c r="S41" s="4" t="str">
        <f t="shared" si="0"/>
        <v/>
      </c>
    </row>
    <row r="42" spans="1:19" hidden="1" x14ac:dyDescent="0.45">
      <c r="A42" s="5" t="str">
        <f t="shared" si="1"/>
        <v/>
      </c>
      <c r="B42"/>
      <c r="C42"/>
      <c r="D42"/>
      <c r="E42"/>
      <c r="F42"/>
      <c r="G42"/>
      <c r="H42"/>
      <c r="I42"/>
      <c r="J42"/>
      <c r="K42"/>
      <c r="L42"/>
      <c r="M42"/>
      <c r="N42"/>
      <c r="O42"/>
      <c r="P42"/>
      <c r="Q42"/>
      <c r="S42" s="4" t="str">
        <f t="shared" si="0"/>
        <v/>
      </c>
    </row>
    <row r="43" spans="1:19" hidden="1" x14ac:dyDescent="0.45">
      <c r="A43" s="5" t="str">
        <f t="shared" si="1"/>
        <v/>
      </c>
      <c r="B43"/>
      <c r="C43"/>
      <c r="D43"/>
      <c r="E43"/>
      <c r="F43"/>
      <c r="G43"/>
      <c r="H43"/>
      <c r="I43"/>
      <c r="J43"/>
      <c r="K43"/>
      <c r="L43"/>
      <c r="M43"/>
      <c r="N43"/>
      <c r="O43"/>
      <c r="P43"/>
      <c r="Q43"/>
      <c r="S43" s="4" t="str">
        <f t="shared" si="0"/>
        <v/>
      </c>
    </row>
    <row r="44" spans="1:19" hidden="1" x14ac:dyDescent="0.45">
      <c r="A44" s="5" t="str">
        <f t="shared" si="1"/>
        <v/>
      </c>
      <c r="B44"/>
      <c r="C44"/>
      <c r="D44"/>
      <c r="E44"/>
      <c r="F44"/>
      <c r="G44"/>
      <c r="H44"/>
      <c r="I44"/>
      <c r="J44"/>
      <c r="K44"/>
      <c r="L44"/>
      <c r="M44"/>
      <c r="N44"/>
      <c r="O44"/>
      <c r="P44"/>
      <c r="Q44"/>
      <c r="S44" s="4" t="str">
        <f t="shared" si="0"/>
        <v/>
      </c>
    </row>
    <row r="45" spans="1:19" hidden="1" x14ac:dyDescent="0.45">
      <c r="A45" s="5" t="str">
        <f t="shared" si="1"/>
        <v/>
      </c>
      <c r="B45"/>
      <c r="C45"/>
      <c r="D45"/>
      <c r="E45"/>
      <c r="F45"/>
      <c r="G45"/>
      <c r="H45"/>
      <c r="I45"/>
      <c r="J45"/>
      <c r="K45"/>
      <c r="L45"/>
      <c r="M45"/>
      <c r="N45"/>
      <c r="O45"/>
      <c r="P45"/>
      <c r="Q45"/>
      <c r="S45" s="4" t="str">
        <f t="shared" si="0"/>
        <v/>
      </c>
    </row>
    <row r="46" spans="1:19" hidden="1" x14ac:dyDescent="0.45">
      <c r="A46" s="5" t="str">
        <f t="shared" si="1"/>
        <v/>
      </c>
      <c r="B46"/>
      <c r="C46"/>
      <c r="D46"/>
      <c r="E46"/>
      <c r="F46"/>
      <c r="G46"/>
      <c r="H46"/>
      <c r="I46"/>
      <c r="J46"/>
      <c r="K46"/>
      <c r="L46"/>
      <c r="M46"/>
      <c r="N46"/>
      <c r="O46"/>
      <c r="P46"/>
      <c r="Q46"/>
      <c r="S46" s="4" t="str">
        <f t="shared" si="0"/>
        <v/>
      </c>
    </row>
    <row r="47" spans="1:19" hidden="1" x14ac:dyDescent="0.45">
      <c r="A47" s="5" t="str">
        <f t="shared" si="1"/>
        <v/>
      </c>
      <c r="B47"/>
      <c r="C47"/>
      <c r="D47"/>
      <c r="E47"/>
      <c r="F47"/>
      <c r="G47"/>
      <c r="H47"/>
      <c r="I47"/>
      <c r="J47"/>
      <c r="K47"/>
      <c r="L47"/>
      <c r="M47"/>
      <c r="N47"/>
      <c r="O47"/>
      <c r="P47"/>
      <c r="Q47"/>
      <c r="S47" s="4" t="str">
        <f t="shared" si="0"/>
        <v/>
      </c>
    </row>
    <row r="48" spans="1:19" hidden="1" x14ac:dyDescent="0.45">
      <c r="A48" s="5" t="str">
        <f t="shared" si="1"/>
        <v/>
      </c>
      <c r="B48"/>
      <c r="C48"/>
      <c r="D48"/>
      <c r="E48"/>
      <c r="F48"/>
      <c r="G48"/>
      <c r="H48"/>
      <c r="I48"/>
      <c r="J48"/>
      <c r="K48"/>
      <c r="L48"/>
      <c r="M48"/>
      <c r="N48"/>
      <c r="O48"/>
      <c r="P48"/>
      <c r="Q48"/>
      <c r="S48" s="4" t="str">
        <f t="shared" si="0"/>
        <v/>
      </c>
    </row>
    <row r="49" spans="1:19" hidden="1" x14ac:dyDescent="0.45">
      <c r="A49" s="5" t="str">
        <f t="shared" si="1"/>
        <v/>
      </c>
      <c r="B49"/>
      <c r="C49"/>
      <c r="D49"/>
      <c r="E49"/>
      <c r="F49"/>
      <c r="G49"/>
      <c r="H49"/>
      <c r="I49"/>
      <c r="J49"/>
      <c r="K49"/>
      <c r="L49"/>
      <c r="M49"/>
      <c r="N49"/>
      <c r="O49"/>
      <c r="P49"/>
      <c r="Q49"/>
      <c r="S49" s="4" t="str">
        <f t="shared" si="0"/>
        <v/>
      </c>
    </row>
    <row r="50" spans="1:19" hidden="1" x14ac:dyDescent="0.45">
      <c r="A50" s="5" t="str">
        <f t="shared" si="1"/>
        <v/>
      </c>
      <c r="B50"/>
      <c r="C50"/>
      <c r="D50"/>
      <c r="E50"/>
      <c r="F50"/>
      <c r="G50"/>
      <c r="H50"/>
      <c r="I50"/>
      <c r="J50"/>
      <c r="K50"/>
      <c r="L50"/>
      <c r="M50"/>
      <c r="N50"/>
      <c r="O50"/>
      <c r="P50"/>
      <c r="Q50"/>
      <c r="S50" s="4" t="str">
        <f t="shared" si="0"/>
        <v/>
      </c>
    </row>
    <row r="51" spans="1:19" hidden="1" x14ac:dyDescent="0.45">
      <c r="A51" s="5" t="str">
        <f t="shared" si="1"/>
        <v/>
      </c>
      <c r="B51"/>
      <c r="C51"/>
      <c r="D51"/>
      <c r="E51"/>
      <c r="F51"/>
      <c r="G51"/>
      <c r="H51"/>
      <c r="I51"/>
      <c r="J51"/>
      <c r="K51"/>
      <c r="L51"/>
      <c r="M51"/>
      <c r="N51"/>
      <c r="O51"/>
      <c r="P51"/>
      <c r="Q51"/>
      <c r="S51" s="4" t="str">
        <f t="shared" si="0"/>
        <v/>
      </c>
    </row>
    <row r="52" spans="1:19" hidden="1" x14ac:dyDescent="0.45">
      <c r="A52" s="5" t="str">
        <f t="shared" si="1"/>
        <v/>
      </c>
      <c r="B52"/>
      <c r="C52"/>
      <c r="D52"/>
      <c r="E52"/>
      <c r="F52"/>
      <c r="G52"/>
      <c r="H52"/>
      <c r="I52"/>
      <c r="J52"/>
      <c r="K52"/>
      <c r="L52"/>
      <c r="M52"/>
      <c r="N52"/>
      <c r="O52"/>
      <c r="P52"/>
      <c r="Q52"/>
      <c r="S52" s="4" t="str">
        <f t="shared" si="0"/>
        <v/>
      </c>
    </row>
    <row r="53" spans="1:19" hidden="1" x14ac:dyDescent="0.45">
      <c r="A53" s="5" t="str">
        <f t="shared" si="1"/>
        <v/>
      </c>
      <c r="B53"/>
      <c r="C53"/>
      <c r="D53"/>
      <c r="E53"/>
      <c r="F53"/>
      <c r="G53"/>
      <c r="H53"/>
      <c r="I53"/>
      <c r="J53"/>
      <c r="K53"/>
      <c r="L53"/>
      <c r="M53"/>
      <c r="N53"/>
      <c r="O53"/>
      <c r="P53"/>
      <c r="Q53"/>
      <c r="S53" s="4" t="str">
        <f t="shared" si="0"/>
        <v/>
      </c>
    </row>
    <row r="54" spans="1:19" hidden="1" x14ac:dyDescent="0.45">
      <c r="A54" s="5" t="str">
        <f t="shared" si="1"/>
        <v/>
      </c>
      <c r="B54"/>
      <c r="C54"/>
      <c r="D54"/>
      <c r="E54"/>
      <c r="F54"/>
      <c r="G54"/>
      <c r="H54"/>
      <c r="I54"/>
      <c r="J54"/>
      <c r="K54"/>
      <c r="L54"/>
      <c r="M54"/>
      <c r="N54"/>
      <c r="O54"/>
      <c r="P54"/>
      <c r="Q54"/>
      <c r="S54" s="4" t="str">
        <f t="shared" si="0"/>
        <v/>
      </c>
    </row>
    <row r="55" spans="1:19" hidden="1" x14ac:dyDescent="0.45">
      <c r="A55" s="5" t="str">
        <f t="shared" si="1"/>
        <v/>
      </c>
      <c r="B55"/>
      <c r="C55"/>
      <c r="D55"/>
      <c r="E55"/>
      <c r="F55"/>
      <c r="G55"/>
      <c r="H55"/>
      <c r="I55"/>
      <c r="J55"/>
      <c r="K55"/>
      <c r="L55"/>
      <c r="M55"/>
      <c r="N55"/>
      <c r="O55"/>
      <c r="P55"/>
      <c r="Q55"/>
      <c r="S55" s="4" t="str">
        <f t="shared" si="0"/>
        <v/>
      </c>
    </row>
    <row r="56" spans="1:19" hidden="1" x14ac:dyDescent="0.45">
      <c r="A56" s="5" t="str">
        <f t="shared" si="1"/>
        <v/>
      </c>
      <c r="B56"/>
      <c r="C56"/>
      <c r="D56"/>
      <c r="E56"/>
      <c r="F56"/>
      <c r="G56"/>
      <c r="H56"/>
      <c r="I56"/>
      <c r="J56"/>
      <c r="K56"/>
      <c r="L56"/>
      <c r="M56"/>
      <c r="N56"/>
      <c r="O56"/>
      <c r="P56"/>
      <c r="Q56"/>
      <c r="S56" s="4" t="str">
        <f t="shared" si="0"/>
        <v/>
      </c>
    </row>
    <row r="57" spans="1:19" hidden="1" x14ac:dyDescent="0.45">
      <c r="A57" s="5" t="str">
        <f t="shared" si="1"/>
        <v/>
      </c>
      <c r="B57"/>
      <c r="C57"/>
      <c r="D57"/>
      <c r="E57"/>
      <c r="F57"/>
      <c r="G57"/>
      <c r="H57"/>
      <c r="I57"/>
      <c r="J57"/>
      <c r="K57"/>
      <c r="L57"/>
      <c r="M57"/>
      <c r="N57"/>
      <c r="O57"/>
      <c r="P57"/>
      <c r="Q57"/>
      <c r="S57" s="4" t="str">
        <f t="shared" si="0"/>
        <v/>
      </c>
    </row>
    <row r="58" spans="1:19" hidden="1" x14ac:dyDescent="0.45">
      <c r="A58" s="5" t="str">
        <f t="shared" si="1"/>
        <v/>
      </c>
      <c r="B58"/>
      <c r="C58"/>
      <c r="D58"/>
      <c r="E58"/>
      <c r="F58"/>
      <c r="G58"/>
      <c r="H58"/>
      <c r="I58"/>
      <c r="J58"/>
      <c r="K58"/>
      <c r="L58"/>
      <c r="M58"/>
      <c r="N58"/>
      <c r="O58"/>
      <c r="P58"/>
      <c r="Q58"/>
      <c r="S58" s="4" t="str">
        <f t="shared" si="0"/>
        <v/>
      </c>
    </row>
    <row r="59" spans="1:19" hidden="1" x14ac:dyDescent="0.45">
      <c r="A59" s="5" t="str">
        <f t="shared" si="1"/>
        <v/>
      </c>
      <c r="B59"/>
      <c r="C59"/>
      <c r="D59"/>
      <c r="E59"/>
      <c r="F59"/>
      <c r="G59"/>
      <c r="H59"/>
      <c r="I59"/>
      <c r="J59"/>
      <c r="K59"/>
      <c r="L59"/>
      <c r="M59"/>
      <c r="N59"/>
      <c r="O59"/>
      <c r="P59"/>
      <c r="Q59"/>
      <c r="S59" s="4" t="str">
        <f t="shared" si="0"/>
        <v/>
      </c>
    </row>
    <row r="60" spans="1:19" hidden="1" x14ac:dyDescent="0.45">
      <c r="A60" s="5" t="str">
        <f t="shared" si="1"/>
        <v/>
      </c>
      <c r="B60"/>
      <c r="C60"/>
      <c r="D60"/>
      <c r="E60"/>
      <c r="F60"/>
      <c r="G60"/>
      <c r="H60"/>
      <c r="I60"/>
      <c r="J60"/>
      <c r="K60"/>
      <c r="L60"/>
      <c r="M60"/>
      <c r="N60"/>
      <c r="O60"/>
      <c r="P60"/>
      <c r="Q60"/>
      <c r="S60" s="4" t="str">
        <f t="shared" si="0"/>
        <v/>
      </c>
    </row>
    <row r="61" spans="1:19" hidden="1" x14ac:dyDescent="0.45">
      <c r="A61" s="5" t="str">
        <f t="shared" si="1"/>
        <v/>
      </c>
      <c r="B61"/>
      <c r="C61"/>
      <c r="D61"/>
      <c r="E61"/>
      <c r="F61"/>
      <c r="G61"/>
      <c r="H61"/>
      <c r="I61"/>
      <c r="J61"/>
      <c r="K61"/>
      <c r="L61"/>
      <c r="M61"/>
      <c r="N61"/>
      <c r="O61"/>
      <c r="P61"/>
      <c r="Q61"/>
      <c r="S61" s="4" t="str">
        <f t="shared" si="0"/>
        <v/>
      </c>
    </row>
    <row r="62" spans="1:19" hidden="1" x14ac:dyDescent="0.45">
      <c r="A62" s="5" t="str">
        <f t="shared" si="1"/>
        <v/>
      </c>
      <c r="B62"/>
      <c r="C62"/>
      <c r="D62"/>
      <c r="E62"/>
      <c r="F62"/>
      <c r="G62"/>
      <c r="H62"/>
      <c r="I62"/>
      <c r="J62"/>
      <c r="K62"/>
      <c r="L62"/>
      <c r="M62"/>
      <c r="N62"/>
      <c r="O62"/>
      <c r="P62"/>
      <c r="Q62"/>
      <c r="S62" s="4" t="str">
        <f t="shared" si="0"/>
        <v/>
      </c>
    </row>
    <row r="63" spans="1:19" hidden="1" x14ac:dyDescent="0.45">
      <c r="A63" s="5" t="str">
        <f t="shared" si="1"/>
        <v/>
      </c>
      <c r="B63"/>
      <c r="C63"/>
      <c r="D63"/>
      <c r="E63"/>
      <c r="F63"/>
      <c r="G63"/>
      <c r="H63"/>
      <c r="I63"/>
      <c r="J63"/>
      <c r="K63"/>
      <c r="L63"/>
      <c r="M63"/>
      <c r="N63"/>
      <c r="O63"/>
      <c r="P63"/>
      <c r="Q63"/>
      <c r="S63" s="4" t="str">
        <f t="shared" si="0"/>
        <v/>
      </c>
    </row>
    <row r="64" spans="1:19" hidden="1" x14ac:dyDescent="0.45">
      <c r="A64" s="5" t="str">
        <f t="shared" si="1"/>
        <v/>
      </c>
      <c r="B64"/>
      <c r="C64"/>
      <c r="D64"/>
      <c r="E64"/>
      <c r="F64"/>
      <c r="G64"/>
      <c r="H64"/>
      <c r="I64"/>
      <c r="J64"/>
      <c r="K64"/>
      <c r="L64"/>
      <c r="M64"/>
      <c r="N64"/>
      <c r="O64"/>
      <c r="P64"/>
      <c r="Q64"/>
      <c r="S64" s="4" t="str">
        <f t="shared" si="0"/>
        <v/>
      </c>
    </row>
    <row r="65" spans="1:19" hidden="1" x14ac:dyDescent="0.45">
      <c r="A65" s="5" t="str">
        <f t="shared" si="1"/>
        <v/>
      </c>
      <c r="B65"/>
      <c r="C65"/>
      <c r="D65"/>
      <c r="E65"/>
      <c r="F65"/>
      <c r="G65"/>
      <c r="H65"/>
      <c r="I65"/>
      <c r="J65"/>
      <c r="K65"/>
      <c r="L65"/>
      <c r="M65"/>
      <c r="N65"/>
      <c r="O65"/>
      <c r="P65"/>
      <c r="Q65"/>
      <c r="S65" s="4" t="str">
        <f t="shared" si="0"/>
        <v/>
      </c>
    </row>
    <row r="66" spans="1:19" hidden="1" x14ac:dyDescent="0.45">
      <c r="A66" s="5" t="str">
        <f t="shared" si="1"/>
        <v/>
      </c>
      <c r="B66"/>
      <c r="C66"/>
      <c r="D66"/>
      <c r="E66"/>
      <c r="F66"/>
      <c r="G66"/>
      <c r="H66"/>
      <c r="I66"/>
      <c r="J66"/>
      <c r="K66"/>
      <c r="L66"/>
      <c r="M66"/>
      <c r="N66"/>
      <c r="O66"/>
      <c r="P66"/>
      <c r="Q66"/>
      <c r="S66" s="4" t="str">
        <f t="shared" si="0"/>
        <v/>
      </c>
    </row>
    <row r="67" spans="1:19" hidden="1" x14ac:dyDescent="0.45">
      <c r="A67" s="5" t="str">
        <f t="shared" si="1"/>
        <v/>
      </c>
      <c r="B67"/>
      <c r="C67"/>
      <c r="D67"/>
      <c r="E67"/>
      <c r="F67"/>
      <c r="G67"/>
      <c r="H67"/>
      <c r="I67"/>
      <c r="J67"/>
      <c r="K67"/>
      <c r="L67"/>
      <c r="M67"/>
      <c r="N67"/>
      <c r="O67"/>
      <c r="P67"/>
      <c r="Q67"/>
      <c r="S67" s="4" t="str">
        <f t="shared" si="0"/>
        <v/>
      </c>
    </row>
    <row r="68" spans="1:19" hidden="1" x14ac:dyDescent="0.45">
      <c r="A68" s="5" t="str">
        <f t="shared" si="1"/>
        <v/>
      </c>
      <c r="B68"/>
      <c r="C68"/>
      <c r="D68"/>
      <c r="E68"/>
      <c r="F68"/>
      <c r="G68"/>
      <c r="H68"/>
      <c r="I68"/>
      <c r="J68"/>
      <c r="K68"/>
      <c r="L68"/>
      <c r="M68"/>
      <c r="N68"/>
      <c r="O68"/>
      <c r="P68"/>
      <c r="Q68"/>
      <c r="S68" s="4" t="str">
        <f t="shared" si="0"/>
        <v/>
      </c>
    </row>
    <row r="69" spans="1:19" hidden="1" x14ac:dyDescent="0.45">
      <c r="A69" s="5" t="str">
        <f t="shared" si="1"/>
        <v/>
      </c>
      <c r="B69"/>
      <c r="C69"/>
      <c r="D69"/>
      <c r="E69"/>
      <c r="F69"/>
      <c r="G69"/>
      <c r="H69"/>
      <c r="I69"/>
      <c r="J69"/>
      <c r="K69"/>
      <c r="L69"/>
      <c r="M69"/>
      <c r="N69"/>
      <c r="O69"/>
      <c r="P69"/>
      <c r="Q69"/>
      <c r="S69" s="4" t="str">
        <f t="shared" ref="S69:S132" si="2">IF(B69&lt;&gt;"","visible","")</f>
        <v/>
      </c>
    </row>
    <row r="70" spans="1:19" hidden="1" x14ac:dyDescent="0.45">
      <c r="A70" s="5" t="str">
        <f t="shared" si="1"/>
        <v/>
      </c>
      <c r="B70"/>
      <c r="C70"/>
      <c r="D70"/>
      <c r="E70"/>
      <c r="F70"/>
      <c r="G70"/>
      <c r="H70"/>
      <c r="I70"/>
      <c r="J70"/>
      <c r="K70"/>
      <c r="L70"/>
      <c r="M70"/>
      <c r="N70"/>
      <c r="O70"/>
      <c r="P70"/>
      <c r="Q70"/>
      <c r="S70" s="4" t="str">
        <f t="shared" si="2"/>
        <v/>
      </c>
    </row>
    <row r="71" spans="1:19" hidden="1" x14ac:dyDescent="0.45">
      <c r="A71" s="5" t="str">
        <f t="shared" si="1"/>
        <v/>
      </c>
      <c r="B71"/>
      <c r="C71"/>
      <c r="D71"/>
      <c r="E71"/>
      <c r="F71"/>
      <c r="G71"/>
      <c r="H71"/>
      <c r="I71"/>
      <c r="J71"/>
      <c r="K71"/>
      <c r="L71"/>
      <c r="M71"/>
      <c r="N71"/>
      <c r="O71"/>
      <c r="P71"/>
      <c r="Q71"/>
      <c r="S71" s="4" t="str">
        <f t="shared" si="2"/>
        <v/>
      </c>
    </row>
    <row r="72" spans="1:19" hidden="1" x14ac:dyDescent="0.45">
      <c r="A72" s="5" t="str">
        <f t="shared" si="1"/>
        <v/>
      </c>
      <c r="B72"/>
      <c r="C72"/>
      <c r="D72"/>
      <c r="E72"/>
      <c r="F72"/>
      <c r="G72"/>
      <c r="H72"/>
      <c r="I72"/>
      <c r="J72"/>
      <c r="K72"/>
      <c r="L72"/>
      <c r="M72"/>
      <c r="N72"/>
      <c r="O72"/>
      <c r="P72"/>
      <c r="Q72"/>
      <c r="S72" s="4" t="str">
        <f t="shared" si="2"/>
        <v/>
      </c>
    </row>
    <row r="73" spans="1:19" hidden="1" x14ac:dyDescent="0.45">
      <c r="A73" s="5" t="str">
        <f t="shared" si="1"/>
        <v/>
      </c>
      <c r="B73"/>
      <c r="C73"/>
      <c r="D73"/>
      <c r="E73"/>
      <c r="F73"/>
      <c r="G73"/>
      <c r="H73"/>
      <c r="I73"/>
      <c r="J73"/>
      <c r="K73"/>
      <c r="L73"/>
      <c r="M73"/>
      <c r="N73"/>
      <c r="O73"/>
      <c r="P73"/>
      <c r="Q73"/>
      <c r="S73" s="4" t="str">
        <f t="shared" si="2"/>
        <v/>
      </c>
    </row>
    <row r="74" spans="1:19" s="3" customFormat="1" hidden="1" x14ac:dyDescent="0.45">
      <c r="A74" s="5" t="str">
        <f t="shared" ref="A74:A107" si="3">IF(S74 ="visible",IF(B74 = "Total","",A73+1),"")</f>
        <v/>
      </c>
      <c r="B74"/>
      <c r="C74"/>
      <c r="D74"/>
      <c r="E74"/>
      <c r="F74"/>
      <c r="G74"/>
      <c r="H74"/>
      <c r="I74"/>
      <c r="J74"/>
      <c r="K74"/>
      <c r="L74"/>
      <c r="M74"/>
      <c r="N74"/>
      <c r="O74"/>
      <c r="P74"/>
      <c r="Q74"/>
      <c r="S74" s="4" t="str">
        <f t="shared" si="2"/>
        <v/>
      </c>
    </row>
    <row r="75" spans="1:19" s="3" customFormat="1" hidden="1" x14ac:dyDescent="0.45">
      <c r="A75" s="5" t="str">
        <f t="shared" si="3"/>
        <v/>
      </c>
      <c r="B75"/>
      <c r="C75"/>
      <c r="D75"/>
      <c r="E75"/>
      <c r="F75"/>
      <c r="G75"/>
      <c r="H75"/>
      <c r="I75"/>
      <c r="J75"/>
      <c r="K75"/>
      <c r="L75"/>
      <c r="M75"/>
      <c r="N75"/>
      <c r="O75"/>
      <c r="P75"/>
      <c r="Q75"/>
      <c r="S75" s="4" t="str">
        <f t="shared" si="2"/>
        <v/>
      </c>
    </row>
    <row r="76" spans="1:19" s="3" customFormat="1" hidden="1" x14ac:dyDescent="0.45">
      <c r="A76" s="5" t="str">
        <f t="shared" si="3"/>
        <v/>
      </c>
      <c r="B76"/>
      <c r="C76"/>
      <c r="D76"/>
      <c r="E76"/>
      <c r="F76"/>
      <c r="G76"/>
      <c r="H76"/>
      <c r="I76"/>
      <c r="J76"/>
      <c r="K76"/>
      <c r="L76"/>
      <c r="M76"/>
      <c r="N76"/>
      <c r="O76"/>
      <c r="P76"/>
      <c r="Q76"/>
      <c r="S76" s="4" t="str">
        <f t="shared" si="2"/>
        <v/>
      </c>
    </row>
    <row r="77" spans="1:19" s="3" customFormat="1" hidden="1" x14ac:dyDescent="0.45">
      <c r="A77" s="5" t="str">
        <f t="shared" si="3"/>
        <v/>
      </c>
      <c r="B77"/>
      <c r="C77"/>
      <c r="D77"/>
      <c r="E77"/>
      <c r="F77"/>
      <c r="G77"/>
      <c r="H77"/>
      <c r="I77"/>
      <c r="J77"/>
      <c r="K77"/>
      <c r="L77"/>
      <c r="M77"/>
      <c r="N77"/>
      <c r="O77"/>
      <c r="P77"/>
      <c r="Q77"/>
      <c r="S77" s="4" t="str">
        <f t="shared" si="2"/>
        <v/>
      </c>
    </row>
    <row r="78" spans="1:19" s="3" customFormat="1" hidden="1" x14ac:dyDescent="0.45">
      <c r="A78" s="5" t="str">
        <f t="shared" si="3"/>
        <v/>
      </c>
      <c r="B78"/>
      <c r="C78"/>
      <c r="D78"/>
      <c r="E78"/>
      <c r="F78"/>
      <c r="G78"/>
      <c r="H78"/>
      <c r="I78"/>
      <c r="J78"/>
      <c r="K78"/>
      <c r="L78"/>
      <c r="M78"/>
      <c r="N78"/>
      <c r="O78"/>
      <c r="P78"/>
      <c r="Q78"/>
      <c r="S78" s="4" t="str">
        <f t="shared" si="2"/>
        <v/>
      </c>
    </row>
    <row r="79" spans="1:19" s="3" customFormat="1" hidden="1" x14ac:dyDescent="0.45">
      <c r="A79" s="5" t="str">
        <f t="shared" si="3"/>
        <v/>
      </c>
      <c r="B79"/>
      <c r="C79"/>
      <c r="D79"/>
      <c r="E79"/>
      <c r="F79"/>
      <c r="G79"/>
      <c r="H79"/>
      <c r="I79"/>
      <c r="J79"/>
      <c r="K79"/>
      <c r="L79"/>
      <c r="M79"/>
      <c r="N79"/>
      <c r="O79"/>
      <c r="P79"/>
      <c r="Q79"/>
      <c r="S79" s="4" t="str">
        <f t="shared" si="2"/>
        <v/>
      </c>
    </row>
    <row r="80" spans="1:19" s="3" customFormat="1" hidden="1" x14ac:dyDescent="0.45">
      <c r="A80" s="5" t="str">
        <f t="shared" si="3"/>
        <v/>
      </c>
      <c r="B80"/>
      <c r="C80"/>
      <c r="D80"/>
      <c r="E80"/>
      <c r="F80"/>
      <c r="G80"/>
      <c r="H80"/>
      <c r="I80"/>
      <c r="J80"/>
      <c r="K80"/>
      <c r="L80"/>
      <c r="M80"/>
      <c r="N80"/>
      <c r="O80"/>
      <c r="P80"/>
      <c r="Q80"/>
      <c r="S80" s="4" t="str">
        <f t="shared" si="2"/>
        <v/>
      </c>
    </row>
    <row r="81" spans="1:19" s="3" customFormat="1" hidden="1" x14ac:dyDescent="0.45">
      <c r="A81" s="5" t="str">
        <f t="shared" si="3"/>
        <v/>
      </c>
      <c r="B81"/>
      <c r="C81"/>
      <c r="D81"/>
      <c r="E81"/>
      <c r="F81"/>
      <c r="G81"/>
      <c r="H81"/>
      <c r="I81"/>
      <c r="J81"/>
      <c r="K81"/>
      <c r="L81"/>
      <c r="M81"/>
      <c r="N81"/>
      <c r="O81"/>
      <c r="P81"/>
      <c r="Q81"/>
      <c r="S81" s="4" t="str">
        <f t="shared" si="2"/>
        <v/>
      </c>
    </row>
    <row r="82" spans="1:19" s="3" customFormat="1" hidden="1" x14ac:dyDescent="0.45">
      <c r="A82" s="5" t="str">
        <f t="shared" si="3"/>
        <v/>
      </c>
      <c r="B82"/>
      <c r="C82"/>
      <c r="D82"/>
      <c r="E82"/>
      <c r="F82"/>
      <c r="G82"/>
      <c r="H82"/>
      <c r="I82"/>
      <c r="J82"/>
      <c r="K82"/>
      <c r="L82"/>
      <c r="M82"/>
      <c r="N82"/>
      <c r="O82"/>
      <c r="P82"/>
      <c r="Q82"/>
      <c r="S82" s="4" t="str">
        <f t="shared" si="2"/>
        <v/>
      </c>
    </row>
    <row r="83" spans="1:19" s="3" customFormat="1" hidden="1" x14ac:dyDescent="0.45">
      <c r="A83" s="5" t="str">
        <f t="shared" si="3"/>
        <v/>
      </c>
      <c r="B83"/>
      <c r="C83"/>
      <c r="D83"/>
      <c r="E83"/>
      <c r="F83"/>
      <c r="G83"/>
      <c r="H83"/>
      <c r="I83"/>
      <c r="J83"/>
      <c r="K83"/>
      <c r="L83"/>
      <c r="M83"/>
      <c r="N83"/>
      <c r="O83"/>
      <c r="P83"/>
      <c r="Q83"/>
      <c r="S83" s="4" t="str">
        <f t="shared" si="2"/>
        <v/>
      </c>
    </row>
    <row r="84" spans="1:19" s="3" customFormat="1" hidden="1" x14ac:dyDescent="0.45">
      <c r="A84" s="5" t="str">
        <f t="shared" si="3"/>
        <v/>
      </c>
      <c r="B84"/>
      <c r="C84"/>
      <c r="D84"/>
      <c r="E84"/>
      <c r="F84"/>
      <c r="G84"/>
      <c r="H84"/>
      <c r="I84"/>
      <c r="J84"/>
      <c r="K84"/>
      <c r="L84"/>
      <c r="M84"/>
      <c r="N84"/>
      <c r="O84"/>
      <c r="P84"/>
      <c r="Q84"/>
      <c r="S84" s="4" t="str">
        <f t="shared" si="2"/>
        <v/>
      </c>
    </row>
    <row r="85" spans="1:19" s="3" customFormat="1" hidden="1" x14ac:dyDescent="0.45">
      <c r="A85" s="5" t="str">
        <f t="shared" si="3"/>
        <v/>
      </c>
      <c r="B85"/>
      <c r="C85"/>
      <c r="D85"/>
      <c r="E85"/>
      <c r="F85"/>
      <c r="G85"/>
      <c r="H85"/>
      <c r="I85"/>
      <c r="J85"/>
      <c r="K85"/>
      <c r="L85"/>
      <c r="M85"/>
      <c r="N85"/>
      <c r="O85"/>
      <c r="P85"/>
      <c r="Q85"/>
      <c r="S85" s="4" t="str">
        <f t="shared" si="2"/>
        <v/>
      </c>
    </row>
    <row r="86" spans="1:19" s="3" customFormat="1" hidden="1" x14ac:dyDescent="0.45">
      <c r="A86" s="5" t="str">
        <f t="shared" si="3"/>
        <v/>
      </c>
      <c r="B86"/>
      <c r="C86"/>
      <c r="D86"/>
      <c r="E86"/>
      <c r="F86"/>
      <c r="G86"/>
      <c r="H86"/>
      <c r="I86"/>
      <c r="J86"/>
      <c r="K86"/>
      <c r="L86"/>
      <c r="M86"/>
      <c r="N86"/>
      <c r="O86"/>
      <c r="P86"/>
      <c r="Q86"/>
      <c r="S86" s="4" t="str">
        <f t="shared" si="2"/>
        <v/>
      </c>
    </row>
    <row r="87" spans="1:19" s="3" customFormat="1" hidden="1" x14ac:dyDescent="0.45">
      <c r="A87" s="5" t="str">
        <f t="shared" si="3"/>
        <v/>
      </c>
      <c r="B87"/>
      <c r="C87"/>
      <c r="D87"/>
      <c r="E87"/>
      <c r="F87"/>
      <c r="G87"/>
      <c r="H87"/>
      <c r="I87"/>
      <c r="J87"/>
      <c r="K87"/>
      <c r="L87"/>
      <c r="M87"/>
      <c r="N87"/>
      <c r="O87"/>
      <c r="P87"/>
      <c r="Q87"/>
      <c r="S87" s="4" t="str">
        <f t="shared" si="2"/>
        <v/>
      </c>
    </row>
    <row r="88" spans="1:19" s="3" customFormat="1" hidden="1" x14ac:dyDescent="0.45">
      <c r="A88" s="5" t="str">
        <f t="shared" si="3"/>
        <v/>
      </c>
      <c r="B88"/>
      <c r="C88"/>
      <c r="D88"/>
      <c r="E88"/>
      <c r="F88"/>
      <c r="G88"/>
      <c r="H88"/>
      <c r="I88"/>
      <c r="J88"/>
      <c r="K88"/>
      <c r="L88"/>
      <c r="M88"/>
      <c r="N88"/>
      <c r="O88"/>
      <c r="P88"/>
      <c r="Q88"/>
      <c r="S88" s="4" t="str">
        <f t="shared" si="2"/>
        <v/>
      </c>
    </row>
    <row r="89" spans="1:19" s="3" customFormat="1" hidden="1" x14ac:dyDescent="0.45">
      <c r="A89" s="5" t="str">
        <f t="shared" si="3"/>
        <v/>
      </c>
      <c r="B89"/>
      <c r="C89"/>
      <c r="D89"/>
      <c r="E89"/>
      <c r="F89"/>
      <c r="G89"/>
      <c r="H89"/>
      <c r="I89"/>
      <c r="J89"/>
      <c r="K89"/>
      <c r="L89"/>
      <c r="M89"/>
      <c r="N89"/>
      <c r="O89"/>
      <c r="P89"/>
      <c r="Q89"/>
      <c r="S89" s="4" t="str">
        <f t="shared" si="2"/>
        <v/>
      </c>
    </row>
    <row r="90" spans="1:19" s="3" customFormat="1" hidden="1" x14ac:dyDescent="0.45">
      <c r="A90" s="5" t="str">
        <f t="shared" si="3"/>
        <v/>
      </c>
      <c r="B90"/>
      <c r="C90"/>
      <c r="D90"/>
      <c r="E90"/>
      <c r="F90"/>
      <c r="G90"/>
      <c r="H90"/>
      <c r="I90"/>
      <c r="J90"/>
      <c r="K90"/>
      <c r="L90"/>
      <c r="M90"/>
      <c r="N90"/>
      <c r="O90"/>
      <c r="P90"/>
      <c r="Q90"/>
      <c r="S90" s="4" t="str">
        <f t="shared" si="2"/>
        <v/>
      </c>
    </row>
    <row r="91" spans="1:19" s="3" customFormat="1" hidden="1" x14ac:dyDescent="0.45">
      <c r="A91" s="5" t="str">
        <f t="shared" si="3"/>
        <v/>
      </c>
      <c r="B91"/>
      <c r="C91"/>
      <c r="D91"/>
      <c r="E91"/>
      <c r="F91"/>
      <c r="G91"/>
      <c r="H91"/>
      <c r="I91"/>
      <c r="J91"/>
      <c r="K91"/>
      <c r="L91"/>
      <c r="M91"/>
      <c r="N91"/>
      <c r="O91"/>
      <c r="P91"/>
      <c r="Q91"/>
      <c r="S91" s="4" t="str">
        <f t="shared" si="2"/>
        <v/>
      </c>
    </row>
    <row r="92" spans="1:19" s="3" customFormat="1" hidden="1" x14ac:dyDescent="0.45">
      <c r="A92" s="5" t="str">
        <f t="shared" si="3"/>
        <v/>
      </c>
      <c r="B92"/>
      <c r="C92"/>
      <c r="D92"/>
      <c r="E92"/>
      <c r="F92"/>
      <c r="G92"/>
      <c r="H92"/>
      <c r="I92"/>
      <c r="J92"/>
      <c r="K92"/>
      <c r="L92"/>
      <c r="M92"/>
      <c r="N92"/>
      <c r="O92"/>
      <c r="P92"/>
      <c r="Q92"/>
      <c r="S92" s="4" t="str">
        <f t="shared" si="2"/>
        <v/>
      </c>
    </row>
    <row r="93" spans="1:19" s="3" customFormat="1" hidden="1" x14ac:dyDescent="0.45">
      <c r="A93" s="5" t="str">
        <f t="shared" si="3"/>
        <v/>
      </c>
      <c r="B93"/>
      <c r="C93"/>
      <c r="D93"/>
      <c r="E93"/>
      <c r="F93"/>
      <c r="G93"/>
      <c r="H93"/>
      <c r="I93"/>
      <c r="J93"/>
      <c r="K93"/>
      <c r="L93"/>
      <c r="M93"/>
      <c r="N93"/>
      <c r="O93"/>
      <c r="P93"/>
      <c r="Q93"/>
      <c r="S93" s="4" t="str">
        <f t="shared" si="2"/>
        <v/>
      </c>
    </row>
    <row r="94" spans="1:19" s="3" customFormat="1" hidden="1" x14ac:dyDescent="0.45">
      <c r="A94" s="5" t="str">
        <f t="shared" si="3"/>
        <v/>
      </c>
      <c r="B94"/>
      <c r="C94"/>
      <c r="D94"/>
      <c r="E94"/>
      <c r="F94"/>
      <c r="G94"/>
      <c r="H94"/>
      <c r="I94"/>
      <c r="J94"/>
      <c r="K94"/>
      <c r="L94"/>
      <c r="M94"/>
      <c r="N94"/>
      <c r="O94"/>
      <c r="P94"/>
      <c r="Q94"/>
      <c r="S94" s="4" t="str">
        <f t="shared" si="2"/>
        <v/>
      </c>
    </row>
    <row r="95" spans="1:19" s="3" customFormat="1" hidden="1" x14ac:dyDescent="0.45">
      <c r="A95" s="5" t="str">
        <f t="shared" si="3"/>
        <v/>
      </c>
      <c r="B95"/>
      <c r="C95"/>
      <c r="D95"/>
      <c r="E95"/>
      <c r="F95"/>
      <c r="G95"/>
      <c r="H95"/>
      <c r="I95"/>
      <c r="J95"/>
      <c r="K95"/>
      <c r="L95"/>
      <c r="M95"/>
      <c r="N95"/>
      <c r="O95"/>
      <c r="P95"/>
      <c r="Q95"/>
      <c r="S95" s="4" t="str">
        <f t="shared" si="2"/>
        <v/>
      </c>
    </row>
    <row r="96" spans="1:19" s="3" customFormat="1" hidden="1" x14ac:dyDescent="0.45">
      <c r="A96" s="5" t="str">
        <f t="shared" si="3"/>
        <v/>
      </c>
      <c r="B96"/>
      <c r="C96"/>
      <c r="D96"/>
      <c r="E96"/>
      <c r="F96"/>
      <c r="G96"/>
      <c r="H96"/>
      <c r="I96"/>
      <c r="J96"/>
      <c r="K96"/>
      <c r="L96"/>
      <c r="M96"/>
      <c r="N96"/>
      <c r="O96"/>
      <c r="P96"/>
      <c r="Q96"/>
      <c r="S96" s="4" t="str">
        <f t="shared" si="2"/>
        <v/>
      </c>
    </row>
    <row r="97" spans="1:19" s="3" customFormat="1" hidden="1" x14ac:dyDescent="0.45">
      <c r="A97" s="5" t="str">
        <f t="shared" si="3"/>
        <v/>
      </c>
      <c r="B97"/>
      <c r="C97"/>
      <c r="D97"/>
      <c r="E97"/>
      <c r="F97"/>
      <c r="G97"/>
      <c r="H97"/>
      <c r="I97"/>
      <c r="J97"/>
      <c r="K97"/>
      <c r="L97"/>
      <c r="M97"/>
      <c r="N97"/>
      <c r="O97"/>
      <c r="P97"/>
      <c r="Q97"/>
      <c r="S97" s="4" t="str">
        <f t="shared" si="2"/>
        <v/>
      </c>
    </row>
    <row r="98" spans="1:19" s="3" customFormat="1" hidden="1" x14ac:dyDescent="0.45">
      <c r="A98" s="5" t="str">
        <f t="shared" si="3"/>
        <v/>
      </c>
      <c r="B98"/>
      <c r="C98"/>
      <c r="D98"/>
      <c r="E98"/>
      <c r="F98"/>
      <c r="G98"/>
      <c r="H98"/>
      <c r="I98"/>
      <c r="J98"/>
      <c r="K98"/>
      <c r="L98"/>
      <c r="M98"/>
      <c r="N98"/>
      <c r="O98"/>
      <c r="P98"/>
      <c r="Q98"/>
      <c r="S98" s="4" t="str">
        <f t="shared" si="2"/>
        <v/>
      </c>
    </row>
    <row r="99" spans="1:19" s="3" customFormat="1" hidden="1" x14ac:dyDescent="0.45">
      <c r="A99" s="5" t="str">
        <f t="shared" si="3"/>
        <v/>
      </c>
      <c r="B99"/>
      <c r="C99"/>
      <c r="D99"/>
      <c r="E99"/>
      <c r="F99"/>
      <c r="G99"/>
      <c r="H99"/>
      <c r="I99"/>
      <c r="J99"/>
      <c r="K99"/>
      <c r="L99"/>
      <c r="M99"/>
      <c r="N99"/>
      <c r="O99"/>
      <c r="P99"/>
      <c r="Q99"/>
      <c r="S99" s="4" t="str">
        <f t="shared" si="2"/>
        <v/>
      </c>
    </row>
    <row r="100" spans="1:19" s="3" customFormat="1" hidden="1" x14ac:dyDescent="0.45">
      <c r="A100" s="5" t="str">
        <f t="shared" si="3"/>
        <v/>
      </c>
      <c r="B100"/>
      <c r="C100"/>
      <c r="D100"/>
      <c r="E100"/>
      <c r="F100"/>
      <c r="G100"/>
      <c r="H100"/>
      <c r="I100"/>
      <c r="J100"/>
      <c r="K100"/>
      <c r="L100"/>
      <c r="M100"/>
      <c r="N100"/>
      <c r="O100"/>
      <c r="P100"/>
      <c r="Q100"/>
      <c r="S100" s="4" t="str">
        <f t="shared" si="2"/>
        <v/>
      </c>
    </row>
    <row r="101" spans="1:19" s="3" customFormat="1" hidden="1" x14ac:dyDescent="0.45">
      <c r="A101" s="5" t="str">
        <f t="shared" si="3"/>
        <v/>
      </c>
      <c r="B101"/>
      <c r="C101"/>
      <c r="D101"/>
      <c r="E101"/>
      <c r="F101"/>
      <c r="G101"/>
      <c r="H101"/>
      <c r="I101"/>
      <c r="J101"/>
      <c r="K101"/>
      <c r="L101"/>
      <c r="M101"/>
      <c r="N101"/>
      <c r="O101"/>
      <c r="P101"/>
      <c r="Q101"/>
      <c r="S101" s="4" t="str">
        <f t="shared" si="2"/>
        <v/>
      </c>
    </row>
    <row r="102" spans="1:19" s="3" customFormat="1" hidden="1" x14ac:dyDescent="0.45">
      <c r="A102" s="5" t="str">
        <f t="shared" si="3"/>
        <v/>
      </c>
      <c r="B102"/>
      <c r="C102"/>
      <c r="D102"/>
      <c r="E102"/>
      <c r="F102"/>
      <c r="G102"/>
      <c r="H102"/>
      <c r="I102"/>
      <c r="J102"/>
      <c r="K102"/>
      <c r="L102"/>
      <c r="M102"/>
      <c r="N102"/>
      <c r="O102"/>
      <c r="P102"/>
      <c r="Q102"/>
      <c r="S102" s="4" t="str">
        <f t="shared" si="2"/>
        <v/>
      </c>
    </row>
    <row r="103" spans="1:19" s="3" customFormat="1" hidden="1" x14ac:dyDescent="0.45">
      <c r="A103" s="5" t="str">
        <f t="shared" si="3"/>
        <v/>
      </c>
      <c r="B103"/>
      <c r="C103"/>
      <c r="D103"/>
      <c r="E103"/>
      <c r="F103"/>
      <c r="G103"/>
      <c r="H103"/>
      <c r="I103"/>
      <c r="J103"/>
      <c r="K103"/>
      <c r="L103"/>
      <c r="M103"/>
      <c r="N103"/>
      <c r="O103"/>
      <c r="P103"/>
      <c r="Q103"/>
      <c r="S103" s="4" t="str">
        <f t="shared" si="2"/>
        <v/>
      </c>
    </row>
    <row r="104" spans="1:19" s="3" customFormat="1" hidden="1" x14ac:dyDescent="0.45">
      <c r="A104" s="5" t="str">
        <f t="shared" si="3"/>
        <v/>
      </c>
      <c r="B104"/>
      <c r="C104"/>
      <c r="D104"/>
      <c r="E104"/>
      <c r="F104"/>
      <c r="G104"/>
      <c r="H104"/>
      <c r="I104"/>
      <c r="J104"/>
      <c r="K104"/>
      <c r="L104"/>
      <c r="M104"/>
      <c r="N104"/>
      <c r="O104"/>
      <c r="P104"/>
      <c r="Q104"/>
      <c r="S104" s="4" t="str">
        <f t="shared" si="2"/>
        <v/>
      </c>
    </row>
    <row r="105" spans="1:19" s="3" customFormat="1" hidden="1" x14ac:dyDescent="0.45">
      <c r="A105" s="5" t="str">
        <f t="shared" si="3"/>
        <v/>
      </c>
      <c r="B105"/>
      <c r="C105"/>
      <c r="D105"/>
      <c r="E105"/>
      <c r="F105"/>
      <c r="G105"/>
      <c r="H105"/>
      <c r="I105"/>
      <c r="J105"/>
      <c r="K105"/>
      <c r="L105"/>
      <c r="M105"/>
      <c r="N105"/>
      <c r="O105"/>
      <c r="P105"/>
      <c r="Q105"/>
      <c r="S105" s="4" t="str">
        <f t="shared" si="2"/>
        <v/>
      </c>
    </row>
    <row r="106" spans="1:19" s="3" customFormat="1" hidden="1" x14ac:dyDescent="0.45">
      <c r="A106" s="5" t="str">
        <f t="shared" si="3"/>
        <v/>
      </c>
      <c r="B106"/>
      <c r="C106"/>
      <c r="D106"/>
      <c r="E106"/>
      <c r="F106"/>
      <c r="G106"/>
      <c r="H106"/>
      <c r="I106"/>
      <c r="J106"/>
      <c r="K106"/>
      <c r="L106"/>
      <c r="M106"/>
      <c r="N106"/>
      <c r="O106"/>
      <c r="P106"/>
      <c r="Q106"/>
      <c r="S106" s="4" t="str">
        <f t="shared" si="2"/>
        <v/>
      </c>
    </row>
    <row r="107" spans="1:19" s="3" customFormat="1" hidden="1" x14ac:dyDescent="0.45">
      <c r="A107" s="5" t="str">
        <f t="shared" si="3"/>
        <v/>
      </c>
      <c r="B107"/>
      <c r="C107"/>
      <c r="D107"/>
      <c r="E107"/>
      <c r="F107"/>
      <c r="G107"/>
      <c r="H107"/>
      <c r="I107"/>
      <c r="J107"/>
      <c r="K107"/>
      <c r="L107"/>
      <c r="M107"/>
      <c r="N107"/>
      <c r="O107"/>
      <c r="P107"/>
      <c r="Q107"/>
      <c r="S107" s="4" t="str">
        <f t="shared" si="2"/>
        <v/>
      </c>
    </row>
    <row r="108" spans="1:19" s="3" customFormat="1" hidden="1" x14ac:dyDescent="0.45">
      <c r="A108" s="5" t="str">
        <f>IF(S108 ="visible",IF(B108 = "Gesamtergebnis","",A107+1),"")</f>
        <v/>
      </c>
      <c r="B108"/>
      <c r="C108"/>
      <c r="D108"/>
      <c r="E108"/>
      <c r="F108"/>
      <c r="G108"/>
      <c r="H108"/>
      <c r="I108"/>
      <c r="J108"/>
      <c r="K108"/>
      <c r="L108"/>
      <c r="M108"/>
      <c r="N108"/>
      <c r="O108"/>
      <c r="P108"/>
      <c r="Q108"/>
      <c r="S108" s="4" t="str">
        <f t="shared" si="2"/>
        <v/>
      </c>
    </row>
    <row r="109" spans="1:19" s="3" customFormat="1" x14ac:dyDescent="0.45">
      <c r="A109" s="5"/>
      <c r="B109" s="156" t="s">
        <v>136</v>
      </c>
      <c r="C109"/>
      <c r="D109"/>
      <c r="E109"/>
      <c r="F109"/>
      <c r="G109"/>
      <c r="H109"/>
      <c r="I109"/>
      <c r="J109"/>
      <c r="K109"/>
      <c r="L109"/>
      <c r="M109"/>
      <c r="N109"/>
      <c r="O109"/>
      <c r="P109"/>
      <c r="Q109"/>
      <c r="S109" s="4" t="str">
        <f t="shared" si="2"/>
        <v>visible</v>
      </c>
    </row>
    <row r="110" spans="1:19" x14ac:dyDescent="0.45">
      <c r="A110" s="7"/>
      <c r="B110" s="196" t="s">
        <v>523</v>
      </c>
      <c r="C110" s="192" t="s">
        <v>244</v>
      </c>
      <c r="S110" s="4" t="str">
        <f t="shared" si="2"/>
        <v>visible</v>
      </c>
    </row>
    <row r="111" spans="1:19" s="3" customFormat="1" ht="13.9" hidden="1" x14ac:dyDescent="0.4">
      <c r="A111" s="5"/>
      <c r="S111" s="4" t="str">
        <f t="shared" si="2"/>
        <v/>
      </c>
    </row>
    <row r="112" spans="1:19" ht="13.9" x14ac:dyDescent="0.4">
      <c r="A112" s="8"/>
      <c r="B112" s="202" t="s">
        <v>5</v>
      </c>
      <c r="C112" s="202" t="s">
        <v>7</v>
      </c>
      <c r="D112" s="202" t="s">
        <v>23</v>
      </c>
      <c r="E112" s="202" t="s">
        <v>14</v>
      </c>
      <c r="F112" s="192" t="s">
        <v>135</v>
      </c>
      <c r="G112" s="192" t="s">
        <v>259</v>
      </c>
      <c r="H112" s="192" t="s">
        <v>247</v>
      </c>
      <c r="I112" s="194" t="s">
        <v>261</v>
      </c>
      <c r="J112" s="194" t="s">
        <v>234</v>
      </c>
      <c r="K112" s="194" t="s">
        <v>235</v>
      </c>
      <c r="L112" s="194" t="s">
        <v>236</v>
      </c>
      <c r="M112" s="194" t="s">
        <v>237</v>
      </c>
      <c r="N112" s="194" t="s">
        <v>238</v>
      </c>
      <c r="O112" s="194" t="s">
        <v>143</v>
      </c>
      <c r="P112" s="194" t="s">
        <v>142</v>
      </c>
      <c r="Q112" s="194" t="s">
        <v>239</v>
      </c>
      <c r="S112" s="4" t="str">
        <f t="shared" si="2"/>
        <v>visible</v>
      </c>
    </row>
    <row r="113" spans="1:19" ht="13.9" x14ac:dyDescent="0.4">
      <c r="A113" s="5">
        <f>IF(S113 ="visible",IF(B113 = "Total","",A112+1),"")</f>
        <v>1</v>
      </c>
      <c r="B113" s="192" t="s">
        <v>478</v>
      </c>
      <c r="C113" s="192" t="s">
        <v>1</v>
      </c>
      <c r="D113" s="192" t="s">
        <v>0</v>
      </c>
      <c r="E113" s="192" t="s">
        <v>475</v>
      </c>
      <c r="F113" s="194">
        <v>250000</v>
      </c>
      <c r="G113" s="194">
        <v>250000</v>
      </c>
      <c r="H113" s="206">
        <v>1</v>
      </c>
      <c r="I113" s="194">
        <v>250000</v>
      </c>
      <c r="J113" s="194"/>
      <c r="K113" s="194"/>
      <c r="L113" s="194"/>
      <c r="M113" s="194"/>
      <c r="N113" s="194"/>
      <c r="O113" s="194">
        <v>50000</v>
      </c>
      <c r="P113" s="194"/>
      <c r="Q113" s="194">
        <v>50000</v>
      </c>
      <c r="S113" s="4" t="str">
        <f t="shared" si="2"/>
        <v>visible</v>
      </c>
    </row>
    <row r="114" spans="1:19" ht="13.9" x14ac:dyDescent="0.4">
      <c r="A114" s="5">
        <f t="shared" ref="A114:A177" si="4">IF(S114 ="visible",IF(B114 = "Total","",A113+1),"")</f>
        <v>2</v>
      </c>
      <c r="B114" s="192" t="s">
        <v>494</v>
      </c>
      <c r="C114" s="192" t="s">
        <v>1</v>
      </c>
      <c r="D114" s="192" t="s">
        <v>0</v>
      </c>
      <c r="E114" s="192" t="s">
        <v>495</v>
      </c>
      <c r="F114" s="194">
        <v>3000000</v>
      </c>
      <c r="G114" s="194">
        <v>3000000</v>
      </c>
      <c r="H114" s="206">
        <v>1</v>
      </c>
      <c r="I114" s="194">
        <v>3000000</v>
      </c>
      <c r="J114" s="194"/>
      <c r="K114" s="194"/>
      <c r="L114" s="194"/>
      <c r="M114" s="194"/>
      <c r="N114" s="194"/>
      <c r="O114" s="194">
        <v>0</v>
      </c>
      <c r="P114" s="194">
        <v>45000</v>
      </c>
      <c r="Q114" s="194">
        <v>45000</v>
      </c>
      <c r="S114" s="4" t="str">
        <f t="shared" si="2"/>
        <v>visible</v>
      </c>
    </row>
    <row r="115" spans="1:19" ht="13.9" x14ac:dyDescent="0.4">
      <c r="A115" s="5">
        <f t="shared" si="4"/>
        <v>3</v>
      </c>
      <c r="B115" s="192" t="s">
        <v>491</v>
      </c>
      <c r="C115" s="192" t="s">
        <v>1</v>
      </c>
      <c r="D115" s="192" t="s">
        <v>96</v>
      </c>
      <c r="E115" s="192" t="s">
        <v>569</v>
      </c>
      <c r="F115" s="194">
        <v>10000</v>
      </c>
      <c r="G115" s="194">
        <v>10000</v>
      </c>
      <c r="H115" s="206">
        <v>1</v>
      </c>
      <c r="I115" s="194">
        <v>10000</v>
      </c>
      <c r="J115" s="194"/>
      <c r="K115" s="194"/>
      <c r="L115" s="194"/>
      <c r="M115" s="194">
        <v>5000</v>
      </c>
      <c r="N115" s="194"/>
      <c r="O115" s="194">
        <v>0</v>
      </c>
      <c r="P115" s="194">
        <v>5000</v>
      </c>
      <c r="Q115" s="194">
        <v>5000</v>
      </c>
      <c r="S115" s="4" t="str">
        <f t="shared" si="2"/>
        <v>visible</v>
      </c>
    </row>
    <row r="116" spans="1:19" ht="13.9" x14ac:dyDescent="0.4">
      <c r="A116" s="5">
        <f t="shared" si="4"/>
        <v>4</v>
      </c>
      <c r="B116" s="192" t="s">
        <v>600</v>
      </c>
      <c r="C116" s="192" t="s">
        <v>1</v>
      </c>
      <c r="D116" s="192" t="s">
        <v>96</v>
      </c>
      <c r="E116" s="192" t="s">
        <v>599</v>
      </c>
      <c r="F116" s="194">
        <v>669614</v>
      </c>
      <c r="G116" s="194">
        <v>219614</v>
      </c>
      <c r="H116" s="206">
        <v>1</v>
      </c>
      <c r="I116" s="194">
        <v>219614</v>
      </c>
      <c r="J116" s="194"/>
      <c r="K116" s="194"/>
      <c r="L116" s="194"/>
      <c r="M116" s="194"/>
      <c r="N116" s="194"/>
      <c r="O116" s="194">
        <v>219614</v>
      </c>
      <c r="P116" s="194"/>
      <c r="Q116" s="194">
        <v>219614</v>
      </c>
      <c r="S116" s="4" t="str">
        <f t="shared" si="2"/>
        <v>visible</v>
      </c>
    </row>
    <row r="117" spans="1:19" ht="13.9" x14ac:dyDescent="0.4">
      <c r="A117" s="5">
        <f t="shared" si="4"/>
        <v>5</v>
      </c>
      <c r="B117" s="192" t="s">
        <v>697</v>
      </c>
      <c r="C117" s="192" t="s">
        <v>1</v>
      </c>
      <c r="D117" s="192" t="s">
        <v>0</v>
      </c>
      <c r="E117" s="192" t="s">
        <v>699</v>
      </c>
      <c r="F117" s="194">
        <v>29000</v>
      </c>
      <c r="G117" s="194">
        <v>29000</v>
      </c>
      <c r="H117" s="206">
        <v>1</v>
      </c>
      <c r="I117" s="194">
        <v>29000</v>
      </c>
      <c r="J117" s="194"/>
      <c r="K117" s="194"/>
      <c r="L117" s="194"/>
      <c r="M117" s="194"/>
      <c r="N117" s="194"/>
      <c r="O117" s="194">
        <v>5800</v>
      </c>
      <c r="P117" s="194"/>
      <c r="Q117" s="194">
        <v>5800</v>
      </c>
      <c r="S117" s="4" t="str">
        <f t="shared" si="2"/>
        <v>visible</v>
      </c>
    </row>
    <row r="118" spans="1:19" ht="13.9" x14ac:dyDescent="0.4">
      <c r="A118" s="5">
        <f t="shared" si="4"/>
        <v>6</v>
      </c>
      <c r="B118" s="192" t="s">
        <v>750</v>
      </c>
      <c r="C118" s="192" t="s">
        <v>97</v>
      </c>
      <c r="D118" s="192" t="s">
        <v>0</v>
      </c>
      <c r="E118" s="192" t="s">
        <v>545</v>
      </c>
      <c r="F118" s="194">
        <v>876171.24394184165</v>
      </c>
      <c r="G118" s="194">
        <v>150000</v>
      </c>
      <c r="H118" s="206">
        <v>1</v>
      </c>
      <c r="I118" s="194">
        <v>150000</v>
      </c>
      <c r="J118" s="194"/>
      <c r="K118" s="194"/>
      <c r="L118" s="194"/>
      <c r="M118" s="194"/>
      <c r="N118" s="194"/>
      <c r="O118" s="194">
        <v>30000</v>
      </c>
      <c r="P118" s="194"/>
      <c r="Q118" s="194">
        <v>30000</v>
      </c>
      <c r="S118" s="4" t="str">
        <f t="shared" si="2"/>
        <v>visible</v>
      </c>
    </row>
    <row r="119" spans="1:19" ht="13.9" x14ac:dyDescent="0.4">
      <c r="A119" s="5">
        <f t="shared" si="4"/>
        <v>7</v>
      </c>
      <c r="B119" s="192" t="s">
        <v>817</v>
      </c>
      <c r="C119" s="192" t="s">
        <v>97</v>
      </c>
      <c r="D119" s="192" t="s">
        <v>96</v>
      </c>
      <c r="E119" s="192" t="s">
        <v>157</v>
      </c>
      <c r="F119" s="194">
        <v>17160</v>
      </c>
      <c r="G119" s="194">
        <v>10000</v>
      </c>
      <c r="H119" s="206">
        <v>1</v>
      </c>
      <c r="I119" s="194">
        <v>10000</v>
      </c>
      <c r="J119" s="194"/>
      <c r="K119" s="194"/>
      <c r="L119" s="194">
        <v>3500</v>
      </c>
      <c r="M119" s="194"/>
      <c r="N119" s="194"/>
      <c r="O119" s="194">
        <v>0</v>
      </c>
      <c r="P119" s="194">
        <v>6500</v>
      </c>
      <c r="Q119" s="194">
        <v>6500</v>
      </c>
      <c r="S119" s="4" t="str">
        <f t="shared" si="2"/>
        <v>visible</v>
      </c>
    </row>
    <row r="120" spans="1:19" ht="13.9" x14ac:dyDescent="0.4">
      <c r="A120" s="5" t="str">
        <f t="shared" si="4"/>
        <v/>
      </c>
      <c r="B120" s="202" t="s">
        <v>429</v>
      </c>
      <c r="C120" s="202"/>
      <c r="D120" s="202"/>
      <c r="E120" s="202"/>
      <c r="F120" s="203">
        <v>4851945.2439418416</v>
      </c>
      <c r="G120" s="203">
        <v>3668614</v>
      </c>
      <c r="H120" s="208">
        <v>1</v>
      </c>
      <c r="I120" s="203">
        <v>3668614</v>
      </c>
      <c r="J120" s="203"/>
      <c r="K120" s="203"/>
      <c r="L120" s="203">
        <v>3500</v>
      </c>
      <c r="M120" s="203">
        <v>5000</v>
      </c>
      <c r="N120" s="203"/>
      <c r="O120" s="203">
        <v>305414</v>
      </c>
      <c r="P120" s="203">
        <v>56500</v>
      </c>
      <c r="Q120" s="203">
        <v>361914</v>
      </c>
      <c r="S120" s="4" t="str">
        <f t="shared" si="2"/>
        <v>visible</v>
      </c>
    </row>
    <row r="121" spans="1:19" s="3" customFormat="1" hidden="1" x14ac:dyDescent="0.45">
      <c r="A121" s="5" t="str">
        <f t="shared" si="4"/>
        <v/>
      </c>
      <c r="B121"/>
      <c r="C121"/>
      <c r="D121"/>
      <c r="E121"/>
      <c r="F121"/>
      <c r="G121"/>
      <c r="H121"/>
      <c r="I121"/>
      <c r="J121"/>
      <c r="K121"/>
      <c r="L121"/>
      <c r="M121"/>
      <c r="N121"/>
      <c r="O121"/>
      <c r="P121"/>
      <c r="Q121"/>
      <c r="S121" s="4" t="str">
        <f t="shared" si="2"/>
        <v/>
      </c>
    </row>
    <row r="122" spans="1:19" s="3" customFormat="1" hidden="1" x14ac:dyDescent="0.45">
      <c r="A122" s="5" t="str">
        <f t="shared" si="4"/>
        <v/>
      </c>
      <c r="B122"/>
      <c r="C122"/>
      <c r="D122"/>
      <c r="E122"/>
      <c r="F122"/>
      <c r="G122"/>
      <c r="H122"/>
      <c r="I122"/>
      <c r="J122"/>
      <c r="K122"/>
      <c r="L122"/>
      <c r="M122"/>
      <c r="N122"/>
      <c r="O122"/>
      <c r="P122"/>
      <c r="Q122"/>
      <c r="S122" s="4" t="str">
        <f t="shared" si="2"/>
        <v/>
      </c>
    </row>
    <row r="123" spans="1:19" s="3" customFormat="1" hidden="1" x14ac:dyDescent="0.45">
      <c r="A123" s="5" t="str">
        <f t="shared" si="4"/>
        <v/>
      </c>
      <c r="B123"/>
      <c r="C123"/>
      <c r="D123"/>
      <c r="E123"/>
      <c r="F123"/>
      <c r="G123"/>
      <c r="H123"/>
      <c r="I123"/>
      <c r="J123"/>
      <c r="K123"/>
      <c r="L123"/>
      <c r="M123"/>
      <c r="N123"/>
      <c r="O123"/>
      <c r="P123"/>
      <c r="Q123"/>
      <c r="S123" s="4" t="str">
        <f t="shared" si="2"/>
        <v/>
      </c>
    </row>
    <row r="124" spans="1:19" s="3" customFormat="1" hidden="1" x14ac:dyDescent="0.45">
      <c r="A124" s="5" t="str">
        <f t="shared" si="4"/>
        <v/>
      </c>
      <c r="B124"/>
      <c r="C124"/>
      <c r="D124"/>
      <c r="E124"/>
      <c r="F124"/>
      <c r="G124"/>
      <c r="H124"/>
      <c r="I124"/>
      <c r="J124"/>
      <c r="K124"/>
      <c r="L124"/>
      <c r="M124"/>
      <c r="N124"/>
      <c r="O124"/>
      <c r="P124"/>
      <c r="Q124"/>
      <c r="S124" s="4" t="str">
        <f t="shared" si="2"/>
        <v/>
      </c>
    </row>
    <row r="125" spans="1:19" s="3" customFormat="1" hidden="1" x14ac:dyDescent="0.45">
      <c r="A125" s="5" t="str">
        <f t="shared" si="4"/>
        <v/>
      </c>
      <c r="B125"/>
      <c r="C125"/>
      <c r="D125"/>
      <c r="E125"/>
      <c r="F125"/>
      <c r="G125"/>
      <c r="H125"/>
      <c r="I125"/>
      <c r="J125"/>
      <c r="K125"/>
      <c r="L125"/>
      <c r="M125"/>
      <c r="N125"/>
      <c r="O125"/>
      <c r="P125"/>
      <c r="Q125"/>
      <c r="S125" s="4" t="str">
        <f t="shared" si="2"/>
        <v/>
      </c>
    </row>
    <row r="126" spans="1:19" s="3" customFormat="1" hidden="1" x14ac:dyDescent="0.45">
      <c r="A126" s="5" t="str">
        <f t="shared" si="4"/>
        <v/>
      </c>
      <c r="B126"/>
      <c r="C126"/>
      <c r="D126"/>
      <c r="E126"/>
      <c r="F126"/>
      <c r="G126"/>
      <c r="H126"/>
      <c r="I126"/>
      <c r="J126"/>
      <c r="K126"/>
      <c r="L126"/>
      <c r="M126"/>
      <c r="N126"/>
      <c r="O126"/>
      <c r="P126"/>
      <c r="Q126"/>
      <c r="S126" s="4" t="str">
        <f t="shared" si="2"/>
        <v/>
      </c>
    </row>
    <row r="127" spans="1:19" s="3" customFormat="1" hidden="1" x14ac:dyDescent="0.45">
      <c r="A127" s="5" t="str">
        <f t="shared" si="4"/>
        <v/>
      </c>
      <c r="B127"/>
      <c r="C127"/>
      <c r="D127"/>
      <c r="E127"/>
      <c r="F127"/>
      <c r="G127"/>
      <c r="H127"/>
      <c r="I127"/>
      <c r="J127"/>
      <c r="K127"/>
      <c r="L127"/>
      <c r="M127"/>
      <c r="N127"/>
      <c r="O127"/>
      <c r="P127"/>
      <c r="Q127"/>
      <c r="S127" s="4" t="str">
        <f t="shared" si="2"/>
        <v/>
      </c>
    </row>
    <row r="128" spans="1:19" s="3" customFormat="1" hidden="1" x14ac:dyDescent="0.45">
      <c r="A128" s="5" t="str">
        <f t="shared" si="4"/>
        <v/>
      </c>
      <c r="B128"/>
      <c r="C128"/>
      <c r="D128"/>
      <c r="E128"/>
      <c r="F128"/>
      <c r="G128"/>
      <c r="H128"/>
      <c r="I128"/>
      <c r="J128"/>
      <c r="K128"/>
      <c r="L128"/>
      <c r="M128"/>
      <c r="N128"/>
      <c r="O128"/>
      <c r="P128"/>
      <c r="Q128"/>
      <c r="S128" s="4" t="str">
        <f t="shared" si="2"/>
        <v/>
      </c>
    </row>
    <row r="129" spans="1:19" s="3" customFormat="1" ht="13.9" hidden="1" x14ac:dyDescent="0.4">
      <c r="A129" s="5" t="str">
        <f t="shared" si="4"/>
        <v/>
      </c>
      <c r="F129" s="16"/>
      <c r="G129" s="17"/>
      <c r="H129" s="17"/>
      <c r="I129" s="17"/>
      <c r="J129" s="17"/>
      <c r="S129" s="4" t="str">
        <f t="shared" si="2"/>
        <v/>
      </c>
    </row>
    <row r="130" spans="1:19" s="3" customFormat="1" ht="13.9" hidden="1" x14ac:dyDescent="0.4">
      <c r="A130" s="5" t="str">
        <f t="shared" si="4"/>
        <v/>
      </c>
      <c r="F130" s="16"/>
      <c r="G130" s="17"/>
      <c r="H130" s="17"/>
      <c r="I130" s="17"/>
      <c r="J130" s="17"/>
      <c r="S130" s="4" t="str">
        <f t="shared" si="2"/>
        <v/>
      </c>
    </row>
    <row r="131" spans="1:19" s="3" customFormat="1" ht="13.9" hidden="1" x14ac:dyDescent="0.4">
      <c r="A131" s="5" t="str">
        <f t="shared" si="4"/>
        <v/>
      </c>
      <c r="F131" s="16"/>
      <c r="G131" s="17"/>
      <c r="H131" s="17"/>
      <c r="I131" s="17"/>
      <c r="J131" s="17"/>
      <c r="S131" s="4" t="str">
        <f t="shared" si="2"/>
        <v/>
      </c>
    </row>
    <row r="132" spans="1:19" s="3" customFormat="1" ht="13.9" hidden="1" x14ac:dyDescent="0.4">
      <c r="A132" s="5" t="str">
        <f t="shared" si="4"/>
        <v/>
      </c>
      <c r="F132" s="16"/>
      <c r="G132" s="17"/>
      <c r="H132" s="17"/>
      <c r="I132" s="17"/>
      <c r="J132" s="17"/>
      <c r="S132" s="4" t="str">
        <f t="shared" si="2"/>
        <v/>
      </c>
    </row>
    <row r="133" spans="1:19" s="3" customFormat="1" ht="13.9" hidden="1" x14ac:dyDescent="0.4">
      <c r="A133" s="5" t="str">
        <f t="shared" si="4"/>
        <v/>
      </c>
      <c r="F133" s="16"/>
      <c r="G133" s="17"/>
      <c r="H133" s="17"/>
      <c r="I133" s="17"/>
      <c r="J133" s="17"/>
      <c r="S133" s="4" t="str">
        <f t="shared" ref="S133:S196" si="5">IF(B133&lt;&gt;"","visible","")</f>
        <v/>
      </c>
    </row>
    <row r="134" spans="1:19" s="3" customFormat="1" ht="13.9" hidden="1" x14ac:dyDescent="0.4">
      <c r="A134" s="5" t="str">
        <f t="shared" si="4"/>
        <v/>
      </c>
      <c r="F134" s="16"/>
      <c r="G134" s="17"/>
      <c r="H134" s="17"/>
      <c r="I134" s="17"/>
      <c r="J134" s="17"/>
      <c r="S134" s="4" t="str">
        <f t="shared" si="5"/>
        <v/>
      </c>
    </row>
    <row r="135" spans="1:19" s="3" customFormat="1" ht="13.9" hidden="1" x14ac:dyDescent="0.4">
      <c r="A135" s="5" t="str">
        <f t="shared" si="4"/>
        <v/>
      </c>
      <c r="F135" s="16"/>
      <c r="G135" s="17"/>
      <c r="H135" s="17"/>
      <c r="I135" s="17"/>
      <c r="J135" s="17"/>
      <c r="S135" s="4" t="str">
        <f t="shared" si="5"/>
        <v/>
      </c>
    </row>
    <row r="136" spans="1:19" s="3" customFormat="1" ht="13.9" hidden="1" x14ac:dyDescent="0.4">
      <c r="A136" s="5" t="str">
        <f t="shared" si="4"/>
        <v/>
      </c>
      <c r="F136" s="16"/>
      <c r="G136" s="17"/>
      <c r="H136" s="17"/>
      <c r="I136" s="17"/>
      <c r="J136" s="17"/>
      <c r="S136" s="4" t="str">
        <f t="shared" si="5"/>
        <v/>
      </c>
    </row>
    <row r="137" spans="1:19" s="3" customFormat="1" ht="13.9" hidden="1" x14ac:dyDescent="0.4">
      <c r="A137" s="5" t="str">
        <f t="shared" si="4"/>
        <v/>
      </c>
      <c r="F137" s="16"/>
      <c r="G137" s="17"/>
      <c r="H137" s="17"/>
      <c r="I137" s="17"/>
      <c r="J137" s="17"/>
      <c r="S137" s="4" t="str">
        <f t="shared" si="5"/>
        <v/>
      </c>
    </row>
    <row r="138" spans="1:19" s="3" customFormat="1" ht="13.9" hidden="1" x14ac:dyDescent="0.4">
      <c r="A138" s="5" t="str">
        <f t="shared" si="4"/>
        <v/>
      </c>
      <c r="F138" s="16"/>
      <c r="G138" s="17"/>
      <c r="H138" s="17"/>
      <c r="I138" s="17"/>
      <c r="J138" s="17"/>
      <c r="S138" s="4" t="str">
        <f t="shared" si="5"/>
        <v/>
      </c>
    </row>
    <row r="139" spans="1:19" s="3" customFormat="1" ht="13.9" hidden="1" x14ac:dyDescent="0.4">
      <c r="A139" s="5" t="str">
        <f t="shared" si="4"/>
        <v/>
      </c>
      <c r="F139" s="16"/>
      <c r="G139" s="17"/>
      <c r="H139" s="17"/>
      <c r="I139" s="17"/>
      <c r="J139" s="17"/>
      <c r="S139" s="4" t="str">
        <f t="shared" si="5"/>
        <v/>
      </c>
    </row>
    <row r="140" spans="1:19" s="3" customFormat="1" ht="13.9" hidden="1" x14ac:dyDescent="0.4">
      <c r="A140" s="5" t="str">
        <f t="shared" si="4"/>
        <v/>
      </c>
      <c r="F140" s="16"/>
      <c r="G140" s="17"/>
      <c r="H140" s="17"/>
      <c r="I140" s="17"/>
      <c r="J140" s="17"/>
      <c r="S140" s="4" t="str">
        <f t="shared" si="5"/>
        <v/>
      </c>
    </row>
    <row r="141" spans="1:19" s="3" customFormat="1" ht="13.9" hidden="1" x14ac:dyDescent="0.4">
      <c r="A141" s="5" t="str">
        <f t="shared" si="4"/>
        <v/>
      </c>
      <c r="F141" s="16"/>
      <c r="G141" s="17"/>
      <c r="H141" s="17"/>
      <c r="I141" s="17"/>
      <c r="J141" s="17"/>
      <c r="S141" s="4" t="str">
        <f t="shared" si="5"/>
        <v/>
      </c>
    </row>
    <row r="142" spans="1:19" s="3" customFormat="1" ht="13.9" hidden="1" x14ac:dyDescent="0.4">
      <c r="A142" s="5" t="str">
        <f t="shared" si="4"/>
        <v/>
      </c>
      <c r="F142" s="16"/>
      <c r="G142" s="17"/>
      <c r="H142" s="17"/>
      <c r="I142" s="17"/>
      <c r="J142" s="17"/>
      <c r="S142" s="4" t="str">
        <f t="shared" si="5"/>
        <v/>
      </c>
    </row>
    <row r="143" spans="1:19" s="3" customFormat="1" ht="13.9" hidden="1" x14ac:dyDescent="0.4">
      <c r="A143" s="5" t="str">
        <f t="shared" si="4"/>
        <v/>
      </c>
      <c r="F143" s="16"/>
      <c r="G143" s="17"/>
      <c r="H143" s="17"/>
      <c r="I143" s="17"/>
      <c r="J143" s="17"/>
      <c r="S143" s="4" t="str">
        <f t="shared" si="5"/>
        <v/>
      </c>
    </row>
    <row r="144" spans="1:19" s="3" customFormat="1" ht="13.9" hidden="1" x14ac:dyDescent="0.4">
      <c r="A144" s="5" t="str">
        <f t="shared" si="4"/>
        <v/>
      </c>
      <c r="F144" s="16"/>
      <c r="G144" s="17"/>
      <c r="H144" s="17"/>
      <c r="I144" s="17"/>
      <c r="J144" s="17"/>
      <c r="S144" s="4" t="str">
        <f t="shared" si="5"/>
        <v/>
      </c>
    </row>
    <row r="145" spans="1:19" s="3" customFormat="1" ht="13.9" hidden="1" x14ac:dyDescent="0.4">
      <c r="A145" s="5" t="str">
        <f t="shared" si="4"/>
        <v/>
      </c>
      <c r="F145" s="16"/>
      <c r="G145" s="17"/>
      <c r="H145" s="17"/>
      <c r="I145" s="17"/>
      <c r="J145" s="17"/>
      <c r="S145" s="4" t="str">
        <f t="shared" si="5"/>
        <v/>
      </c>
    </row>
    <row r="146" spans="1:19" s="3" customFormat="1" ht="13.9" hidden="1" x14ac:dyDescent="0.4">
      <c r="A146" s="5" t="str">
        <f t="shared" si="4"/>
        <v/>
      </c>
      <c r="F146" s="16"/>
      <c r="G146" s="17"/>
      <c r="H146" s="17"/>
      <c r="I146" s="17"/>
      <c r="J146" s="17"/>
      <c r="S146" s="4" t="str">
        <f t="shared" si="5"/>
        <v/>
      </c>
    </row>
    <row r="147" spans="1:19" s="3" customFormat="1" ht="13.9" hidden="1" x14ac:dyDescent="0.4">
      <c r="A147" s="5" t="str">
        <f t="shared" si="4"/>
        <v/>
      </c>
      <c r="F147" s="16"/>
      <c r="G147" s="17"/>
      <c r="H147" s="17"/>
      <c r="I147" s="17"/>
      <c r="J147" s="17"/>
      <c r="S147" s="4" t="str">
        <f t="shared" si="5"/>
        <v/>
      </c>
    </row>
    <row r="148" spans="1:19" s="3" customFormat="1" ht="13.9" hidden="1" x14ac:dyDescent="0.4">
      <c r="A148" s="5" t="str">
        <f t="shared" si="4"/>
        <v/>
      </c>
      <c r="F148" s="16"/>
      <c r="G148" s="17"/>
      <c r="H148" s="17"/>
      <c r="I148" s="17"/>
      <c r="J148" s="17"/>
      <c r="S148" s="4" t="str">
        <f t="shared" si="5"/>
        <v/>
      </c>
    </row>
    <row r="149" spans="1:19" s="3" customFormat="1" ht="13.9" hidden="1" x14ac:dyDescent="0.4">
      <c r="A149" s="5" t="str">
        <f t="shared" si="4"/>
        <v/>
      </c>
      <c r="F149" s="16"/>
      <c r="G149" s="17"/>
      <c r="H149" s="17"/>
      <c r="I149" s="17"/>
      <c r="J149" s="17"/>
      <c r="S149" s="4" t="str">
        <f t="shared" si="5"/>
        <v/>
      </c>
    </row>
    <row r="150" spans="1:19" s="3" customFormat="1" ht="13.9" hidden="1" x14ac:dyDescent="0.4">
      <c r="A150" s="5" t="str">
        <f t="shared" si="4"/>
        <v/>
      </c>
      <c r="F150" s="16"/>
      <c r="G150" s="17"/>
      <c r="H150" s="17"/>
      <c r="I150" s="17"/>
      <c r="J150" s="17"/>
      <c r="S150" s="4" t="str">
        <f t="shared" si="5"/>
        <v/>
      </c>
    </row>
    <row r="151" spans="1:19" s="3" customFormat="1" ht="13.9" hidden="1" x14ac:dyDescent="0.4">
      <c r="A151" s="5" t="str">
        <f t="shared" si="4"/>
        <v/>
      </c>
      <c r="F151" s="16"/>
      <c r="G151" s="17"/>
      <c r="H151" s="17"/>
      <c r="I151" s="17"/>
      <c r="J151" s="17"/>
      <c r="S151" s="4" t="str">
        <f t="shared" si="5"/>
        <v/>
      </c>
    </row>
    <row r="152" spans="1:19" s="3" customFormat="1" ht="13.9" hidden="1" x14ac:dyDescent="0.4">
      <c r="A152" s="5" t="str">
        <f t="shared" si="4"/>
        <v/>
      </c>
      <c r="F152" s="16"/>
      <c r="G152" s="17"/>
      <c r="H152" s="17"/>
      <c r="I152" s="17"/>
      <c r="J152" s="17"/>
      <c r="S152" s="4" t="str">
        <f t="shared" si="5"/>
        <v/>
      </c>
    </row>
    <row r="153" spans="1:19" s="3" customFormat="1" ht="13.9" hidden="1" x14ac:dyDescent="0.4">
      <c r="A153" s="5" t="str">
        <f t="shared" si="4"/>
        <v/>
      </c>
      <c r="F153" s="16"/>
      <c r="G153" s="17"/>
      <c r="H153" s="17"/>
      <c r="I153" s="17"/>
      <c r="J153" s="17"/>
      <c r="S153" s="4" t="str">
        <f t="shared" si="5"/>
        <v/>
      </c>
    </row>
    <row r="154" spans="1:19" s="3" customFormat="1" ht="13.9" hidden="1" x14ac:dyDescent="0.4">
      <c r="A154" s="5" t="str">
        <f t="shared" si="4"/>
        <v/>
      </c>
      <c r="F154" s="16"/>
      <c r="G154" s="17"/>
      <c r="H154" s="17"/>
      <c r="I154" s="17"/>
      <c r="J154" s="17"/>
      <c r="S154" s="4" t="str">
        <f t="shared" si="5"/>
        <v/>
      </c>
    </row>
    <row r="155" spans="1:19" s="3" customFormat="1" ht="13.9" hidden="1" x14ac:dyDescent="0.4">
      <c r="A155" s="5" t="str">
        <f t="shared" si="4"/>
        <v/>
      </c>
      <c r="F155" s="16"/>
      <c r="G155" s="17"/>
      <c r="H155" s="17"/>
      <c r="I155" s="17"/>
      <c r="J155" s="17"/>
      <c r="S155" s="4" t="str">
        <f t="shared" si="5"/>
        <v/>
      </c>
    </row>
    <row r="156" spans="1:19" s="3" customFormat="1" ht="13.9" hidden="1" x14ac:dyDescent="0.4">
      <c r="A156" s="5" t="str">
        <f t="shared" si="4"/>
        <v/>
      </c>
      <c r="F156" s="16"/>
      <c r="G156" s="17"/>
      <c r="H156" s="17"/>
      <c r="I156" s="17"/>
      <c r="J156" s="17"/>
      <c r="S156" s="4" t="str">
        <f t="shared" si="5"/>
        <v/>
      </c>
    </row>
    <row r="157" spans="1:19" s="3" customFormat="1" ht="13.9" hidden="1" x14ac:dyDescent="0.4">
      <c r="A157" s="5" t="str">
        <f t="shared" si="4"/>
        <v/>
      </c>
      <c r="F157" s="16"/>
      <c r="G157" s="17"/>
      <c r="H157" s="17"/>
      <c r="I157" s="17"/>
      <c r="J157" s="17"/>
      <c r="S157" s="4" t="str">
        <f t="shared" si="5"/>
        <v/>
      </c>
    </row>
    <row r="158" spans="1:19" s="3" customFormat="1" ht="13.9" hidden="1" x14ac:dyDescent="0.4">
      <c r="A158" s="5" t="str">
        <f t="shared" si="4"/>
        <v/>
      </c>
      <c r="F158" s="16"/>
      <c r="G158" s="17"/>
      <c r="H158" s="17"/>
      <c r="I158" s="17"/>
      <c r="J158" s="17"/>
      <c r="S158" s="4" t="str">
        <f t="shared" si="5"/>
        <v/>
      </c>
    </row>
    <row r="159" spans="1:19" s="3" customFormat="1" ht="13.9" hidden="1" x14ac:dyDescent="0.4">
      <c r="A159" s="5" t="str">
        <f t="shared" si="4"/>
        <v/>
      </c>
      <c r="F159" s="16"/>
      <c r="G159" s="17"/>
      <c r="H159" s="17"/>
      <c r="I159" s="17"/>
      <c r="J159" s="17"/>
      <c r="S159" s="4" t="str">
        <f t="shared" si="5"/>
        <v/>
      </c>
    </row>
    <row r="160" spans="1:19" s="3" customFormat="1" ht="13.9" hidden="1" x14ac:dyDescent="0.4">
      <c r="A160" s="5" t="str">
        <f t="shared" si="4"/>
        <v/>
      </c>
      <c r="F160" s="16"/>
      <c r="G160" s="17"/>
      <c r="H160" s="17"/>
      <c r="I160" s="17"/>
      <c r="J160" s="17"/>
      <c r="S160" s="4" t="str">
        <f t="shared" si="5"/>
        <v/>
      </c>
    </row>
    <row r="161" spans="1:19" s="3" customFormat="1" ht="13.9" hidden="1" x14ac:dyDescent="0.4">
      <c r="A161" s="5" t="str">
        <f t="shared" si="4"/>
        <v/>
      </c>
      <c r="F161" s="16"/>
      <c r="G161" s="17"/>
      <c r="H161" s="17"/>
      <c r="I161" s="17"/>
      <c r="J161" s="17"/>
      <c r="S161" s="4" t="str">
        <f t="shared" si="5"/>
        <v/>
      </c>
    </row>
    <row r="162" spans="1:19" s="3" customFormat="1" ht="13.9" hidden="1" x14ac:dyDescent="0.4">
      <c r="A162" s="5" t="str">
        <f t="shared" si="4"/>
        <v/>
      </c>
      <c r="F162" s="16"/>
      <c r="G162" s="17"/>
      <c r="H162" s="17"/>
      <c r="I162" s="17"/>
      <c r="J162" s="17"/>
      <c r="S162" s="4" t="str">
        <f t="shared" si="5"/>
        <v/>
      </c>
    </row>
    <row r="163" spans="1:19" s="3" customFormat="1" ht="13.9" hidden="1" x14ac:dyDescent="0.4">
      <c r="A163" s="5" t="str">
        <f t="shared" si="4"/>
        <v/>
      </c>
      <c r="F163" s="16"/>
      <c r="G163" s="17"/>
      <c r="H163" s="17"/>
      <c r="I163" s="17"/>
      <c r="J163" s="17"/>
      <c r="S163" s="4" t="str">
        <f t="shared" si="5"/>
        <v/>
      </c>
    </row>
    <row r="164" spans="1:19" s="3" customFormat="1" ht="13.9" hidden="1" x14ac:dyDescent="0.4">
      <c r="A164" s="5" t="str">
        <f t="shared" si="4"/>
        <v/>
      </c>
      <c r="F164" s="16"/>
      <c r="G164" s="17"/>
      <c r="H164" s="17"/>
      <c r="I164" s="17"/>
      <c r="J164" s="17"/>
      <c r="S164" s="4" t="str">
        <f t="shared" si="5"/>
        <v/>
      </c>
    </row>
    <row r="165" spans="1:19" s="3" customFormat="1" ht="13.9" hidden="1" x14ac:dyDescent="0.4">
      <c r="A165" s="5" t="str">
        <f t="shared" si="4"/>
        <v/>
      </c>
      <c r="F165" s="16"/>
      <c r="G165" s="17"/>
      <c r="H165" s="17"/>
      <c r="I165" s="17"/>
      <c r="J165" s="17"/>
      <c r="S165" s="4" t="str">
        <f t="shared" si="5"/>
        <v/>
      </c>
    </row>
    <row r="166" spans="1:19" s="3" customFormat="1" ht="13.9" hidden="1" x14ac:dyDescent="0.4">
      <c r="A166" s="5" t="str">
        <f t="shared" si="4"/>
        <v/>
      </c>
      <c r="F166" s="16"/>
      <c r="G166" s="17"/>
      <c r="H166" s="17"/>
      <c r="I166" s="17"/>
      <c r="J166" s="17"/>
      <c r="S166" s="4" t="str">
        <f t="shared" si="5"/>
        <v/>
      </c>
    </row>
    <row r="167" spans="1:19" s="3" customFormat="1" ht="13.9" hidden="1" x14ac:dyDescent="0.4">
      <c r="A167" s="5" t="str">
        <f t="shared" si="4"/>
        <v/>
      </c>
      <c r="F167" s="16"/>
      <c r="G167" s="17"/>
      <c r="H167" s="17"/>
      <c r="I167" s="17"/>
      <c r="J167" s="17"/>
      <c r="S167" s="4" t="str">
        <f t="shared" si="5"/>
        <v/>
      </c>
    </row>
    <row r="168" spans="1:19" s="3" customFormat="1" ht="13.9" hidden="1" x14ac:dyDescent="0.4">
      <c r="A168" s="5" t="str">
        <f t="shared" si="4"/>
        <v/>
      </c>
      <c r="F168" s="16"/>
      <c r="G168" s="17"/>
      <c r="H168" s="17"/>
      <c r="I168" s="17"/>
      <c r="J168" s="17"/>
      <c r="S168" s="4" t="str">
        <f t="shared" si="5"/>
        <v/>
      </c>
    </row>
    <row r="169" spans="1:19" s="3" customFormat="1" ht="13.9" hidden="1" x14ac:dyDescent="0.4">
      <c r="A169" s="5" t="str">
        <f t="shared" si="4"/>
        <v/>
      </c>
      <c r="F169" s="16"/>
      <c r="G169" s="17"/>
      <c r="H169" s="17"/>
      <c r="I169" s="17"/>
      <c r="J169" s="17"/>
      <c r="S169" s="4" t="str">
        <f t="shared" si="5"/>
        <v/>
      </c>
    </row>
    <row r="170" spans="1:19" s="3" customFormat="1" ht="13.9" hidden="1" x14ac:dyDescent="0.4">
      <c r="A170" s="5" t="str">
        <f t="shared" si="4"/>
        <v/>
      </c>
      <c r="F170" s="16"/>
      <c r="G170" s="17"/>
      <c r="H170" s="17"/>
      <c r="I170" s="17"/>
      <c r="J170" s="17"/>
      <c r="S170" s="4" t="str">
        <f t="shared" si="5"/>
        <v/>
      </c>
    </row>
    <row r="171" spans="1:19" s="3" customFormat="1" ht="13.9" hidden="1" x14ac:dyDescent="0.4">
      <c r="A171" s="5" t="str">
        <f t="shared" si="4"/>
        <v/>
      </c>
      <c r="F171" s="16"/>
      <c r="G171" s="17"/>
      <c r="H171" s="17"/>
      <c r="I171" s="17"/>
      <c r="J171" s="17"/>
      <c r="S171" s="4" t="str">
        <f t="shared" si="5"/>
        <v/>
      </c>
    </row>
    <row r="172" spans="1:19" s="3" customFormat="1" ht="13.9" hidden="1" x14ac:dyDescent="0.4">
      <c r="A172" s="5" t="str">
        <f t="shared" si="4"/>
        <v/>
      </c>
      <c r="F172" s="16"/>
      <c r="G172" s="17"/>
      <c r="H172" s="17"/>
      <c r="I172" s="17"/>
      <c r="J172" s="17"/>
      <c r="S172" s="4" t="str">
        <f t="shared" si="5"/>
        <v/>
      </c>
    </row>
    <row r="173" spans="1:19" s="3" customFormat="1" ht="13.9" hidden="1" x14ac:dyDescent="0.4">
      <c r="A173" s="5" t="str">
        <f t="shared" si="4"/>
        <v/>
      </c>
      <c r="F173" s="16"/>
      <c r="G173" s="17"/>
      <c r="H173" s="17"/>
      <c r="I173" s="17"/>
      <c r="J173" s="17"/>
      <c r="S173" s="4" t="str">
        <f t="shared" si="5"/>
        <v/>
      </c>
    </row>
    <row r="174" spans="1:19" s="3" customFormat="1" ht="13.9" hidden="1" x14ac:dyDescent="0.4">
      <c r="A174" s="5" t="str">
        <f t="shared" si="4"/>
        <v/>
      </c>
      <c r="F174" s="16"/>
      <c r="G174" s="17"/>
      <c r="H174" s="17"/>
      <c r="I174" s="17"/>
      <c r="J174" s="17"/>
      <c r="S174" s="4" t="str">
        <f t="shared" si="5"/>
        <v/>
      </c>
    </row>
    <row r="175" spans="1:19" s="3" customFormat="1" ht="13.9" hidden="1" x14ac:dyDescent="0.4">
      <c r="A175" s="5" t="str">
        <f t="shared" si="4"/>
        <v/>
      </c>
      <c r="F175" s="16"/>
      <c r="G175" s="17"/>
      <c r="H175" s="17"/>
      <c r="I175" s="17"/>
      <c r="J175" s="17"/>
      <c r="S175" s="4" t="str">
        <f t="shared" si="5"/>
        <v/>
      </c>
    </row>
    <row r="176" spans="1:19" s="3" customFormat="1" ht="13.9" hidden="1" x14ac:dyDescent="0.4">
      <c r="A176" s="5" t="str">
        <f t="shared" si="4"/>
        <v/>
      </c>
      <c r="F176" s="16"/>
      <c r="G176" s="17"/>
      <c r="H176" s="17"/>
      <c r="I176" s="17"/>
      <c r="J176" s="17"/>
      <c r="S176" s="4" t="str">
        <f t="shared" si="5"/>
        <v/>
      </c>
    </row>
    <row r="177" spans="1:19" s="3" customFormat="1" ht="13.9" hidden="1" x14ac:dyDescent="0.4">
      <c r="A177" s="5" t="str">
        <f t="shared" si="4"/>
        <v/>
      </c>
      <c r="F177" s="16"/>
      <c r="G177" s="17"/>
      <c r="H177" s="17"/>
      <c r="I177" s="17"/>
      <c r="J177" s="17"/>
      <c r="S177" s="4" t="str">
        <f t="shared" si="5"/>
        <v/>
      </c>
    </row>
    <row r="178" spans="1:19" s="3" customFormat="1" ht="13.9" hidden="1" x14ac:dyDescent="0.4">
      <c r="A178" s="5" t="str">
        <f t="shared" ref="A178:A186" si="6">IF(S178 ="visible",IF(B178 = "Total","",A177+1),"")</f>
        <v/>
      </c>
      <c r="F178" s="16"/>
      <c r="G178" s="17"/>
      <c r="H178" s="17"/>
      <c r="I178" s="17"/>
      <c r="J178" s="17"/>
      <c r="S178" s="4" t="str">
        <f t="shared" si="5"/>
        <v/>
      </c>
    </row>
    <row r="179" spans="1:19" s="3" customFormat="1" ht="13.9" hidden="1" x14ac:dyDescent="0.4">
      <c r="A179" s="5" t="str">
        <f t="shared" si="6"/>
        <v/>
      </c>
      <c r="F179" s="16"/>
      <c r="G179" s="17"/>
      <c r="H179" s="17"/>
      <c r="I179" s="17"/>
      <c r="J179" s="17"/>
      <c r="S179" s="4" t="str">
        <f t="shared" si="5"/>
        <v/>
      </c>
    </row>
    <row r="180" spans="1:19" s="3" customFormat="1" ht="13.9" hidden="1" x14ac:dyDescent="0.4">
      <c r="A180" s="5" t="str">
        <f t="shared" si="6"/>
        <v/>
      </c>
      <c r="F180" s="16"/>
      <c r="G180" s="17"/>
      <c r="H180" s="17"/>
      <c r="I180" s="17"/>
      <c r="J180" s="17"/>
      <c r="S180" s="4" t="str">
        <f t="shared" si="5"/>
        <v/>
      </c>
    </row>
    <row r="181" spans="1:19" s="3" customFormat="1" ht="13.9" hidden="1" x14ac:dyDescent="0.4">
      <c r="A181" s="5" t="str">
        <f t="shared" si="6"/>
        <v/>
      </c>
      <c r="F181" s="16"/>
      <c r="G181" s="17"/>
      <c r="H181" s="17"/>
      <c r="I181" s="17"/>
      <c r="J181" s="17"/>
      <c r="S181" s="4" t="str">
        <f t="shared" si="5"/>
        <v/>
      </c>
    </row>
    <row r="182" spans="1:19" s="3" customFormat="1" ht="13.9" hidden="1" x14ac:dyDescent="0.4">
      <c r="A182" s="5" t="str">
        <f t="shared" si="6"/>
        <v/>
      </c>
      <c r="F182" s="16"/>
      <c r="G182" s="17"/>
      <c r="H182" s="17"/>
      <c r="I182" s="17"/>
      <c r="J182" s="17"/>
      <c r="S182" s="4" t="str">
        <f t="shared" si="5"/>
        <v/>
      </c>
    </row>
    <row r="183" spans="1:19" s="3" customFormat="1" ht="13.9" hidden="1" x14ac:dyDescent="0.4">
      <c r="A183" s="5" t="str">
        <f t="shared" si="6"/>
        <v/>
      </c>
      <c r="F183" s="16"/>
      <c r="G183" s="17"/>
      <c r="H183" s="17"/>
      <c r="I183" s="17"/>
      <c r="J183" s="17"/>
      <c r="S183" s="4" t="str">
        <f t="shared" si="5"/>
        <v/>
      </c>
    </row>
    <row r="184" spans="1:19" s="3" customFormat="1" ht="13.9" hidden="1" x14ac:dyDescent="0.4">
      <c r="A184" s="5" t="str">
        <f t="shared" si="6"/>
        <v/>
      </c>
      <c r="F184" s="16"/>
      <c r="G184" s="17"/>
      <c r="H184" s="17"/>
      <c r="I184" s="17"/>
      <c r="J184" s="17"/>
      <c r="S184" s="4" t="str">
        <f t="shared" si="5"/>
        <v/>
      </c>
    </row>
    <row r="185" spans="1:19" s="3" customFormat="1" ht="13.9" hidden="1" x14ac:dyDescent="0.4">
      <c r="A185" s="5" t="str">
        <f t="shared" si="6"/>
        <v/>
      </c>
      <c r="F185" s="16"/>
      <c r="G185" s="17"/>
      <c r="H185" s="17"/>
      <c r="I185" s="17"/>
      <c r="J185" s="17"/>
      <c r="S185" s="4" t="str">
        <f t="shared" si="5"/>
        <v/>
      </c>
    </row>
    <row r="186" spans="1:19" s="3" customFormat="1" ht="13.9" hidden="1" x14ac:dyDescent="0.4">
      <c r="A186" s="5" t="str">
        <f t="shared" si="6"/>
        <v/>
      </c>
      <c r="F186" s="16"/>
      <c r="G186" s="17"/>
      <c r="H186" s="17"/>
      <c r="I186" s="17"/>
      <c r="J186" s="17"/>
      <c r="S186" s="4" t="str">
        <f t="shared" si="5"/>
        <v/>
      </c>
    </row>
    <row r="187" spans="1:19" s="3" customFormat="1" ht="13.9" hidden="1" x14ac:dyDescent="0.4">
      <c r="A187" s="5" t="str">
        <f>IF(S187 ="visible",IF(B187 = "Gesamtergebnis","",A186+1),"")</f>
        <v/>
      </c>
      <c r="F187" s="16"/>
      <c r="G187" s="17"/>
      <c r="H187" s="17"/>
      <c r="I187" s="17"/>
      <c r="J187" s="17"/>
      <c r="S187" s="4" t="str">
        <f t="shared" si="5"/>
        <v/>
      </c>
    </row>
    <row r="188" spans="1:19" x14ac:dyDescent="0.45">
      <c r="B188" s="9" t="s">
        <v>136</v>
      </c>
      <c r="S188" s="4" t="str">
        <f t="shared" si="5"/>
        <v>visible</v>
      </c>
    </row>
    <row r="189" spans="1:19" x14ac:dyDescent="0.45">
      <c r="A189" s="10"/>
      <c r="B189" s="196" t="s">
        <v>310</v>
      </c>
      <c r="C189" s="192" t="s">
        <v>243</v>
      </c>
      <c r="S189" s="4" t="str">
        <f t="shared" si="5"/>
        <v>visible</v>
      </c>
    </row>
    <row r="190" spans="1:19" s="3" customFormat="1" ht="13.9" hidden="1" x14ac:dyDescent="0.4">
      <c r="A190" s="5"/>
      <c r="S190" s="4" t="str">
        <f t="shared" si="5"/>
        <v/>
      </c>
    </row>
    <row r="191" spans="1:19" ht="13.9" x14ac:dyDescent="0.4">
      <c r="A191" s="11"/>
      <c r="B191" s="200" t="s">
        <v>5</v>
      </c>
      <c r="C191" s="200" t="s">
        <v>7</v>
      </c>
      <c r="D191" s="200" t="s">
        <v>23</v>
      </c>
      <c r="E191" s="200" t="s">
        <v>14</v>
      </c>
      <c r="F191" s="192" t="s">
        <v>135</v>
      </c>
      <c r="G191" s="192" t="s">
        <v>259</v>
      </c>
      <c r="H191" s="206" t="s">
        <v>247</v>
      </c>
      <c r="I191" s="194" t="s">
        <v>262</v>
      </c>
      <c r="J191" s="192" t="s">
        <v>234</v>
      </c>
      <c r="K191" s="192" t="s">
        <v>235</v>
      </c>
      <c r="L191" s="192" t="s">
        <v>240</v>
      </c>
      <c r="M191" s="192" t="s">
        <v>237</v>
      </c>
      <c r="N191" s="192" t="s">
        <v>238</v>
      </c>
      <c r="O191" s="194" t="s">
        <v>143</v>
      </c>
      <c r="P191" s="194" t="s">
        <v>142</v>
      </c>
      <c r="Q191" s="194" t="s">
        <v>239</v>
      </c>
      <c r="S191" s="4" t="str">
        <f t="shared" si="5"/>
        <v>visible</v>
      </c>
    </row>
    <row r="192" spans="1:19" ht="13.9" x14ac:dyDescent="0.4">
      <c r="A192" s="5">
        <f>IF(S192 ="visible",IF(B192 = "Total","",A191+1),"")</f>
        <v>1</v>
      </c>
      <c r="B192" s="192" t="s">
        <v>479</v>
      </c>
      <c r="C192" s="192" t="s">
        <v>97</v>
      </c>
      <c r="D192" s="192" t="s">
        <v>96</v>
      </c>
      <c r="E192" s="192" t="s">
        <v>864</v>
      </c>
      <c r="F192" s="194">
        <v>280128.35820895521</v>
      </c>
      <c r="G192" s="194">
        <v>145800</v>
      </c>
      <c r="H192" s="206">
        <v>0.5</v>
      </c>
      <c r="I192" s="194">
        <v>72900</v>
      </c>
      <c r="J192" s="194"/>
      <c r="K192" s="194"/>
      <c r="L192" s="194"/>
      <c r="M192" s="194"/>
      <c r="N192" s="194"/>
      <c r="O192" s="194">
        <v>14580</v>
      </c>
      <c r="P192" s="194"/>
      <c r="Q192" s="194">
        <v>14580</v>
      </c>
      <c r="S192" s="4" t="str">
        <f t="shared" si="5"/>
        <v>visible</v>
      </c>
    </row>
    <row r="193" spans="1:19" ht="13.9" x14ac:dyDescent="0.4">
      <c r="A193" s="5">
        <f t="shared" ref="A193:A256" si="7">IF(S193 ="visible",IF(B193 = "Total","",A192+1),"")</f>
        <v>2</v>
      </c>
      <c r="B193" s="192" t="s">
        <v>799</v>
      </c>
      <c r="C193" s="192" t="s">
        <v>1</v>
      </c>
      <c r="D193" s="192" t="s">
        <v>0</v>
      </c>
      <c r="E193" s="192" t="s">
        <v>801</v>
      </c>
      <c r="F193" s="194">
        <v>250000</v>
      </c>
      <c r="G193" s="194">
        <v>250000</v>
      </c>
      <c r="H193" s="206">
        <v>0.66</v>
      </c>
      <c r="I193" s="194">
        <v>165000</v>
      </c>
      <c r="J193" s="194"/>
      <c r="K193" s="194"/>
      <c r="L193" s="194">
        <v>132000</v>
      </c>
      <c r="M193" s="194"/>
      <c r="N193" s="194"/>
      <c r="O193" s="194">
        <v>33000</v>
      </c>
      <c r="P193" s="194"/>
      <c r="Q193" s="194">
        <v>33000</v>
      </c>
      <c r="S193" s="4" t="str">
        <f t="shared" si="5"/>
        <v>visible</v>
      </c>
    </row>
    <row r="194" spans="1:19" s="3" customFormat="1" ht="13.9" x14ac:dyDescent="0.4">
      <c r="A194" s="5">
        <f t="shared" si="7"/>
        <v>3</v>
      </c>
      <c r="B194" s="192" t="s">
        <v>796</v>
      </c>
      <c r="C194" s="192" t="s">
        <v>1</v>
      </c>
      <c r="D194" s="192" t="s">
        <v>0</v>
      </c>
      <c r="E194" s="192" t="s">
        <v>797</v>
      </c>
      <c r="F194" s="194">
        <v>290000</v>
      </c>
      <c r="G194" s="194">
        <v>290000</v>
      </c>
      <c r="H194" s="206">
        <v>0.5</v>
      </c>
      <c r="I194" s="194">
        <v>145000</v>
      </c>
      <c r="J194" s="194"/>
      <c r="K194" s="194">
        <v>116000</v>
      </c>
      <c r="L194" s="194"/>
      <c r="M194" s="194"/>
      <c r="N194" s="194"/>
      <c r="O194" s="194">
        <v>29000</v>
      </c>
      <c r="P194" s="194"/>
      <c r="Q194" s="194">
        <v>29000</v>
      </c>
      <c r="S194" s="4" t="str">
        <f t="shared" si="5"/>
        <v>visible</v>
      </c>
    </row>
    <row r="195" spans="1:19" s="3" customFormat="1" ht="13.9" x14ac:dyDescent="0.4">
      <c r="A195" s="5">
        <f t="shared" si="7"/>
        <v>4</v>
      </c>
      <c r="B195" s="192" t="s">
        <v>804</v>
      </c>
      <c r="C195" s="192" t="s">
        <v>1</v>
      </c>
      <c r="D195" s="192" t="s">
        <v>0</v>
      </c>
      <c r="E195" s="192" t="s">
        <v>163</v>
      </c>
      <c r="F195" s="194">
        <v>250000</v>
      </c>
      <c r="G195" s="194">
        <v>250000</v>
      </c>
      <c r="H195" s="206">
        <v>0.66</v>
      </c>
      <c r="I195" s="194">
        <v>165000</v>
      </c>
      <c r="J195" s="194"/>
      <c r="K195" s="194"/>
      <c r="L195" s="194"/>
      <c r="M195" s="194"/>
      <c r="N195" s="194"/>
      <c r="O195" s="194">
        <v>33000</v>
      </c>
      <c r="P195" s="194"/>
      <c r="Q195" s="194">
        <v>33000</v>
      </c>
      <c r="S195" s="4" t="str">
        <f t="shared" si="5"/>
        <v>visible</v>
      </c>
    </row>
    <row r="196" spans="1:19" s="3" customFormat="1" ht="13.9" x14ac:dyDescent="0.4">
      <c r="A196" s="5">
        <f t="shared" si="7"/>
        <v>5</v>
      </c>
      <c r="B196" s="192" t="s">
        <v>831</v>
      </c>
      <c r="C196" s="192" t="s">
        <v>1</v>
      </c>
      <c r="D196" s="192" t="s">
        <v>0</v>
      </c>
      <c r="E196" s="192" t="s">
        <v>827</v>
      </c>
      <c r="F196" s="194">
        <v>250000</v>
      </c>
      <c r="G196" s="194">
        <v>250000</v>
      </c>
      <c r="H196" s="206">
        <v>0.66</v>
      </c>
      <c r="I196" s="194">
        <v>165000</v>
      </c>
      <c r="J196" s="194"/>
      <c r="K196" s="194"/>
      <c r="L196" s="194"/>
      <c r="M196" s="194"/>
      <c r="N196" s="194"/>
      <c r="O196" s="194">
        <v>33000</v>
      </c>
      <c r="P196" s="194"/>
      <c r="Q196" s="194">
        <v>33000</v>
      </c>
      <c r="S196" s="4" t="str">
        <f t="shared" si="5"/>
        <v>visible</v>
      </c>
    </row>
    <row r="197" spans="1:19" s="3" customFormat="1" ht="13.9" x14ac:dyDescent="0.4">
      <c r="A197" s="5" t="str">
        <f t="shared" si="7"/>
        <v/>
      </c>
      <c r="B197" s="200" t="s">
        <v>429</v>
      </c>
      <c r="C197" s="200"/>
      <c r="D197" s="200"/>
      <c r="E197" s="200"/>
      <c r="F197" s="201">
        <v>1320128.3582089553</v>
      </c>
      <c r="G197" s="201">
        <v>1185800</v>
      </c>
      <c r="H197" s="212">
        <v>0.59600000000000009</v>
      </c>
      <c r="I197" s="201">
        <v>712900</v>
      </c>
      <c r="J197" s="201"/>
      <c r="K197" s="201">
        <v>116000</v>
      </c>
      <c r="L197" s="201">
        <v>132000</v>
      </c>
      <c r="M197" s="201"/>
      <c r="N197" s="201"/>
      <c r="O197" s="201">
        <v>142580</v>
      </c>
      <c r="P197" s="201"/>
      <c r="Q197" s="201">
        <v>142580</v>
      </c>
      <c r="S197" s="4" t="str">
        <f t="shared" ref="S197:S260" si="8">IF(B197&lt;&gt;"","visible","")</f>
        <v>visible</v>
      </c>
    </row>
    <row r="198" spans="1:19" s="3" customFormat="1" hidden="1" x14ac:dyDescent="0.45">
      <c r="A198" s="5" t="str">
        <f t="shared" si="7"/>
        <v/>
      </c>
      <c r="B198"/>
      <c r="C198"/>
      <c r="D198"/>
      <c r="E198"/>
      <c r="F198"/>
      <c r="G198"/>
      <c r="H198"/>
      <c r="I198"/>
      <c r="J198"/>
      <c r="K198"/>
      <c r="L198"/>
      <c r="M198"/>
      <c r="N198"/>
      <c r="O198"/>
      <c r="P198"/>
      <c r="Q198"/>
      <c r="S198" s="4" t="str">
        <f t="shared" si="8"/>
        <v/>
      </c>
    </row>
    <row r="199" spans="1:19" s="3" customFormat="1" hidden="1" x14ac:dyDescent="0.45">
      <c r="A199" s="5" t="str">
        <f t="shared" si="7"/>
        <v/>
      </c>
      <c r="B199"/>
      <c r="C199"/>
      <c r="D199"/>
      <c r="E199"/>
      <c r="F199"/>
      <c r="G199"/>
      <c r="H199"/>
      <c r="I199"/>
      <c r="J199"/>
      <c r="K199"/>
      <c r="L199"/>
      <c r="M199"/>
      <c r="N199"/>
      <c r="O199"/>
      <c r="P199"/>
      <c r="Q199"/>
      <c r="S199" s="4" t="str">
        <f t="shared" si="8"/>
        <v/>
      </c>
    </row>
    <row r="200" spans="1:19" s="3" customFormat="1" hidden="1" x14ac:dyDescent="0.45">
      <c r="A200" s="5" t="str">
        <f t="shared" si="7"/>
        <v/>
      </c>
      <c r="B200"/>
      <c r="C200"/>
      <c r="D200"/>
      <c r="E200"/>
      <c r="F200"/>
      <c r="G200"/>
      <c r="H200"/>
      <c r="I200"/>
      <c r="J200"/>
      <c r="K200"/>
      <c r="L200"/>
      <c r="M200"/>
      <c r="N200"/>
      <c r="O200"/>
      <c r="P200"/>
      <c r="Q200"/>
      <c r="S200" s="4" t="str">
        <f t="shared" si="8"/>
        <v/>
      </c>
    </row>
    <row r="201" spans="1:19" s="3" customFormat="1" hidden="1" x14ac:dyDescent="0.45">
      <c r="A201" s="5" t="str">
        <f t="shared" si="7"/>
        <v/>
      </c>
      <c r="B201"/>
      <c r="C201"/>
      <c r="D201"/>
      <c r="E201"/>
      <c r="F201"/>
      <c r="G201"/>
      <c r="H201"/>
      <c r="I201"/>
      <c r="J201"/>
      <c r="K201"/>
      <c r="L201"/>
      <c r="M201"/>
      <c r="N201"/>
      <c r="O201"/>
      <c r="P201"/>
      <c r="Q201"/>
      <c r="S201" s="4" t="str">
        <f t="shared" si="8"/>
        <v/>
      </c>
    </row>
    <row r="202" spans="1:19" s="3" customFormat="1" hidden="1" x14ac:dyDescent="0.45">
      <c r="A202" s="5" t="str">
        <f t="shared" si="7"/>
        <v/>
      </c>
      <c r="B202"/>
      <c r="C202"/>
      <c r="D202"/>
      <c r="E202"/>
      <c r="F202"/>
      <c r="G202"/>
      <c r="H202"/>
      <c r="I202"/>
      <c r="J202"/>
      <c r="K202"/>
      <c r="L202"/>
      <c r="M202"/>
      <c r="N202"/>
      <c r="O202"/>
      <c r="P202"/>
      <c r="Q202"/>
      <c r="S202" s="4" t="str">
        <f t="shared" si="8"/>
        <v/>
      </c>
    </row>
    <row r="203" spans="1:19" s="3" customFormat="1" hidden="1" x14ac:dyDescent="0.45">
      <c r="A203" s="5" t="str">
        <f t="shared" si="7"/>
        <v/>
      </c>
      <c r="B203"/>
      <c r="C203"/>
      <c r="D203"/>
      <c r="E203"/>
      <c r="F203"/>
      <c r="G203"/>
      <c r="H203"/>
      <c r="I203"/>
      <c r="J203"/>
      <c r="K203"/>
      <c r="L203"/>
      <c r="M203"/>
      <c r="N203"/>
      <c r="O203"/>
      <c r="P203"/>
      <c r="Q203"/>
      <c r="S203" s="4" t="str">
        <f t="shared" si="8"/>
        <v/>
      </c>
    </row>
    <row r="204" spans="1:19" s="3" customFormat="1" hidden="1" x14ac:dyDescent="0.45">
      <c r="A204" s="5" t="str">
        <f t="shared" si="7"/>
        <v/>
      </c>
      <c r="B204"/>
      <c r="C204"/>
      <c r="D204"/>
      <c r="E204"/>
      <c r="F204"/>
      <c r="G204"/>
      <c r="H204"/>
      <c r="I204"/>
      <c r="J204"/>
      <c r="K204"/>
      <c r="L204"/>
      <c r="M204"/>
      <c r="N204"/>
      <c r="O204"/>
      <c r="P204"/>
      <c r="Q204"/>
      <c r="S204" s="4" t="str">
        <f t="shared" si="8"/>
        <v/>
      </c>
    </row>
    <row r="205" spans="1:19" s="3" customFormat="1" hidden="1" x14ac:dyDescent="0.45">
      <c r="A205" s="5" t="str">
        <f t="shared" si="7"/>
        <v/>
      </c>
      <c r="B205"/>
      <c r="C205"/>
      <c r="D205"/>
      <c r="E205"/>
      <c r="F205"/>
      <c r="G205"/>
      <c r="H205"/>
      <c r="I205"/>
      <c r="J205"/>
      <c r="K205"/>
      <c r="L205"/>
      <c r="M205"/>
      <c r="N205"/>
      <c r="O205"/>
      <c r="P205"/>
      <c r="Q205"/>
      <c r="S205" s="4" t="str">
        <f t="shared" si="8"/>
        <v/>
      </c>
    </row>
    <row r="206" spans="1:19" s="3" customFormat="1" hidden="1" x14ac:dyDescent="0.45">
      <c r="A206" s="5" t="str">
        <f t="shared" si="7"/>
        <v/>
      </c>
      <c r="B206"/>
      <c r="C206"/>
      <c r="D206"/>
      <c r="E206"/>
      <c r="F206"/>
      <c r="G206"/>
      <c r="H206"/>
      <c r="I206"/>
      <c r="J206"/>
      <c r="K206"/>
      <c r="L206"/>
      <c r="M206"/>
      <c r="N206"/>
      <c r="O206"/>
      <c r="P206"/>
      <c r="Q206"/>
      <c r="S206" s="4" t="str">
        <f t="shared" si="8"/>
        <v/>
      </c>
    </row>
    <row r="207" spans="1:19" s="3" customFormat="1" hidden="1" x14ac:dyDescent="0.45">
      <c r="A207" s="5" t="str">
        <f t="shared" si="7"/>
        <v/>
      </c>
      <c r="B207"/>
      <c r="C207"/>
      <c r="D207"/>
      <c r="E207"/>
      <c r="F207"/>
      <c r="G207"/>
      <c r="H207"/>
      <c r="I207"/>
      <c r="J207"/>
      <c r="K207"/>
      <c r="L207"/>
      <c r="M207"/>
      <c r="N207"/>
      <c r="O207"/>
      <c r="P207"/>
      <c r="Q207"/>
      <c r="S207" s="4" t="str">
        <f t="shared" si="8"/>
        <v/>
      </c>
    </row>
    <row r="208" spans="1:19" s="3" customFormat="1" hidden="1" x14ac:dyDescent="0.45">
      <c r="A208" s="5" t="str">
        <f t="shared" si="7"/>
        <v/>
      </c>
      <c r="B208"/>
      <c r="C208"/>
      <c r="D208"/>
      <c r="E208"/>
      <c r="F208"/>
      <c r="G208"/>
      <c r="H208"/>
      <c r="I208"/>
      <c r="J208"/>
      <c r="K208"/>
      <c r="L208"/>
      <c r="M208"/>
      <c r="N208"/>
      <c r="O208"/>
      <c r="P208"/>
      <c r="Q208"/>
      <c r="S208" s="4" t="str">
        <f t="shared" si="8"/>
        <v/>
      </c>
    </row>
    <row r="209" spans="1:19" s="3" customFormat="1" hidden="1" x14ac:dyDescent="0.45">
      <c r="A209" s="5" t="str">
        <f t="shared" si="7"/>
        <v/>
      </c>
      <c r="B209"/>
      <c r="C209"/>
      <c r="D209"/>
      <c r="E209"/>
      <c r="F209"/>
      <c r="G209"/>
      <c r="H209"/>
      <c r="I209"/>
      <c r="J209"/>
      <c r="K209"/>
      <c r="L209"/>
      <c r="M209"/>
      <c r="N209"/>
      <c r="O209"/>
      <c r="P209"/>
      <c r="Q209"/>
      <c r="S209" s="4" t="str">
        <f t="shared" si="8"/>
        <v/>
      </c>
    </row>
    <row r="210" spans="1:19" s="3" customFormat="1" hidden="1" x14ac:dyDescent="0.45">
      <c r="A210" s="5" t="str">
        <f t="shared" si="7"/>
        <v/>
      </c>
      <c r="B210"/>
      <c r="C210"/>
      <c r="D210"/>
      <c r="E210"/>
      <c r="F210"/>
      <c r="G210"/>
      <c r="H210"/>
      <c r="I210"/>
      <c r="J210"/>
      <c r="K210"/>
      <c r="L210"/>
      <c r="M210"/>
      <c r="N210"/>
      <c r="O210"/>
      <c r="P210"/>
      <c r="Q210"/>
      <c r="S210" s="4" t="str">
        <f t="shared" si="8"/>
        <v/>
      </c>
    </row>
    <row r="211" spans="1:19" s="3" customFormat="1" hidden="1" x14ac:dyDescent="0.45">
      <c r="A211" s="5" t="str">
        <f t="shared" si="7"/>
        <v/>
      </c>
      <c r="B211"/>
      <c r="C211"/>
      <c r="D211"/>
      <c r="E211"/>
      <c r="F211"/>
      <c r="G211"/>
      <c r="H211"/>
      <c r="I211"/>
      <c r="J211"/>
      <c r="K211"/>
      <c r="L211"/>
      <c r="M211"/>
      <c r="N211"/>
      <c r="O211"/>
      <c r="P211"/>
      <c r="Q211"/>
      <c r="S211" s="4" t="str">
        <f t="shared" si="8"/>
        <v/>
      </c>
    </row>
    <row r="212" spans="1:19" s="3" customFormat="1" hidden="1" x14ac:dyDescent="0.45">
      <c r="A212" s="5" t="str">
        <f t="shared" si="7"/>
        <v/>
      </c>
      <c r="B212"/>
      <c r="C212"/>
      <c r="D212"/>
      <c r="E212"/>
      <c r="F212"/>
      <c r="G212"/>
      <c r="H212"/>
      <c r="I212"/>
      <c r="J212"/>
      <c r="K212"/>
      <c r="L212"/>
      <c r="M212"/>
      <c r="N212"/>
      <c r="O212"/>
      <c r="P212"/>
      <c r="Q212"/>
      <c r="S212" s="4" t="str">
        <f t="shared" si="8"/>
        <v/>
      </c>
    </row>
    <row r="213" spans="1:19" s="3" customFormat="1" hidden="1" x14ac:dyDescent="0.45">
      <c r="A213" s="5" t="str">
        <f t="shared" si="7"/>
        <v/>
      </c>
      <c r="B213"/>
      <c r="C213"/>
      <c r="D213"/>
      <c r="E213"/>
      <c r="F213"/>
      <c r="G213"/>
      <c r="H213"/>
      <c r="I213"/>
      <c r="J213"/>
      <c r="K213"/>
      <c r="L213"/>
      <c r="M213"/>
      <c r="N213"/>
      <c r="O213"/>
      <c r="P213"/>
      <c r="Q213"/>
      <c r="S213" s="4" t="str">
        <f t="shared" si="8"/>
        <v/>
      </c>
    </row>
    <row r="214" spans="1:19" s="3" customFormat="1" hidden="1" x14ac:dyDescent="0.45">
      <c r="A214" s="5" t="str">
        <f t="shared" si="7"/>
        <v/>
      </c>
      <c r="B214"/>
      <c r="C214"/>
      <c r="D214"/>
      <c r="E214"/>
      <c r="F214"/>
      <c r="G214"/>
      <c r="H214"/>
      <c r="I214"/>
      <c r="J214"/>
      <c r="K214"/>
      <c r="L214"/>
      <c r="M214"/>
      <c r="N214"/>
      <c r="O214"/>
      <c r="P214"/>
      <c r="Q214"/>
      <c r="S214" s="4" t="str">
        <f t="shared" si="8"/>
        <v/>
      </c>
    </row>
    <row r="215" spans="1:19" s="3" customFormat="1" hidden="1" x14ac:dyDescent="0.45">
      <c r="A215" s="5" t="str">
        <f t="shared" si="7"/>
        <v/>
      </c>
      <c r="B215"/>
      <c r="C215"/>
      <c r="D215"/>
      <c r="E215"/>
      <c r="F215"/>
      <c r="G215"/>
      <c r="H215"/>
      <c r="I215"/>
      <c r="J215"/>
      <c r="K215"/>
      <c r="L215"/>
      <c r="M215"/>
      <c r="N215"/>
      <c r="O215"/>
      <c r="P215"/>
      <c r="Q215"/>
      <c r="S215" s="4" t="str">
        <f t="shared" si="8"/>
        <v/>
      </c>
    </row>
    <row r="216" spans="1:19" s="3" customFormat="1" hidden="1" x14ac:dyDescent="0.45">
      <c r="A216" s="5" t="str">
        <f t="shared" si="7"/>
        <v/>
      </c>
      <c r="B216"/>
      <c r="C216"/>
      <c r="D216"/>
      <c r="E216"/>
      <c r="F216"/>
      <c r="G216"/>
      <c r="H216"/>
      <c r="I216"/>
      <c r="J216"/>
      <c r="K216"/>
      <c r="L216"/>
      <c r="M216"/>
      <c r="N216"/>
      <c r="O216"/>
      <c r="P216"/>
      <c r="Q216"/>
      <c r="S216" s="4" t="str">
        <f t="shared" si="8"/>
        <v/>
      </c>
    </row>
    <row r="217" spans="1:19" s="3" customFormat="1" hidden="1" x14ac:dyDescent="0.45">
      <c r="A217" s="5" t="str">
        <f t="shared" si="7"/>
        <v/>
      </c>
      <c r="B217"/>
      <c r="C217"/>
      <c r="D217"/>
      <c r="E217"/>
      <c r="F217"/>
      <c r="G217"/>
      <c r="H217"/>
      <c r="I217"/>
      <c r="J217"/>
      <c r="K217"/>
      <c r="L217"/>
      <c r="M217"/>
      <c r="N217"/>
      <c r="O217"/>
      <c r="P217"/>
      <c r="Q217"/>
      <c r="S217" s="4" t="str">
        <f t="shared" si="8"/>
        <v/>
      </c>
    </row>
    <row r="218" spans="1:19" s="3" customFormat="1" hidden="1" x14ac:dyDescent="0.45">
      <c r="A218" s="5" t="str">
        <f t="shared" si="7"/>
        <v/>
      </c>
      <c r="B218"/>
      <c r="C218"/>
      <c r="D218"/>
      <c r="E218"/>
      <c r="F218"/>
      <c r="G218"/>
      <c r="H218"/>
      <c r="I218"/>
      <c r="J218"/>
      <c r="K218"/>
      <c r="L218"/>
      <c r="M218"/>
      <c r="N218"/>
      <c r="O218"/>
      <c r="P218"/>
      <c r="Q218"/>
      <c r="S218" s="4" t="str">
        <f t="shared" si="8"/>
        <v/>
      </c>
    </row>
    <row r="219" spans="1:19" s="3" customFormat="1" hidden="1" x14ac:dyDescent="0.45">
      <c r="A219" s="5" t="str">
        <f t="shared" si="7"/>
        <v/>
      </c>
      <c r="B219"/>
      <c r="C219"/>
      <c r="D219"/>
      <c r="E219"/>
      <c r="F219"/>
      <c r="G219"/>
      <c r="H219"/>
      <c r="I219"/>
      <c r="J219"/>
      <c r="K219"/>
      <c r="L219"/>
      <c r="M219"/>
      <c r="N219"/>
      <c r="O219"/>
      <c r="P219"/>
      <c r="Q219"/>
      <c r="S219" s="4" t="str">
        <f t="shared" si="8"/>
        <v/>
      </c>
    </row>
    <row r="220" spans="1:19" s="3" customFormat="1" hidden="1" x14ac:dyDescent="0.45">
      <c r="A220" s="5" t="str">
        <f t="shared" si="7"/>
        <v/>
      </c>
      <c r="B220"/>
      <c r="C220"/>
      <c r="D220"/>
      <c r="E220"/>
      <c r="F220"/>
      <c r="G220"/>
      <c r="H220"/>
      <c r="I220"/>
      <c r="J220"/>
      <c r="K220"/>
      <c r="L220"/>
      <c r="M220"/>
      <c r="N220"/>
      <c r="O220"/>
      <c r="P220"/>
      <c r="Q220"/>
      <c r="S220" s="4" t="str">
        <f t="shared" si="8"/>
        <v/>
      </c>
    </row>
    <row r="221" spans="1:19" s="3" customFormat="1" hidden="1" x14ac:dyDescent="0.45">
      <c r="A221" s="5" t="str">
        <f t="shared" si="7"/>
        <v/>
      </c>
      <c r="B221"/>
      <c r="C221"/>
      <c r="D221"/>
      <c r="E221"/>
      <c r="F221"/>
      <c r="G221"/>
      <c r="H221"/>
      <c r="I221"/>
      <c r="J221"/>
      <c r="K221"/>
      <c r="L221"/>
      <c r="M221"/>
      <c r="N221"/>
      <c r="O221"/>
      <c r="P221"/>
      <c r="Q221"/>
      <c r="S221" s="4" t="str">
        <f t="shared" si="8"/>
        <v/>
      </c>
    </row>
    <row r="222" spans="1:19" s="3" customFormat="1" hidden="1" x14ac:dyDescent="0.45">
      <c r="A222" s="5" t="str">
        <f t="shared" si="7"/>
        <v/>
      </c>
      <c r="B222"/>
      <c r="C222"/>
      <c r="D222"/>
      <c r="E222"/>
      <c r="F222"/>
      <c r="G222"/>
      <c r="H222"/>
      <c r="I222"/>
      <c r="J222"/>
      <c r="K222"/>
      <c r="L222"/>
      <c r="M222"/>
      <c r="N222"/>
      <c r="O222"/>
      <c r="P222"/>
      <c r="Q222"/>
      <c r="S222" s="4" t="str">
        <f t="shared" si="8"/>
        <v/>
      </c>
    </row>
    <row r="223" spans="1:19" s="3" customFormat="1" hidden="1" x14ac:dyDescent="0.45">
      <c r="A223" s="5" t="str">
        <f t="shared" si="7"/>
        <v/>
      </c>
      <c r="B223"/>
      <c r="C223"/>
      <c r="D223"/>
      <c r="E223"/>
      <c r="F223"/>
      <c r="G223"/>
      <c r="H223"/>
      <c r="I223"/>
      <c r="J223"/>
      <c r="K223"/>
      <c r="L223"/>
      <c r="M223"/>
      <c r="N223"/>
      <c r="O223"/>
      <c r="P223"/>
      <c r="Q223"/>
      <c r="S223" s="4" t="str">
        <f t="shared" si="8"/>
        <v/>
      </c>
    </row>
    <row r="224" spans="1:19" s="3" customFormat="1" hidden="1" x14ac:dyDescent="0.45">
      <c r="A224" s="5" t="str">
        <f t="shared" si="7"/>
        <v/>
      </c>
      <c r="B224"/>
      <c r="C224"/>
      <c r="D224"/>
      <c r="E224"/>
      <c r="F224"/>
      <c r="G224"/>
      <c r="H224"/>
      <c r="I224"/>
      <c r="J224"/>
      <c r="K224"/>
      <c r="L224"/>
      <c r="M224"/>
      <c r="N224"/>
      <c r="O224"/>
      <c r="P224"/>
      <c r="Q224"/>
      <c r="S224" s="4" t="str">
        <f t="shared" si="8"/>
        <v/>
      </c>
    </row>
    <row r="225" spans="1:19" s="3" customFormat="1" hidden="1" x14ac:dyDescent="0.45">
      <c r="A225" s="5" t="str">
        <f t="shared" si="7"/>
        <v/>
      </c>
      <c r="B225"/>
      <c r="C225"/>
      <c r="D225"/>
      <c r="E225"/>
      <c r="F225"/>
      <c r="G225"/>
      <c r="H225"/>
      <c r="I225"/>
      <c r="J225"/>
      <c r="K225"/>
      <c r="L225"/>
      <c r="M225"/>
      <c r="N225"/>
      <c r="O225"/>
      <c r="P225"/>
      <c r="Q225"/>
      <c r="S225" s="4" t="str">
        <f t="shared" si="8"/>
        <v/>
      </c>
    </row>
    <row r="226" spans="1:19" s="3" customFormat="1" hidden="1" x14ac:dyDescent="0.45">
      <c r="A226" s="5" t="str">
        <f t="shared" si="7"/>
        <v/>
      </c>
      <c r="B226"/>
      <c r="C226"/>
      <c r="D226"/>
      <c r="E226"/>
      <c r="F226"/>
      <c r="G226"/>
      <c r="H226"/>
      <c r="I226"/>
      <c r="J226"/>
      <c r="K226"/>
      <c r="L226"/>
      <c r="M226"/>
      <c r="N226"/>
      <c r="O226"/>
      <c r="P226"/>
      <c r="Q226"/>
      <c r="S226" s="4" t="str">
        <f t="shared" si="8"/>
        <v/>
      </c>
    </row>
    <row r="227" spans="1:19" s="3" customFormat="1" hidden="1" x14ac:dyDescent="0.45">
      <c r="A227" s="5" t="str">
        <f t="shared" si="7"/>
        <v/>
      </c>
      <c r="B227"/>
      <c r="C227"/>
      <c r="D227"/>
      <c r="E227"/>
      <c r="F227"/>
      <c r="G227"/>
      <c r="H227"/>
      <c r="I227"/>
      <c r="J227"/>
      <c r="K227"/>
      <c r="L227"/>
      <c r="M227"/>
      <c r="N227"/>
      <c r="O227"/>
      <c r="P227"/>
      <c r="Q227"/>
      <c r="S227" s="4" t="str">
        <f t="shared" si="8"/>
        <v/>
      </c>
    </row>
    <row r="228" spans="1:19" s="3" customFormat="1" hidden="1" x14ac:dyDescent="0.45">
      <c r="A228" s="5" t="str">
        <f t="shared" si="7"/>
        <v/>
      </c>
      <c r="B228"/>
      <c r="C228"/>
      <c r="D228"/>
      <c r="E228"/>
      <c r="F228"/>
      <c r="G228"/>
      <c r="H228"/>
      <c r="I228"/>
      <c r="J228"/>
      <c r="K228"/>
      <c r="L228"/>
      <c r="M228"/>
      <c r="N228"/>
      <c r="O228"/>
      <c r="P228"/>
      <c r="Q228"/>
      <c r="S228" s="4" t="str">
        <f t="shared" si="8"/>
        <v/>
      </c>
    </row>
    <row r="229" spans="1:19" s="3" customFormat="1" hidden="1" x14ac:dyDescent="0.45">
      <c r="A229" s="5" t="str">
        <f t="shared" si="7"/>
        <v/>
      </c>
      <c r="B229"/>
      <c r="C229"/>
      <c r="D229"/>
      <c r="E229"/>
      <c r="F229"/>
      <c r="G229"/>
      <c r="H229"/>
      <c r="I229"/>
      <c r="J229"/>
      <c r="K229"/>
      <c r="L229"/>
      <c r="M229"/>
      <c r="N229"/>
      <c r="O229"/>
      <c r="P229"/>
      <c r="Q229"/>
      <c r="S229" s="4" t="str">
        <f t="shared" si="8"/>
        <v/>
      </c>
    </row>
    <row r="230" spans="1:19" s="3" customFormat="1" hidden="1" x14ac:dyDescent="0.45">
      <c r="A230" s="5" t="str">
        <f t="shared" si="7"/>
        <v/>
      </c>
      <c r="B230"/>
      <c r="C230"/>
      <c r="D230"/>
      <c r="E230"/>
      <c r="F230"/>
      <c r="G230"/>
      <c r="H230"/>
      <c r="I230"/>
      <c r="J230"/>
      <c r="K230"/>
      <c r="L230"/>
      <c r="M230"/>
      <c r="N230"/>
      <c r="O230"/>
      <c r="P230"/>
      <c r="Q230"/>
      <c r="S230" s="4" t="str">
        <f t="shared" si="8"/>
        <v/>
      </c>
    </row>
    <row r="231" spans="1:19" s="3" customFormat="1" hidden="1" x14ac:dyDescent="0.45">
      <c r="A231" s="5" t="str">
        <f t="shared" si="7"/>
        <v/>
      </c>
      <c r="B231"/>
      <c r="C231"/>
      <c r="D231"/>
      <c r="E231"/>
      <c r="F231"/>
      <c r="G231"/>
      <c r="H231"/>
      <c r="I231"/>
      <c r="J231"/>
      <c r="K231"/>
      <c r="L231"/>
      <c r="M231"/>
      <c r="N231"/>
      <c r="O231"/>
      <c r="P231"/>
      <c r="Q231"/>
      <c r="S231" s="4" t="str">
        <f t="shared" si="8"/>
        <v/>
      </c>
    </row>
    <row r="232" spans="1:19" s="3" customFormat="1" hidden="1" x14ac:dyDescent="0.45">
      <c r="A232" s="5" t="str">
        <f t="shared" si="7"/>
        <v/>
      </c>
      <c r="B232"/>
      <c r="C232"/>
      <c r="D232"/>
      <c r="E232"/>
      <c r="F232"/>
      <c r="G232"/>
      <c r="H232"/>
      <c r="I232"/>
      <c r="J232"/>
      <c r="K232"/>
      <c r="L232"/>
      <c r="M232"/>
      <c r="N232"/>
      <c r="O232"/>
      <c r="P232"/>
      <c r="Q232"/>
      <c r="S232" s="4" t="str">
        <f t="shared" si="8"/>
        <v/>
      </c>
    </row>
    <row r="233" spans="1:19" s="3" customFormat="1" ht="13.9" hidden="1" x14ac:dyDescent="0.4">
      <c r="A233" s="5" t="str">
        <f t="shared" si="7"/>
        <v/>
      </c>
      <c r="F233" s="16"/>
      <c r="G233" s="17"/>
      <c r="H233" s="17"/>
      <c r="I233" s="17"/>
      <c r="J233" s="17"/>
      <c r="S233" s="4" t="str">
        <f t="shared" si="8"/>
        <v/>
      </c>
    </row>
    <row r="234" spans="1:19" s="3" customFormat="1" ht="13.9" hidden="1" x14ac:dyDescent="0.4">
      <c r="A234" s="5" t="str">
        <f t="shared" si="7"/>
        <v/>
      </c>
      <c r="F234" s="16"/>
      <c r="G234" s="17"/>
      <c r="H234" s="17"/>
      <c r="I234" s="17"/>
      <c r="J234" s="17"/>
      <c r="S234" s="4" t="str">
        <f t="shared" si="8"/>
        <v/>
      </c>
    </row>
    <row r="235" spans="1:19" s="3" customFormat="1" ht="13.9" hidden="1" x14ac:dyDescent="0.4">
      <c r="A235" s="5" t="str">
        <f t="shared" si="7"/>
        <v/>
      </c>
      <c r="F235" s="16"/>
      <c r="G235" s="17"/>
      <c r="H235" s="17"/>
      <c r="I235" s="17"/>
      <c r="J235" s="17"/>
      <c r="S235" s="4" t="str">
        <f t="shared" si="8"/>
        <v/>
      </c>
    </row>
    <row r="236" spans="1:19" s="3" customFormat="1" ht="13.9" hidden="1" x14ac:dyDescent="0.4">
      <c r="A236" s="5" t="str">
        <f t="shared" si="7"/>
        <v/>
      </c>
      <c r="F236" s="16"/>
      <c r="G236" s="17"/>
      <c r="H236" s="17"/>
      <c r="I236" s="17"/>
      <c r="J236" s="17"/>
      <c r="S236" s="4" t="str">
        <f t="shared" si="8"/>
        <v/>
      </c>
    </row>
    <row r="237" spans="1:19" s="3" customFormat="1" ht="13.9" hidden="1" x14ac:dyDescent="0.4">
      <c r="A237" s="5" t="str">
        <f t="shared" si="7"/>
        <v/>
      </c>
      <c r="F237" s="16"/>
      <c r="G237" s="17"/>
      <c r="H237" s="17"/>
      <c r="I237" s="17"/>
      <c r="J237" s="17"/>
      <c r="S237" s="4" t="str">
        <f t="shared" si="8"/>
        <v/>
      </c>
    </row>
    <row r="238" spans="1:19" s="3" customFormat="1" ht="13.9" hidden="1" x14ac:dyDescent="0.4">
      <c r="A238" s="5" t="str">
        <f t="shared" si="7"/>
        <v/>
      </c>
      <c r="F238" s="16"/>
      <c r="G238" s="17"/>
      <c r="H238" s="17"/>
      <c r="I238" s="17"/>
      <c r="J238" s="17"/>
      <c r="S238" s="4" t="str">
        <f t="shared" si="8"/>
        <v/>
      </c>
    </row>
    <row r="239" spans="1:19" s="3" customFormat="1" ht="13.9" hidden="1" x14ac:dyDescent="0.4">
      <c r="A239" s="5" t="str">
        <f t="shared" si="7"/>
        <v/>
      </c>
      <c r="F239" s="16"/>
      <c r="G239" s="17"/>
      <c r="H239" s="17"/>
      <c r="I239" s="17"/>
      <c r="J239" s="17"/>
      <c r="S239" s="4" t="str">
        <f t="shared" si="8"/>
        <v/>
      </c>
    </row>
    <row r="240" spans="1:19" s="3" customFormat="1" ht="13.9" hidden="1" x14ac:dyDescent="0.4">
      <c r="A240" s="5" t="str">
        <f t="shared" si="7"/>
        <v/>
      </c>
      <c r="F240" s="16"/>
      <c r="G240" s="17"/>
      <c r="H240" s="17"/>
      <c r="I240" s="17"/>
      <c r="J240" s="17"/>
      <c r="S240" s="4" t="str">
        <f t="shared" si="8"/>
        <v/>
      </c>
    </row>
    <row r="241" spans="1:19" s="3" customFormat="1" ht="13.9" hidden="1" x14ac:dyDescent="0.4">
      <c r="A241" s="5" t="str">
        <f t="shared" si="7"/>
        <v/>
      </c>
      <c r="F241" s="16"/>
      <c r="G241" s="17"/>
      <c r="H241" s="17"/>
      <c r="I241" s="17"/>
      <c r="J241" s="17"/>
      <c r="S241" s="4" t="str">
        <f t="shared" si="8"/>
        <v/>
      </c>
    </row>
    <row r="242" spans="1:19" s="3" customFormat="1" ht="13.9" hidden="1" x14ac:dyDescent="0.4">
      <c r="A242" s="5" t="str">
        <f t="shared" si="7"/>
        <v/>
      </c>
      <c r="F242" s="16"/>
      <c r="G242" s="17"/>
      <c r="H242" s="17"/>
      <c r="I242" s="17"/>
      <c r="J242" s="17"/>
      <c r="S242" s="4" t="str">
        <f t="shared" si="8"/>
        <v/>
      </c>
    </row>
    <row r="243" spans="1:19" s="3" customFormat="1" ht="13.9" hidden="1" x14ac:dyDescent="0.4">
      <c r="A243" s="5" t="str">
        <f t="shared" si="7"/>
        <v/>
      </c>
      <c r="F243" s="16"/>
      <c r="G243" s="17"/>
      <c r="H243" s="17"/>
      <c r="I243" s="17"/>
      <c r="J243" s="17"/>
      <c r="S243" s="4" t="str">
        <f t="shared" si="8"/>
        <v/>
      </c>
    </row>
    <row r="244" spans="1:19" s="3" customFormat="1" ht="13.9" hidden="1" x14ac:dyDescent="0.4">
      <c r="A244" s="5" t="str">
        <f t="shared" si="7"/>
        <v/>
      </c>
      <c r="F244" s="16"/>
      <c r="G244" s="17"/>
      <c r="H244" s="17"/>
      <c r="I244" s="17"/>
      <c r="J244" s="17"/>
      <c r="S244" s="4" t="str">
        <f t="shared" si="8"/>
        <v/>
      </c>
    </row>
    <row r="245" spans="1:19" s="3" customFormat="1" ht="13.9" hidden="1" x14ac:dyDescent="0.4">
      <c r="A245" s="5" t="str">
        <f t="shared" si="7"/>
        <v/>
      </c>
      <c r="F245" s="16"/>
      <c r="G245" s="17"/>
      <c r="H245" s="17"/>
      <c r="I245" s="17"/>
      <c r="J245" s="17"/>
      <c r="S245" s="4" t="str">
        <f t="shared" si="8"/>
        <v/>
      </c>
    </row>
    <row r="246" spans="1:19" s="3" customFormat="1" ht="13.9" hidden="1" x14ac:dyDescent="0.4">
      <c r="A246" s="5" t="str">
        <f t="shared" si="7"/>
        <v/>
      </c>
      <c r="F246" s="16"/>
      <c r="G246" s="17"/>
      <c r="H246" s="17"/>
      <c r="I246" s="17"/>
      <c r="J246" s="17"/>
      <c r="S246" s="4" t="str">
        <f t="shared" si="8"/>
        <v/>
      </c>
    </row>
    <row r="247" spans="1:19" s="3" customFormat="1" ht="13.9" hidden="1" x14ac:dyDescent="0.4">
      <c r="A247" s="5" t="str">
        <f t="shared" si="7"/>
        <v/>
      </c>
      <c r="F247" s="16"/>
      <c r="G247" s="17"/>
      <c r="H247" s="17"/>
      <c r="I247" s="17"/>
      <c r="J247" s="17"/>
      <c r="S247" s="4" t="str">
        <f t="shared" si="8"/>
        <v/>
      </c>
    </row>
    <row r="248" spans="1:19" s="3" customFormat="1" ht="13.9" hidden="1" x14ac:dyDescent="0.4">
      <c r="A248" s="5" t="str">
        <f t="shared" si="7"/>
        <v/>
      </c>
      <c r="F248" s="16"/>
      <c r="G248" s="17"/>
      <c r="H248" s="17"/>
      <c r="I248" s="17"/>
      <c r="J248" s="17"/>
      <c r="S248" s="4" t="str">
        <f t="shared" si="8"/>
        <v/>
      </c>
    </row>
    <row r="249" spans="1:19" s="3" customFormat="1" ht="13.9" hidden="1" x14ac:dyDescent="0.4">
      <c r="A249" s="5" t="str">
        <f t="shared" si="7"/>
        <v/>
      </c>
      <c r="F249" s="16"/>
      <c r="G249" s="17"/>
      <c r="H249" s="17"/>
      <c r="I249" s="17"/>
      <c r="J249" s="17"/>
      <c r="S249" s="4" t="str">
        <f t="shared" si="8"/>
        <v/>
      </c>
    </row>
    <row r="250" spans="1:19" s="3" customFormat="1" ht="13.9" hidden="1" x14ac:dyDescent="0.4">
      <c r="A250" s="5" t="str">
        <f t="shared" si="7"/>
        <v/>
      </c>
      <c r="F250" s="16"/>
      <c r="G250" s="17"/>
      <c r="H250" s="17"/>
      <c r="I250" s="17"/>
      <c r="J250" s="17"/>
      <c r="S250" s="4" t="str">
        <f t="shared" si="8"/>
        <v/>
      </c>
    </row>
    <row r="251" spans="1:19" s="3" customFormat="1" ht="13.9" hidden="1" x14ac:dyDescent="0.4">
      <c r="A251" s="5" t="str">
        <f t="shared" si="7"/>
        <v/>
      </c>
      <c r="F251" s="16"/>
      <c r="G251" s="17"/>
      <c r="H251" s="17"/>
      <c r="I251" s="17"/>
      <c r="J251" s="17"/>
      <c r="S251" s="4" t="str">
        <f t="shared" si="8"/>
        <v/>
      </c>
    </row>
    <row r="252" spans="1:19" s="3" customFormat="1" ht="13.9" hidden="1" x14ac:dyDescent="0.4">
      <c r="A252" s="5" t="str">
        <f t="shared" si="7"/>
        <v/>
      </c>
      <c r="F252" s="16"/>
      <c r="G252" s="17"/>
      <c r="H252" s="17"/>
      <c r="I252" s="17"/>
      <c r="J252" s="17"/>
      <c r="S252" s="4" t="str">
        <f t="shared" si="8"/>
        <v/>
      </c>
    </row>
    <row r="253" spans="1:19" s="3" customFormat="1" ht="13.9" hidden="1" x14ac:dyDescent="0.4">
      <c r="A253" s="5" t="str">
        <f t="shared" si="7"/>
        <v/>
      </c>
      <c r="F253" s="16"/>
      <c r="G253" s="17"/>
      <c r="H253" s="17"/>
      <c r="I253" s="17"/>
      <c r="J253" s="17"/>
      <c r="S253" s="4" t="str">
        <f t="shared" si="8"/>
        <v/>
      </c>
    </row>
    <row r="254" spans="1:19" s="3" customFormat="1" ht="13.9" hidden="1" x14ac:dyDescent="0.4">
      <c r="A254" s="5" t="str">
        <f t="shared" si="7"/>
        <v/>
      </c>
      <c r="F254" s="16"/>
      <c r="G254" s="17"/>
      <c r="H254" s="17"/>
      <c r="I254" s="17"/>
      <c r="J254" s="17"/>
      <c r="S254" s="4" t="str">
        <f t="shared" si="8"/>
        <v/>
      </c>
    </row>
    <row r="255" spans="1:19" s="3" customFormat="1" ht="13.9" hidden="1" x14ac:dyDescent="0.4">
      <c r="A255" s="5" t="str">
        <f t="shared" si="7"/>
        <v/>
      </c>
      <c r="F255" s="16"/>
      <c r="G255" s="17"/>
      <c r="H255" s="17"/>
      <c r="I255" s="17"/>
      <c r="J255" s="17"/>
      <c r="S255" s="4" t="str">
        <f t="shared" si="8"/>
        <v/>
      </c>
    </row>
    <row r="256" spans="1:19" s="3" customFormat="1" ht="13.9" hidden="1" x14ac:dyDescent="0.4">
      <c r="A256" s="5" t="str">
        <f t="shared" si="7"/>
        <v/>
      </c>
      <c r="F256" s="16"/>
      <c r="G256" s="17"/>
      <c r="H256" s="17"/>
      <c r="I256" s="17"/>
      <c r="J256" s="17"/>
      <c r="S256" s="4" t="str">
        <f t="shared" si="8"/>
        <v/>
      </c>
    </row>
    <row r="257" spans="1:19" s="3" customFormat="1" ht="13.9" hidden="1" x14ac:dyDescent="0.4">
      <c r="A257" s="5" t="str">
        <f t="shared" ref="A257:A291" si="9">IF(S257 ="visible",IF(B257 = "Total","",A256+1),"")</f>
        <v/>
      </c>
      <c r="F257" s="16"/>
      <c r="G257" s="17"/>
      <c r="H257" s="17"/>
      <c r="I257" s="17"/>
      <c r="J257" s="17"/>
      <c r="S257" s="4" t="str">
        <f t="shared" si="8"/>
        <v/>
      </c>
    </row>
    <row r="258" spans="1:19" s="3" customFormat="1" ht="13.9" hidden="1" x14ac:dyDescent="0.4">
      <c r="A258" s="5" t="str">
        <f t="shared" si="9"/>
        <v/>
      </c>
      <c r="F258" s="16"/>
      <c r="G258" s="17"/>
      <c r="H258" s="17"/>
      <c r="I258" s="17"/>
      <c r="J258" s="17"/>
      <c r="S258" s="4" t="str">
        <f t="shared" si="8"/>
        <v/>
      </c>
    </row>
    <row r="259" spans="1:19" s="3" customFormat="1" ht="13.9" hidden="1" x14ac:dyDescent="0.4">
      <c r="A259" s="5" t="str">
        <f t="shared" si="9"/>
        <v/>
      </c>
      <c r="F259" s="16"/>
      <c r="G259" s="17"/>
      <c r="H259" s="17"/>
      <c r="I259" s="17"/>
      <c r="J259" s="17"/>
      <c r="S259" s="4" t="str">
        <f t="shared" si="8"/>
        <v/>
      </c>
    </row>
    <row r="260" spans="1:19" s="3" customFormat="1" ht="13.9" hidden="1" x14ac:dyDescent="0.4">
      <c r="A260" s="5" t="str">
        <f t="shared" si="9"/>
        <v/>
      </c>
      <c r="F260" s="16"/>
      <c r="G260" s="17"/>
      <c r="H260" s="17"/>
      <c r="I260" s="17"/>
      <c r="J260" s="17"/>
      <c r="S260" s="4" t="str">
        <f t="shared" si="8"/>
        <v/>
      </c>
    </row>
    <row r="261" spans="1:19" s="3" customFormat="1" ht="13.9" hidden="1" x14ac:dyDescent="0.4">
      <c r="A261" s="5" t="str">
        <f t="shared" si="9"/>
        <v/>
      </c>
      <c r="F261" s="16"/>
      <c r="G261" s="17"/>
      <c r="H261" s="17"/>
      <c r="I261" s="17"/>
      <c r="J261" s="17"/>
      <c r="S261" s="4" t="str">
        <f t="shared" ref="S261:S324" si="10">IF(B261&lt;&gt;"","visible","")</f>
        <v/>
      </c>
    </row>
    <row r="262" spans="1:19" s="3" customFormat="1" ht="13.9" hidden="1" x14ac:dyDescent="0.4">
      <c r="A262" s="5" t="str">
        <f t="shared" si="9"/>
        <v/>
      </c>
      <c r="F262" s="16"/>
      <c r="G262" s="17"/>
      <c r="H262" s="17"/>
      <c r="I262" s="17"/>
      <c r="J262" s="17"/>
      <c r="S262" s="4" t="str">
        <f t="shared" si="10"/>
        <v/>
      </c>
    </row>
    <row r="263" spans="1:19" s="3" customFormat="1" ht="13.9" hidden="1" x14ac:dyDescent="0.4">
      <c r="A263" s="5" t="str">
        <f t="shared" si="9"/>
        <v/>
      </c>
      <c r="F263" s="16"/>
      <c r="G263" s="17"/>
      <c r="H263" s="17"/>
      <c r="I263" s="17"/>
      <c r="J263" s="17"/>
      <c r="S263" s="4" t="str">
        <f t="shared" si="10"/>
        <v/>
      </c>
    </row>
    <row r="264" spans="1:19" s="3" customFormat="1" ht="13.9" hidden="1" x14ac:dyDescent="0.4">
      <c r="A264" s="5" t="str">
        <f t="shared" si="9"/>
        <v/>
      </c>
      <c r="F264" s="16"/>
      <c r="G264" s="17"/>
      <c r="H264" s="17"/>
      <c r="I264" s="17"/>
      <c r="J264" s="17"/>
      <c r="S264" s="4" t="str">
        <f t="shared" si="10"/>
        <v/>
      </c>
    </row>
    <row r="265" spans="1:19" s="3" customFormat="1" ht="13.9" hidden="1" x14ac:dyDescent="0.4">
      <c r="A265" s="5" t="str">
        <f t="shared" si="9"/>
        <v/>
      </c>
      <c r="F265" s="16"/>
      <c r="G265" s="17"/>
      <c r="H265" s="17"/>
      <c r="I265" s="17"/>
      <c r="J265" s="17"/>
      <c r="S265" s="4" t="str">
        <f t="shared" si="10"/>
        <v/>
      </c>
    </row>
    <row r="266" spans="1:19" s="3" customFormat="1" ht="13.9" hidden="1" x14ac:dyDescent="0.4">
      <c r="A266" s="5" t="str">
        <f t="shared" si="9"/>
        <v/>
      </c>
      <c r="F266" s="16"/>
      <c r="G266" s="17"/>
      <c r="H266" s="17"/>
      <c r="I266" s="17"/>
      <c r="J266" s="17"/>
      <c r="S266" s="4" t="str">
        <f t="shared" si="10"/>
        <v/>
      </c>
    </row>
    <row r="267" spans="1:19" s="3" customFormat="1" ht="13.9" hidden="1" x14ac:dyDescent="0.4">
      <c r="A267" s="5" t="str">
        <f t="shared" si="9"/>
        <v/>
      </c>
      <c r="F267" s="16"/>
      <c r="G267" s="17"/>
      <c r="H267" s="17"/>
      <c r="I267" s="17"/>
      <c r="J267" s="17"/>
      <c r="S267" s="4" t="str">
        <f t="shared" si="10"/>
        <v/>
      </c>
    </row>
    <row r="268" spans="1:19" s="3" customFormat="1" ht="13.9" hidden="1" x14ac:dyDescent="0.4">
      <c r="A268" s="5" t="str">
        <f t="shared" si="9"/>
        <v/>
      </c>
      <c r="F268" s="16"/>
      <c r="G268" s="17"/>
      <c r="H268" s="17"/>
      <c r="I268" s="17"/>
      <c r="J268" s="17"/>
      <c r="S268" s="4" t="str">
        <f t="shared" si="10"/>
        <v/>
      </c>
    </row>
    <row r="269" spans="1:19" s="3" customFormat="1" ht="13.9" hidden="1" x14ac:dyDescent="0.4">
      <c r="A269" s="5" t="str">
        <f t="shared" si="9"/>
        <v/>
      </c>
      <c r="F269" s="16"/>
      <c r="G269" s="17"/>
      <c r="H269" s="17"/>
      <c r="I269" s="17"/>
      <c r="J269" s="17"/>
      <c r="S269" s="4" t="str">
        <f t="shared" si="10"/>
        <v/>
      </c>
    </row>
    <row r="270" spans="1:19" s="3" customFormat="1" ht="13.9" hidden="1" x14ac:dyDescent="0.4">
      <c r="A270" s="5" t="str">
        <f t="shared" si="9"/>
        <v/>
      </c>
      <c r="F270" s="16"/>
      <c r="G270" s="17"/>
      <c r="H270" s="17"/>
      <c r="I270" s="17"/>
      <c r="J270" s="17"/>
      <c r="S270" s="4" t="str">
        <f t="shared" si="10"/>
        <v/>
      </c>
    </row>
    <row r="271" spans="1:19" s="3" customFormat="1" ht="13.9" hidden="1" x14ac:dyDescent="0.4">
      <c r="A271" s="5" t="str">
        <f t="shared" si="9"/>
        <v/>
      </c>
      <c r="F271" s="16"/>
      <c r="G271" s="17"/>
      <c r="H271" s="17"/>
      <c r="I271" s="17"/>
      <c r="J271" s="17"/>
      <c r="S271" s="4" t="str">
        <f t="shared" si="10"/>
        <v/>
      </c>
    </row>
    <row r="272" spans="1:19" s="3" customFormat="1" ht="13.9" hidden="1" x14ac:dyDescent="0.4">
      <c r="A272" s="5" t="str">
        <f t="shared" si="9"/>
        <v/>
      </c>
      <c r="F272" s="16"/>
      <c r="G272" s="17"/>
      <c r="H272" s="17"/>
      <c r="I272" s="17"/>
      <c r="J272" s="17"/>
      <c r="S272" s="4" t="str">
        <f t="shared" si="10"/>
        <v/>
      </c>
    </row>
    <row r="273" spans="1:19" s="3" customFormat="1" ht="13.9" hidden="1" x14ac:dyDescent="0.4">
      <c r="A273" s="5" t="str">
        <f t="shared" si="9"/>
        <v/>
      </c>
      <c r="F273" s="16"/>
      <c r="G273" s="17"/>
      <c r="H273" s="17"/>
      <c r="I273" s="17"/>
      <c r="J273" s="17"/>
      <c r="S273" s="4" t="str">
        <f t="shared" si="10"/>
        <v/>
      </c>
    </row>
    <row r="274" spans="1:19" s="3" customFormat="1" ht="13.9" hidden="1" x14ac:dyDescent="0.4">
      <c r="A274" s="5" t="str">
        <f t="shared" si="9"/>
        <v/>
      </c>
      <c r="F274" s="16"/>
      <c r="G274" s="17"/>
      <c r="H274" s="17"/>
      <c r="I274" s="17"/>
      <c r="J274" s="17"/>
      <c r="S274" s="4" t="str">
        <f t="shared" si="10"/>
        <v/>
      </c>
    </row>
    <row r="275" spans="1:19" s="3" customFormat="1" ht="13.9" hidden="1" x14ac:dyDescent="0.4">
      <c r="A275" s="5" t="str">
        <f t="shared" si="9"/>
        <v/>
      </c>
      <c r="F275" s="16"/>
      <c r="G275" s="17"/>
      <c r="H275" s="17"/>
      <c r="I275" s="17"/>
      <c r="J275" s="17"/>
      <c r="S275" s="4" t="str">
        <f t="shared" si="10"/>
        <v/>
      </c>
    </row>
    <row r="276" spans="1:19" s="3" customFormat="1" ht="13.9" hidden="1" x14ac:dyDescent="0.4">
      <c r="A276" s="5" t="str">
        <f t="shared" si="9"/>
        <v/>
      </c>
      <c r="F276" s="16"/>
      <c r="G276" s="17"/>
      <c r="H276" s="17"/>
      <c r="I276" s="17"/>
      <c r="J276" s="17"/>
      <c r="S276" s="4" t="str">
        <f t="shared" si="10"/>
        <v/>
      </c>
    </row>
    <row r="277" spans="1:19" s="3" customFormat="1" ht="13.9" hidden="1" x14ac:dyDescent="0.4">
      <c r="A277" s="5" t="str">
        <f t="shared" si="9"/>
        <v/>
      </c>
      <c r="F277" s="16"/>
      <c r="G277" s="17"/>
      <c r="H277" s="17"/>
      <c r="I277" s="17"/>
      <c r="J277" s="17"/>
      <c r="S277" s="4" t="str">
        <f t="shared" si="10"/>
        <v/>
      </c>
    </row>
    <row r="278" spans="1:19" s="3" customFormat="1" ht="13.9" hidden="1" x14ac:dyDescent="0.4">
      <c r="A278" s="5" t="str">
        <f t="shared" si="9"/>
        <v/>
      </c>
      <c r="F278" s="16"/>
      <c r="G278" s="17"/>
      <c r="H278" s="17"/>
      <c r="I278" s="17"/>
      <c r="J278" s="17"/>
      <c r="S278" s="4" t="str">
        <f t="shared" si="10"/>
        <v/>
      </c>
    </row>
    <row r="279" spans="1:19" s="3" customFormat="1" ht="13.9" hidden="1" x14ac:dyDescent="0.4">
      <c r="A279" s="5" t="str">
        <f t="shared" si="9"/>
        <v/>
      </c>
      <c r="F279" s="16"/>
      <c r="G279" s="17"/>
      <c r="H279" s="17"/>
      <c r="I279" s="17"/>
      <c r="J279" s="17"/>
      <c r="S279" s="4" t="str">
        <f t="shared" si="10"/>
        <v/>
      </c>
    </row>
    <row r="280" spans="1:19" s="3" customFormat="1" ht="13.9" hidden="1" x14ac:dyDescent="0.4">
      <c r="A280" s="5" t="str">
        <f t="shared" si="9"/>
        <v/>
      </c>
      <c r="F280" s="16"/>
      <c r="G280" s="17"/>
      <c r="H280" s="17"/>
      <c r="I280" s="17"/>
      <c r="J280" s="17"/>
      <c r="S280" s="4" t="str">
        <f t="shared" si="10"/>
        <v/>
      </c>
    </row>
    <row r="281" spans="1:19" s="3" customFormat="1" ht="13.9" hidden="1" x14ac:dyDescent="0.4">
      <c r="A281" s="5" t="str">
        <f t="shared" si="9"/>
        <v/>
      </c>
      <c r="F281" s="16"/>
      <c r="G281" s="17"/>
      <c r="H281" s="17"/>
      <c r="I281" s="17"/>
      <c r="J281" s="17"/>
      <c r="S281" s="4" t="str">
        <f t="shared" si="10"/>
        <v/>
      </c>
    </row>
    <row r="282" spans="1:19" s="3" customFormat="1" ht="13.9" hidden="1" x14ac:dyDescent="0.4">
      <c r="A282" s="5" t="str">
        <f t="shared" si="9"/>
        <v/>
      </c>
      <c r="F282" s="16"/>
      <c r="G282" s="17"/>
      <c r="H282" s="17"/>
      <c r="I282" s="17"/>
      <c r="J282" s="17"/>
      <c r="S282" s="4" t="str">
        <f t="shared" si="10"/>
        <v/>
      </c>
    </row>
    <row r="283" spans="1:19" s="3" customFormat="1" ht="13.9" hidden="1" x14ac:dyDescent="0.4">
      <c r="A283" s="5" t="str">
        <f t="shared" si="9"/>
        <v/>
      </c>
      <c r="F283" s="16"/>
      <c r="G283" s="17"/>
      <c r="H283" s="17"/>
      <c r="I283" s="17"/>
      <c r="J283" s="17"/>
      <c r="S283" s="4" t="str">
        <f t="shared" si="10"/>
        <v/>
      </c>
    </row>
    <row r="284" spans="1:19" s="3" customFormat="1" ht="13.9" hidden="1" x14ac:dyDescent="0.4">
      <c r="A284" s="5" t="str">
        <f t="shared" si="9"/>
        <v/>
      </c>
      <c r="F284" s="16"/>
      <c r="G284" s="17"/>
      <c r="H284" s="17"/>
      <c r="I284" s="17"/>
      <c r="J284" s="17"/>
      <c r="S284" s="4" t="str">
        <f t="shared" si="10"/>
        <v/>
      </c>
    </row>
    <row r="285" spans="1:19" s="3" customFormat="1" ht="13.9" hidden="1" x14ac:dyDescent="0.4">
      <c r="A285" s="5" t="str">
        <f t="shared" si="9"/>
        <v/>
      </c>
      <c r="F285" s="16"/>
      <c r="G285" s="17"/>
      <c r="H285" s="17"/>
      <c r="I285" s="17"/>
      <c r="J285" s="17"/>
      <c r="S285" s="4" t="str">
        <f t="shared" si="10"/>
        <v/>
      </c>
    </row>
    <row r="286" spans="1:19" s="3" customFormat="1" ht="13.9" hidden="1" x14ac:dyDescent="0.4">
      <c r="A286" s="5" t="str">
        <f t="shared" si="9"/>
        <v/>
      </c>
      <c r="F286" s="16"/>
      <c r="G286" s="17"/>
      <c r="H286" s="17"/>
      <c r="I286" s="17"/>
      <c r="J286" s="17"/>
      <c r="S286" s="4" t="str">
        <f t="shared" si="10"/>
        <v/>
      </c>
    </row>
    <row r="287" spans="1:19" s="3" customFormat="1" ht="13.9" hidden="1" x14ac:dyDescent="0.4">
      <c r="A287" s="5" t="str">
        <f t="shared" si="9"/>
        <v/>
      </c>
      <c r="F287" s="16"/>
      <c r="G287" s="17"/>
      <c r="H287" s="17"/>
      <c r="I287" s="17"/>
      <c r="J287" s="17"/>
      <c r="S287" s="4" t="str">
        <f t="shared" si="10"/>
        <v/>
      </c>
    </row>
    <row r="288" spans="1:19" s="3" customFormat="1" ht="13.9" hidden="1" x14ac:dyDescent="0.4">
      <c r="A288" s="5" t="str">
        <f t="shared" si="9"/>
        <v/>
      </c>
      <c r="F288" s="16"/>
      <c r="G288" s="17"/>
      <c r="H288" s="17"/>
      <c r="I288" s="17"/>
      <c r="J288" s="17"/>
      <c r="S288" s="4" t="str">
        <f t="shared" si="10"/>
        <v/>
      </c>
    </row>
    <row r="289" spans="1:19" s="3" customFormat="1" ht="13.9" hidden="1" x14ac:dyDescent="0.4">
      <c r="A289" s="5" t="str">
        <f t="shared" si="9"/>
        <v/>
      </c>
      <c r="F289" s="16"/>
      <c r="G289" s="17"/>
      <c r="H289" s="17"/>
      <c r="I289" s="17"/>
      <c r="J289" s="17"/>
      <c r="S289" s="4" t="str">
        <f t="shared" si="10"/>
        <v/>
      </c>
    </row>
    <row r="290" spans="1:19" s="3" customFormat="1" ht="13.9" hidden="1" x14ac:dyDescent="0.4">
      <c r="A290" s="5" t="str">
        <f t="shared" si="9"/>
        <v/>
      </c>
      <c r="F290" s="16"/>
      <c r="G290" s="17"/>
      <c r="H290" s="17"/>
      <c r="I290" s="17"/>
      <c r="J290" s="17"/>
      <c r="S290" s="4" t="str">
        <f t="shared" si="10"/>
        <v/>
      </c>
    </row>
    <row r="291" spans="1:19" s="3" customFormat="1" ht="13.9" hidden="1" x14ac:dyDescent="0.4">
      <c r="A291" s="5" t="str">
        <f t="shared" si="9"/>
        <v/>
      </c>
      <c r="F291" s="16"/>
      <c r="G291" s="17"/>
      <c r="H291" s="17"/>
      <c r="I291" s="17"/>
      <c r="J291" s="17"/>
      <c r="S291" s="4" t="str">
        <f t="shared" si="10"/>
        <v/>
      </c>
    </row>
    <row r="292" spans="1:19" x14ac:dyDescent="0.45">
      <c r="B292" s="9" t="s">
        <v>136</v>
      </c>
      <c r="S292" s="4" t="str">
        <f t="shared" si="10"/>
        <v>visible</v>
      </c>
    </row>
    <row r="293" spans="1:19" x14ac:dyDescent="0.45">
      <c r="A293" s="12"/>
      <c r="B293" s="196" t="s">
        <v>311</v>
      </c>
      <c r="C293" s="192" t="s">
        <v>242</v>
      </c>
      <c r="S293" s="4" t="str">
        <f t="shared" si="10"/>
        <v>visible</v>
      </c>
    </row>
    <row r="294" spans="1:19" s="3" customFormat="1" ht="13.9" hidden="1" x14ac:dyDescent="0.4">
      <c r="A294" s="5"/>
      <c r="S294" s="4" t="str">
        <f t="shared" si="10"/>
        <v/>
      </c>
    </row>
    <row r="295" spans="1:19" ht="13.9" x14ac:dyDescent="0.4">
      <c r="A295" s="13"/>
      <c r="B295" s="193" t="s">
        <v>5</v>
      </c>
      <c r="C295" s="193" t="s">
        <v>7</v>
      </c>
      <c r="D295" s="193" t="s">
        <v>23</v>
      </c>
      <c r="E295" s="193" t="s">
        <v>14</v>
      </c>
      <c r="F295" s="192" t="s">
        <v>135</v>
      </c>
      <c r="G295" s="192" t="s">
        <v>259</v>
      </c>
      <c r="H295" s="206" t="s">
        <v>247</v>
      </c>
      <c r="I295" s="194" t="s">
        <v>262</v>
      </c>
      <c r="J295" s="192" t="s">
        <v>234</v>
      </c>
      <c r="K295" s="192" t="s">
        <v>235</v>
      </c>
      <c r="L295" s="192" t="s">
        <v>236</v>
      </c>
      <c r="M295" s="192" t="s">
        <v>237</v>
      </c>
      <c r="N295" s="192" t="s">
        <v>238</v>
      </c>
      <c r="O295" s="194" t="s">
        <v>143</v>
      </c>
      <c r="P295" s="194" t="s">
        <v>142</v>
      </c>
      <c r="Q295" s="194" t="s">
        <v>239</v>
      </c>
      <c r="S295" s="4" t="str">
        <f t="shared" si="10"/>
        <v>visible</v>
      </c>
    </row>
    <row r="296" spans="1:19" ht="13.9" x14ac:dyDescent="0.4">
      <c r="A296" s="5">
        <f t="shared" ref="A296:A315" si="11">IF(S296 ="visible",IF(B296 = "Total","",A295+1),"")</f>
        <v>1</v>
      </c>
      <c r="B296" s="192" t="s">
        <v>139</v>
      </c>
      <c r="C296" s="192" t="s">
        <v>97</v>
      </c>
      <c r="D296" s="192" t="s">
        <v>96</v>
      </c>
      <c r="E296" s="192" t="s">
        <v>140</v>
      </c>
      <c r="F296" s="194">
        <v>98000</v>
      </c>
      <c r="G296" s="194">
        <v>98000</v>
      </c>
      <c r="H296" s="206">
        <v>0.05</v>
      </c>
      <c r="I296" s="194">
        <v>4900</v>
      </c>
      <c r="J296" s="194"/>
      <c r="K296" s="194"/>
      <c r="L296" s="194"/>
      <c r="M296" s="194"/>
      <c r="N296" s="194"/>
      <c r="O296" s="194">
        <v>980</v>
      </c>
      <c r="P296" s="194">
        <v>0</v>
      </c>
      <c r="Q296" s="194">
        <v>980</v>
      </c>
      <c r="S296" s="4" t="str">
        <f t="shared" si="10"/>
        <v>visible</v>
      </c>
    </row>
    <row r="297" spans="1:19" ht="13.9" x14ac:dyDescent="0.4">
      <c r="A297" s="5">
        <f t="shared" si="11"/>
        <v>2</v>
      </c>
      <c r="B297" s="192" t="s">
        <v>566</v>
      </c>
      <c r="C297" s="192" t="s">
        <v>97</v>
      </c>
      <c r="D297" s="192" t="s">
        <v>0</v>
      </c>
      <c r="E297" s="192" t="s">
        <v>399</v>
      </c>
      <c r="F297" s="194">
        <v>0</v>
      </c>
      <c r="G297" s="194">
        <v>0</v>
      </c>
      <c r="H297" s="206"/>
      <c r="I297" s="194">
        <v>0</v>
      </c>
      <c r="J297" s="194"/>
      <c r="K297" s="194"/>
      <c r="L297" s="194"/>
      <c r="M297" s="194"/>
      <c r="N297" s="194"/>
      <c r="O297" s="194">
        <v>0</v>
      </c>
      <c r="P297" s="194"/>
      <c r="Q297" s="194">
        <v>0</v>
      </c>
      <c r="S297" s="4" t="str">
        <f t="shared" si="10"/>
        <v>visible</v>
      </c>
    </row>
    <row r="298" spans="1:19" s="3" customFormat="1" ht="13.9" x14ac:dyDescent="0.4">
      <c r="A298" s="5">
        <f t="shared" si="11"/>
        <v>3</v>
      </c>
      <c r="B298" s="192" t="s">
        <v>606</v>
      </c>
      <c r="C298" s="192" t="s">
        <v>1</v>
      </c>
      <c r="D298" s="192" t="s">
        <v>0</v>
      </c>
      <c r="E298" s="192" t="s">
        <v>607</v>
      </c>
      <c r="F298" s="194">
        <v>55000</v>
      </c>
      <c r="G298" s="194">
        <v>55000</v>
      </c>
      <c r="H298" s="206">
        <v>0.2</v>
      </c>
      <c r="I298" s="194">
        <v>11000</v>
      </c>
      <c r="J298" s="194"/>
      <c r="K298" s="194"/>
      <c r="L298" s="194"/>
      <c r="M298" s="194"/>
      <c r="N298" s="194"/>
      <c r="O298" s="194">
        <v>2200</v>
      </c>
      <c r="P298" s="194">
        <v>0</v>
      </c>
      <c r="Q298" s="194">
        <v>2200</v>
      </c>
      <c r="S298" s="4" t="str">
        <f t="shared" si="10"/>
        <v>visible</v>
      </c>
    </row>
    <row r="299" spans="1:19" s="3" customFormat="1" ht="13.9" x14ac:dyDescent="0.4">
      <c r="A299" s="5">
        <f t="shared" si="11"/>
        <v>4</v>
      </c>
      <c r="B299" s="192" t="s">
        <v>754</v>
      </c>
      <c r="C299" s="192" t="s">
        <v>718</v>
      </c>
      <c r="D299" s="192" t="s">
        <v>96</v>
      </c>
      <c r="E299" s="192" t="s">
        <v>718</v>
      </c>
      <c r="F299" s="194">
        <v>0</v>
      </c>
      <c r="G299" s="194">
        <v>0</v>
      </c>
      <c r="H299" s="206"/>
      <c r="I299" s="194">
        <v>0</v>
      </c>
      <c r="J299" s="194"/>
      <c r="K299" s="194"/>
      <c r="L299" s="194"/>
      <c r="M299" s="194"/>
      <c r="N299" s="194"/>
      <c r="O299" s="194">
        <v>0</v>
      </c>
      <c r="P299" s="194"/>
      <c r="Q299" s="194">
        <v>0</v>
      </c>
      <c r="S299" s="4" t="str">
        <f t="shared" si="10"/>
        <v>visible</v>
      </c>
    </row>
    <row r="300" spans="1:19" s="3" customFormat="1" ht="13.9" x14ac:dyDescent="0.4">
      <c r="A300" s="5">
        <f t="shared" si="11"/>
        <v>5</v>
      </c>
      <c r="B300" s="192" t="s">
        <v>791</v>
      </c>
      <c r="C300" s="192" t="s">
        <v>1</v>
      </c>
      <c r="D300" s="192" t="s">
        <v>0</v>
      </c>
      <c r="E300" s="192" t="s">
        <v>793</v>
      </c>
      <c r="F300" s="194">
        <v>153360</v>
      </c>
      <c r="G300" s="194">
        <v>153360</v>
      </c>
      <c r="H300" s="206">
        <v>0.3</v>
      </c>
      <c r="I300" s="194">
        <v>46008</v>
      </c>
      <c r="J300" s="194"/>
      <c r="K300" s="194"/>
      <c r="L300" s="194"/>
      <c r="M300" s="194"/>
      <c r="N300" s="194"/>
      <c r="O300" s="194">
        <v>9201.6</v>
      </c>
      <c r="P300" s="194"/>
      <c r="Q300" s="194">
        <v>9201.6</v>
      </c>
      <c r="S300" s="4" t="str">
        <f t="shared" si="10"/>
        <v>visible</v>
      </c>
    </row>
    <row r="301" spans="1:19" s="3" customFormat="1" ht="13.9" x14ac:dyDescent="0.4">
      <c r="A301" s="5">
        <f t="shared" si="11"/>
        <v>6</v>
      </c>
      <c r="B301" s="192" t="s">
        <v>810</v>
      </c>
      <c r="C301" s="192" t="s">
        <v>1</v>
      </c>
      <c r="D301" s="192" t="s">
        <v>0</v>
      </c>
      <c r="E301" s="192" t="s">
        <v>812</v>
      </c>
      <c r="F301" s="194">
        <v>8000</v>
      </c>
      <c r="G301" s="194">
        <v>8000</v>
      </c>
      <c r="H301" s="206">
        <v>0.1</v>
      </c>
      <c r="I301" s="194">
        <v>800</v>
      </c>
      <c r="J301" s="194"/>
      <c r="K301" s="194"/>
      <c r="L301" s="194"/>
      <c r="M301" s="194"/>
      <c r="N301" s="194"/>
      <c r="O301" s="194">
        <v>160</v>
      </c>
      <c r="P301" s="194"/>
      <c r="Q301" s="194">
        <v>160</v>
      </c>
      <c r="S301" s="4" t="str">
        <f t="shared" si="10"/>
        <v>visible</v>
      </c>
    </row>
    <row r="302" spans="1:19" s="3" customFormat="1" ht="13.9" x14ac:dyDescent="0.4">
      <c r="A302" s="5">
        <f t="shared" si="11"/>
        <v>7</v>
      </c>
      <c r="B302" s="192" t="s">
        <v>874</v>
      </c>
      <c r="C302" s="192" t="s">
        <v>1</v>
      </c>
      <c r="D302" s="192" t="s">
        <v>718</v>
      </c>
      <c r="E302" s="192" t="s">
        <v>2</v>
      </c>
      <c r="F302" s="194">
        <v>22100</v>
      </c>
      <c r="G302" s="194">
        <v>22100</v>
      </c>
      <c r="H302" s="206">
        <v>0.05</v>
      </c>
      <c r="I302" s="194">
        <v>1105</v>
      </c>
      <c r="J302" s="194"/>
      <c r="K302" s="194"/>
      <c r="L302" s="194"/>
      <c r="M302" s="194"/>
      <c r="N302" s="194"/>
      <c r="O302" s="194">
        <v>221</v>
      </c>
      <c r="P302" s="194"/>
      <c r="Q302" s="194">
        <v>221</v>
      </c>
      <c r="S302" s="4" t="str">
        <f t="shared" si="10"/>
        <v>visible</v>
      </c>
    </row>
    <row r="303" spans="1:19" s="3" customFormat="1" ht="13.9" x14ac:dyDescent="0.4">
      <c r="A303" s="5" t="str">
        <f t="shared" si="11"/>
        <v/>
      </c>
      <c r="B303" s="193" t="s">
        <v>429</v>
      </c>
      <c r="C303" s="193"/>
      <c r="D303" s="193"/>
      <c r="E303" s="193"/>
      <c r="F303" s="195">
        <v>336460</v>
      </c>
      <c r="G303" s="195">
        <v>336460</v>
      </c>
      <c r="H303" s="207">
        <v>0.14000000000000001</v>
      </c>
      <c r="I303" s="195">
        <v>63813</v>
      </c>
      <c r="J303" s="195"/>
      <c r="K303" s="195"/>
      <c r="L303" s="195"/>
      <c r="M303" s="195"/>
      <c r="N303" s="195"/>
      <c r="O303" s="195">
        <v>12762.6</v>
      </c>
      <c r="P303" s="195">
        <v>0</v>
      </c>
      <c r="Q303" s="195">
        <v>12762.6</v>
      </c>
      <c r="S303" s="4" t="str">
        <f t="shared" si="10"/>
        <v>visible</v>
      </c>
    </row>
    <row r="304" spans="1:19" s="3" customFormat="1" ht="13.9" hidden="1" x14ac:dyDescent="0.4">
      <c r="A304" s="5" t="str">
        <f t="shared" si="11"/>
        <v/>
      </c>
      <c r="B304"/>
      <c r="C304"/>
      <c r="D304"/>
      <c r="E304"/>
      <c r="F304"/>
      <c r="G304"/>
      <c r="H304"/>
      <c r="I304"/>
      <c r="J304"/>
      <c r="K304"/>
      <c r="L304"/>
      <c r="M304"/>
      <c r="N304"/>
      <c r="O304"/>
      <c r="P304"/>
      <c r="Q304"/>
      <c r="S304" s="4" t="str">
        <f t="shared" si="10"/>
        <v/>
      </c>
    </row>
    <row r="305" spans="1:19" s="3" customFormat="1" hidden="1" x14ac:dyDescent="0.45">
      <c r="A305" s="5" t="str">
        <f t="shared" si="11"/>
        <v/>
      </c>
      <c r="B305"/>
      <c r="C305"/>
      <c r="D305"/>
      <c r="E305"/>
      <c r="F305"/>
      <c r="G305"/>
      <c r="H305"/>
      <c r="I305"/>
      <c r="J305"/>
      <c r="K305"/>
      <c r="L305"/>
      <c r="M305"/>
      <c r="N305"/>
      <c r="O305"/>
      <c r="P305"/>
      <c r="Q305"/>
      <c r="S305" s="4" t="str">
        <f t="shared" si="10"/>
        <v/>
      </c>
    </row>
    <row r="306" spans="1:19" s="3" customFormat="1" hidden="1" x14ac:dyDescent="0.45">
      <c r="A306" s="5" t="str">
        <f t="shared" si="11"/>
        <v/>
      </c>
      <c r="B306"/>
      <c r="C306"/>
      <c r="D306"/>
      <c r="E306"/>
      <c r="F306"/>
      <c r="G306"/>
      <c r="H306"/>
      <c r="I306"/>
      <c r="J306"/>
      <c r="K306"/>
      <c r="L306"/>
      <c r="M306"/>
      <c r="N306"/>
      <c r="O306"/>
      <c r="P306"/>
      <c r="Q306"/>
      <c r="S306" s="4" t="str">
        <f t="shared" si="10"/>
        <v/>
      </c>
    </row>
    <row r="307" spans="1:19" s="3" customFormat="1" hidden="1" x14ac:dyDescent="0.45">
      <c r="A307" s="5" t="str">
        <f t="shared" si="11"/>
        <v/>
      </c>
      <c r="B307"/>
      <c r="C307"/>
      <c r="D307"/>
      <c r="E307"/>
      <c r="F307"/>
      <c r="G307"/>
      <c r="H307"/>
      <c r="I307"/>
      <c r="J307"/>
      <c r="K307"/>
      <c r="L307"/>
      <c r="M307"/>
      <c r="N307"/>
      <c r="O307"/>
      <c r="P307"/>
      <c r="Q307"/>
      <c r="S307" s="4" t="str">
        <f t="shared" si="10"/>
        <v/>
      </c>
    </row>
    <row r="308" spans="1:19" s="3" customFormat="1" hidden="1" x14ac:dyDescent="0.45">
      <c r="A308" s="5" t="str">
        <f t="shared" si="11"/>
        <v/>
      </c>
      <c r="B308"/>
      <c r="C308"/>
      <c r="D308"/>
      <c r="E308"/>
      <c r="F308"/>
      <c r="G308"/>
      <c r="H308"/>
      <c r="I308"/>
      <c r="J308"/>
      <c r="K308"/>
      <c r="L308"/>
      <c r="M308"/>
      <c r="N308"/>
      <c r="O308"/>
      <c r="P308"/>
      <c r="Q308"/>
      <c r="S308" s="4" t="str">
        <f t="shared" si="10"/>
        <v/>
      </c>
    </row>
    <row r="309" spans="1:19" s="3" customFormat="1" hidden="1" x14ac:dyDescent="0.45">
      <c r="A309" s="5" t="str">
        <f t="shared" si="11"/>
        <v/>
      </c>
      <c r="B309"/>
      <c r="C309"/>
      <c r="D309"/>
      <c r="E309"/>
      <c r="F309"/>
      <c r="G309"/>
      <c r="H309"/>
      <c r="I309"/>
      <c r="J309"/>
      <c r="K309"/>
      <c r="L309"/>
      <c r="M309"/>
      <c r="N309"/>
      <c r="O309"/>
      <c r="P309"/>
      <c r="Q309"/>
      <c r="S309" s="4" t="str">
        <f t="shared" si="10"/>
        <v/>
      </c>
    </row>
    <row r="310" spans="1:19" s="3" customFormat="1" hidden="1" x14ac:dyDescent="0.45">
      <c r="A310" s="5" t="str">
        <f t="shared" si="11"/>
        <v/>
      </c>
      <c r="B310"/>
      <c r="C310"/>
      <c r="D310"/>
      <c r="E310"/>
      <c r="F310"/>
      <c r="G310"/>
      <c r="H310"/>
      <c r="I310"/>
      <c r="J310"/>
      <c r="K310"/>
      <c r="L310"/>
      <c r="M310"/>
      <c r="N310"/>
      <c r="O310"/>
      <c r="P310"/>
      <c r="Q310"/>
      <c r="S310" s="4" t="str">
        <f t="shared" si="10"/>
        <v/>
      </c>
    </row>
    <row r="311" spans="1:19" s="3" customFormat="1" hidden="1" x14ac:dyDescent="0.45">
      <c r="A311" s="5" t="str">
        <f t="shared" si="11"/>
        <v/>
      </c>
      <c r="B311"/>
      <c r="C311"/>
      <c r="D311"/>
      <c r="E311"/>
      <c r="F311"/>
      <c r="G311"/>
      <c r="H311"/>
      <c r="I311"/>
      <c r="J311"/>
      <c r="K311"/>
      <c r="L311"/>
      <c r="M311"/>
      <c r="N311"/>
      <c r="O311"/>
      <c r="P311"/>
      <c r="Q311"/>
      <c r="S311" s="4" t="str">
        <f t="shared" si="10"/>
        <v/>
      </c>
    </row>
    <row r="312" spans="1:19" s="3" customFormat="1" hidden="1" x14ac:dyDescent="0.45">
      <c r="A312" s="5" t="str">
        <f t="shared" si="11"/>
        <v/>
      </c>
      <c r="B312"/>
      <c r="C312"/>
      <c r="D312"/>
      <c r="E312"/>
      <c r="F312"/>
      <c r="G312"/>
      <c r="H312"/>
      <c r="I312"/>
      <c r="J312"/>
      <c r="K312"/>
      <c r="L312"/>
      <c r="M312"/>
      <c r="N312"/>
      <c r="O312"/>
      <c r="P312"/>
      <c r="Q312"/>
      <c r="S312" s="4" t="str">
        <f t="shared" si="10"/>
        <v/>
      </c>
    </row>
    <row r="313" spans="1:19" s="3" customFormat="1" hidden="1" x14ac:dyDescent="0.45">
      <c r="A313" s="5" t="str">
        <f t="shared" si="11"/>
        <v/>
      </c>
      <c r="B313"/>
      <c r="C313"/>
      <c r="D313"/>
      <c r="E313"/>
      <c r="F313"/>
      <c r="G313"/>
      <c r="H313"/>
      <c r="I313"/>
      <c r="J313"/>
      <c r="K313"/>
      <c r="L313"/>
      <c r="M313"/>
      <c r="N313"/>
      <c r="O313"/>
      <c r="P313"/>
      <c r="Q313"/>
      <c r="S313" s="4" t="str">
        <f t="shared" si="10"/>
        <v/>
      </c>
    </row>
    <row r="314" spans="1:19" s="3" customFormat="1" hidden="1" x14ac:dyDescent="0.45">
      <c r="A314" s="5" t="str">
        <f t="shared" si="11"/>
        <v/>
      </c>
      <c r="B314"/>
      <c r="C314"/>
      <c r="D314"/>
      <c r="E314"/>
      <c r="F314"/>
      <c r="G314"/>
      <c r="H314"/>
      <c r="I314"/>
      <c r="J314"/>
      <c r="K314"/>
      <c r="L314"/>
      <c r="M314"/>
      <c r="N314"/>
      <c r="O314"/>
      <c r="P314"/>
      <c r="Q314"/>
      <c r="S314" s="4" t="str">
        <f t="shared" si="10"/>
        <v/>
      </c>
    </row>
    <row r="315" spans="1:19" s="3" customFormat="1" hidden="1" x14ac:dyDescent="0.45">
      <c r="A315" s="5" t="str">
        <f t="shared" si="11"/>
        <v/>
      </c>
      <c r="B315"/>
      <c r="C315"/>
      <c r="D315"/>
      <c r="E315"/>
      <c r="F315"/>
      <c r="G315"/>
      <c r="H315"/>
      <c r="I315"/>
      <c r="J315"/>
      <c r="K315"/>
      <c r="L315"/>
      <c r="M315"/>
      <c r="N315"/>
      <c r="O315"/>
      <c r="P315"/>
      <c r="Q315"/>
      <c r="S315" s="4" t="str">
        <f t="shared" si="10"/>
        <v/>
      </c>
    </row>
    <row r="316" spans="1:19" s="3" customFormat="1" hidden="1" x14ac:dyDescent="0.45">
      <c r="A316" s="5"/>
      <c r="B316"/>
      <c r="C316"/>
      <c r="D316"/>
      <c r="E316"/>
      <c r="F316"/>
      <c r="G316"/>
      <c r="H316"/>
      <c r="I316"/>
      <c r="J316"/>
      <c r="K316"/>
      <c r="L316"/>
      <c r="M316"/>
      <c r="N316"/>
      <c r="O316"/>
      <c r="P316"/>
      <c r="Q316"/>
      <c r="S316" s="4" t="str">
        <f t="shared" si="10"/>
        <v/>
      </c>
    </row>
    <row r="317" spans="1:19" s="3" customFormat="1" hidden="1" x14ac:dyDescent="0.45">
      <c r="A317" s="5"/>
      <c r="B317"/>
      <c r="C317"/>
      <c r="D317"/>
      <c r="E317"/>
      <c r="F317"/>
      <c r="G317"/>
      <c r="H317"/>
      <c r="I317"/>
      <c r="J317"/>
      <c r="K317"/>
      <c r="L317"/>
      <c r="M317"/>
      <c r="N317"/>
      <c r="O317"/>
      <c r="P317"/>
      <c r="Q317"/>
      <c r="S317" s="4" t="str">
        <f t="shared" si="10"/>
        <v/>
      </c>
    </row>
    <row r="318" spans="1:19" s="3" customFormat="1" hidden="1" x14ac:dyDescent="0.45">
      <c r="A318" s="5"/>
      <c r="B318"/>
      <c r="C318"/>
      <c r="D318"/>
      <c r="E318"/>
      <c r="F318"/>
      <c r="G318"/>
      <c r="H318"/>
      <c r="I318"/>
      <c r="J318"/>
      <c r="K318"/>
      <c r="L318"/>
      <c r="M318"/>
      <c r="N318"/>
      <c r="O318"/>
      <c r="P318"/>
      <c r="Q318"/>
      <c r="S318" s="4" t="str">
        <f t="shared" si="10"/>
        <v/>
      </c>
    </row>
    <row r="319" spans="1:19" s="3" customFormat="1" hidden="1" x14ac:dyDescent="0.45">
      <c r="A319" s="5"/>
      <c r="B319"/>
      <c r="C319"/>
      <c r="D319"/>
      <c r="E319"/>
      <c r="F319"/>
      <c r="G319"/>
      <c r="H319"/>
      <c r="I319"/>
      <c r="J319"/>
      <c r="K319"/>
      <c r="L319"/>
      <c r="M319"/>
      <c r="N319"/>
      <c r="O319"/>
      <c r="P319"/>
      <c r="Q319"/>
      <c r="S319" s="4" t="str">
        <f t="shared" si="10"/>
        <v/>
      </c>
    </row>
    <row r="320" spans="1:19" s="3" customFormat="1" hidden="1" x14ac:dyDescent="0.45">
      <c r="A320" s="5"/>
      <c r="B320"/>
      <c r="C320"/>
      <c r="D320"/>
      <c r="E320"/>
      <c r="F320"/>
      <c r="G320"/>
      <c r="H320"/>
      <c r="I320"/>
      <c r="J320"/>
      <c r="K320"/>
      <c r="L320"/>
      <c r="M320"/>
      <c r="N320"/>
      <c r="O320"/>
      <c r="P320"/>
      <c r="Q320"/>
      <c r="S320" s="4" t="str">
        <f t="shared" si="10"/>
        <v/>
      </c>
    </row>
    <row r="321" spans="1:19" s="3" customFormat="1" hidden="1" x14ac:dyDescent="0.45">
      <c r="A321" s="5"/>
      <c r="B321"/>
      <c r="C321"/>
      <c r="D321"/>
      <c r="E321"/>
      <c r="F321"/>
      <c r="G321"/>
      <c r="H321"/>
      <c r="I321"/>
      <c r="J321"/>
      <c r="K321"/>
      <c r="L321"/>
      <c r="M321"/>
      <c r="N321"/>
      <c r="O321"/>
      <c r="P321"/>
      <c r="Q321"/>
      <c r="S321" s="4" t="str">
        <f t="shared" si="10"/>
        <v/>
      </c>
    </row>
    <row r="322" spans="1:19" s="3" customFormat="1" hidden="1" x14ac:dyDescent="0.45">
      <c r="A322" s="5"/>
      <c r="B322"/>
      <c r="C322"/>
      <c r="D322"/>
      <c r="E322"/>
      <c r="F322"/>
      <c r="G322"/>
      <c r="H322"/>
      <c r="I322"/>
      <c r="J322"/>
      <c r="K322"/>
      <c r="L322"/>
      <c r="M322"/>
      <c r="N322"/>
      <c r="O322"/>
      <c r="P322"/>
      <c r="Q322"/>
      <c r="S322" s="4" t="str">
        <f t="shared" si="10"/>
        <v/>
      </c>
    </row>
    <row r="323" spans="1:19" s="3" customFormat="1" hidden="1" x14ac:dyDescent="0.45">
      <c r="A323" s="5"/>
      <c r="B323"/>
      <c r="C323"/>
      <c r="D323"/>
      <c r="E323"/>
      <c r="F323"/>
      <c r="G323"/>
      <c r="H323"/>
      <c r="I323"/>
      <c r="J323"/>
      <c r="K323"/>
      <c r="L323"/>
      <c r="M323"/>
      <c r="N323"/>
      <c r="O323"/>
      <c r="P323"/>
      <c r="Q323"/>
      <c r="S323" s="4" t="str">
        <f t="shared" si="10"/>
        <v/>
      </c>
    </row>
    <row r="324" spans="1:19" s="3" customFormat="1" hidden="1" x14ac:dyDescent="0.45">
      <c r="A324" s="5"/>
      <c r="B324"/>
      <c r="C324"/>
      <c r="D324"/>
      <c r="E324"/>
      <c r="F324"/>
      <c r="G324"/>
      <c r="H324"/>
      <c r="I324"/>
      <c r="J324"/>
      <c r="K324"/>
      <c r="L324"/>
      <c r="M324"/>
      <c r="N324"/>
      <c r="O324"/>
      <c r="P324"/>
      <c r="Q324"/>
      <c r="S324" s="4" t="str">
        <f t="shared" si="10"/>
        <v/>
      </c>
    </row>
    <row r="325" spans="1:19" s="3" customFormat="1" hidden="1" x14ac:dyDescent="0.45">
      <c r="A325" s="5"/>
      <c r="B325"/>
      <c r="C325"/>
      <c r="D325"/>
      <c r="E325"/>
      <c r="F325"/>
      <c r="G325"/>
      <c r="H325"/>
      <c r="I325"/>
      <c r="J325"/>
      <c r="K325"/>
      <c r="L325"/>
      <c r="M325"/>
      <c r="N325"/>
      <c r="O325"/>
      <c r="P325"/>
      <c r="Q325"/>
      <c r="S325" s="4" t="str">
        <f t="shared" ref="S325:S388" si="12">IF(B325&lt;&gt;"","visible","")</f>
        <v/>
      </c>
    </row>
    <row r="326" spans="1:19" s="3" customFormat="1" hidden="1" x14ac:dyDescent="0.45">
      <c r="A326" s="5"/>
      <c r="B326"/>
      <c r="C326"/>
      <c r="D326"/>
      <c r="E326"/>
      <c r="F326"/>
      <c r="G326"/>
      <c r="H326"/>
      <c r="I326"/>
      <c r="J326"/>
      <c r="K326"/>
      <c r="L326"/>
      <c r="M326"/>
      <c r="N326"/>
      <c r="O326"/>
      <c r="P326"/>
      <c r="Q326"/>
      <c r="S326" s="4" t="str">
        <f t="shared" si="12"/>
        <v/>
      </c>
    </row>
    <row r="327" spans="1:19" s="3" customFormat="1" hidden="1" x14ac:dyDescent="0.45">
      <c r="A327" s="5"/>
      <c r="B327"/>
      <c r="C327"/>
      <c r="D327"/>
      <c r="E327"/>
      <c r="F327"/>
      <c r="G327"/>
      <c r="H327"/>
      <c r="I327"/>
      <c r="J327"/>
      <c r="K327"/>
      <c r="L327"/>
      <c r="M327"/>
      <c r="N327"/>
      <c r="O327"/>
      <c r="P327"/>
      <c r="Q327"/>
      <c r="S327" s="4" t="str">
        <f t="shared" si="12"/>
        <v/>
      </c>
    </row>
    <row r="328" spans="1:19" s="3" customFormat="1" hidden="1" x14ac:dyDescent="0.45">
      <c r="A328" s="5"/>
      <c r="B328"/>
      <c r="C328"/>
      <c r="D328"/>
      <c r="E328"/>
      <c r="F328"/>
      <c r="G328"/>
      <c r="H328"/>
      <c r="I328"/>
      <c r="J328"/>
      <c r="K328"/>
      <c r="L328"/>
      <c r="M328"/>
      <c r="N328"/>
      <c r="O328"/>
      <c r="P328"/>
      <c r="Q328"/>
      <c r="S328" s="4" t="str">
        <f t="shared" si="12"/>
        <v/>
      </c>
    </row>
    <row r="329" spans="1:19" s="3" customFormat="1" hidden="1" x14ac:dyDescent="0.45">
      <c r="A329" s="5"/>
      <c r="B329"/>
      <c r="C329"/>
      <c r="D329"/>
      <c r="E329"/>
      <c r="F329"/>
      <c r="G329"/>
      <c r="H329"/>
      <c r="I329"/>
      <c r="J329"/>
      <c r="K329"/>
      <c r="L329"/>
      <c r="M329"/>
      <c r="N329"/>
      <c r="O329"/>
      <c r="P329"/>
      <c r="Q329"/>
      <c r="S329" s="4" t="str">
        <f t="shared" si="12"/>
        <v/>
      </c>
    </row>
    <row r="330" spans="1:19" s="3" customFormat="1" hidden="1" x14ac:dyDescent="0.45">
      <c r="A330" s="5"/>
      <c r="B330"/>
      <c r="C330"/>
      <c r="D330"/>
      <c r="E330"/>
      <c r="F330"/>
      <c r="G330"/>
      <c r="H330"/>
      <c r="I330"/>
      <c r="J330"/>
      <c r="K330"/>
      <c r="L330"/>
      <c r="M330"/>
      <c r="N330"/>
      <c r="O330"/>
      <c r="P330"/>
      <c r="Q330"/>
      <c r="S330" s="4" t="str">
        <f t="shared" si="12"/>
        <v/>
      </c>
    </row>
    <row r="331" spans="1:19" s="3" customFormat="1" hidden="1" x14ac:dyDescent="0.45">
      <c r="A331" s="5"/>
      <c r="B331"/>
      <c r="C331"/>
      <c r="D331"/>
      <c r="E331"/>
      <c r="F331"/>
      <c r="G331"/>
      <c r="H331"/>
      <c r="I331"/>
      <c r="J331"/>
      <c r="K331"/>
      <c r="L331"/>
      <c r="M331"/>
      <c r="N331"/>
      <c r="O331"/>
      <c r="P331"/>
      <c r="Q331"/>
      <c r="S331" s="4" t="str">
        <f t="shared" si="12"/>
        <v/>
      </c>
    </row>
    <row r="332" spans="1:19" s="3" customFormat="1" hidden="1" x14ac:dyDescent="0.45">
      <c r="A332" s="5"/>
      <c r="B332"/>
      <c r="C332"/>
      <c r="D332"/>
      <c r="E332"/>
      <c r="F332"/>
      <c r="G332"/>
      <c r="H332"/>
      <c r="I332"/>
      <c r="J332"/>
      <c r="K332"/>
      <c r="L332"/>
      <c r="M332"/>
      <c r="N332"/>
      <c r="O332"/>
      <c r="P332"/>
      <c r="Q332"/>
      <c r="S332" s="4" t="str">
        <f t="shared" si="12"/>
        <v/>
      </c>
    </row>
    <row r="333" spans="1:19" s="3" customFormat="1" hidden="1" x14ac:dyDescent="0.45">
      <c r="A333" s="5"/>
      <c r="B333"/>
      <c r="C333"/>
      <c r="D333"/>
      <c r="E333"/>
      <c r="F333"/>
      <c r="G333"/>
      <c r="H333"/>
      <c r="I333"/>
      <c r="J333"/>
      <c r="K333"/>
      <c r="L333"/>
      <c r="M333"/>
      <c r="N333"/>
      <c r="O333"/>
      <c r="P333"/>
      <c r="Q333"/>
      <c r="S333" s="4" t="str">
        <f t="shared" si="12"/>
        <v/>
      </c>
    </row>
    <row r="334" spans="1:19" s="3" customFormat="1" hidden="1" x14ac:dyDescent="0.45">
      <c r="A334" s="5"/>
      <c r="B334"/>
      <c r="C334"/>
      <c r="D334"/>
      <c r="E334"/>
      <c r="F334"/>
      <c r="G334"/>
      <c r="H334"/>
      <c r="I334"/>
      <c r="J334"/>
      <c r="K334"/>
      <c r="L334"/>
      <c r="M334"/>
      <c r="N334"/>
      <c r="O334"/>
      <c r="P334"/>
      <c r="Q334"/>
      <c r="S334" s="4" t="str">
        <f t="shared" si="12"/>
        <v/>
      </c>
    </row>
    <row r="335" spans="1:19" s="3" customFormat="1" hidden="1" x14ac:dyDescent="0.45">
      <c r="A335" s="5"/>
      <c r="B335"/>
      <c r="C335"/>
      <c r="D335"/>
      <c r="E335"/>
      <c r="F335"/>
      <c r="G335"/>
      <c r="H335"/>
      <c r="I335"/>
      <c r="J335"/>
      <c r="K335"/>
      <c r="L335"/>
      <c r="M335"/>
      <c r="N335"/>
      <c r="O335"/>
      <c r="P335"/>
      <c r="Q335"/>
      <c r="S335" s="4" t="str">
        <f t="shared" si="12"/>
        <v/>
      </c>
    </row>
    <row r="336" spans="1:19" s="3" customFormat="1" hidden="1" x14ac:dyDescent="0.45">
      <c r="A336" s="5"/>
      <c r="B336"/>
      <c r="C336"/>
      <c r="D336"/>
      <c r="E336"/>
      <c r="F336"/>
      <c r="G336"/>
      <c r="H336"/>
      <c r="I336"/>
      <c r="J336"/>
      <c r="K336"/>
      <c r="L336"/>
      <c r="M336"/>
      <c r="N336"/>
      <c r="O336"/>
      <c r="P336"/>
      <c r="Q336"/>
      <c r="S336" s="4" t="str">
        <f t="shared" si="12"/>
        <v/>
      </c>
    </row>
    <row r="337" spans="1:19" s="3" customFormat="1" hidden="1" x14ac:dyDescent="0.45">
      <c r="A337" s="5"/>
      <c r="B337"/>
      <c r="C337"/>
      <c r="D337"/>
      <c r="E337"/>
      <c r="F337"/>
      <c r="G337"/>
      <c r="H337"/>
      <c r="I337"/>
      <c r="J337"/>
      <c r="K337"/>
      <c r="L337"/>
      <c r="M337"/>
      <c r="N337"/>
      <c r="O337"/>
      <c r="P337"/>
      <c r="Q337"/>
      <c r="S337" s="4" t="str">
        <f t="shared" si="12"/>
        <v/>
      </c>
    </row>
    <row r="338" spans="1:19" s="3" customFormat="1" hidden="1" x14ac:dyDescent="0.45">
      <c r="A338" s="5"/>
      <c r="B338"/>
      <c r="C338"/>
      <c r="D338"/>
      <c r="E338"/>
      <c r="F338"/>
      <c r="G338"/>
      <c r="H338"/>
      <c r="I338"/>
      <c r="J338"/>
      <c r="K338"/>
      <c r="L338"/>
      <c r="M338"/>
      <c r="N338"/>
      <c r="O338"/>
      <c r="P338"/>
      <c r="Q338"/>
      <c r="S338" s="4" t="str">
        <f t="shared" si="12"/>
        <v/>
      </c>
    </row>
    <row r="339" spans="1:19" s="3" customFormat="1" hidden="1" x14ac:dyDescent="0.45">
      <c r="A339" s="5"/>
      <c r="B339"/>
      <c r="C339"/>
      <c r="D339"/>
      <c r="E339"/>
      <c r="F339"/>
      <c r="G339"/>
      <c r="H339"/>
      <c r="I339"/>
      <c r="J339"/>
      <c r="K339"/>
      <c r="L339"/>
      <c r="M339"/>
      <c r="N339"/>
      <c r="O339"/>
      <c r="P339"/>
      <c r="Q339"/>
      <c r="S339" s="4" t="str">
        <f t="shared" si="12"/>
        <v/>
      </c>
    </row>
    <row r="340" spans="1:19" s="3" customFormat="1" hidden="1" x14ac:dyDescent="0.45">
      <c r="A340" s="5"/>
      <c r="B340"/>
      <c r="C340"/>
      <c r="D340"/>
      <c r="E340"/>
      <c r="F340"/>
      <c r="G340"/>
      <c r="H340"/>
      <c r="I340"/>
      <c r="J340"/>
      <c r="K340"/>
      <c r="L340"/>
      <c r="M340"/>
      <c r="N340"/>
      <c r="O340"/>
      <c r="P340"/>
      <c r="Q340"/>
      <c r="S340" s="4" t="str">
        <f t="shared" si="12"/>
        <v/>
      </c>
    </row>
    <row r="341" spans="1:19" s="3" customFormat="1" hidden="1" x14ac:dyDescent="0.45">
      <c r="A341" s="5"/>
      <c r="B341"/>
      <c r="C341"/>
      <c r="D341"/>
      <c r="E341"/>
      <c r="F341"/>
      <c r="G341"/>
      <c r="H341"/>
      <c r="I341"/>
      <c r="J341"/>
      <c r="K341"/>
      <c r="L341"/>
      <c r="M341"/>
      <c r="N341"/>
      <c r="O341"/>
      <c r="P341"/>
      <c r="Q341"/>
      <c r="S341" s="4" t="str">
        <f t="shared" si="12"/>
        <v/>
      </c>
    </row>
    <row r="342" spans="1:19" s="3" customFormat="1" hidden="1" x14ac:dyDescent="0.45">
      <c r="A342" s="5"/>
      <c r="B342"/>
      <c r="C342"/>
      <c r="D342"/>
      <c r="E342"/>
      <c r="F342"/>
      <c r="G342"/>
      <c r="H342"/>
      <c r="I342"/>
      <c r="J342"/>
      <c r="K342"/>
      <c r="L342"/>
      <c r="M342"/>
      <c r="N342"/>
      <c r="O342"/>
      <c r="P342"/>
      <c r="Q342"/>
      <c r="S342" s="4" t="str">
        <f t="shared" si="12"/>
        <v/>
      </c>
    </row>
    <row r="343" spans="1:19" s="3" customFormat="1" hidden="1" x14ac:dyDescent="0.45">
      <c r="A343" s="5"/>
      <c r="B343"/>
      <c r="C343"/>
      <c r="D343"/>
      <c r="E343"/>
      <c r="F343"/>
      <c r="G343"/>
      <c r="H343"/>
      <c r="I343"/>
      <c r="J343"/>
      <c r="K343"/>
      <c r="L343"/>
      <c r="M343"/>
      <c r="N343"/>
      <c r="O343"/>
      <c r="P343"/>
      <c r="Q343"/>
      <c r="S343" s="4" t="str">
        <f t="shared" si="12"/>
        <v/>
      </c>
    </row>
    <row r="344" spans="1:19" s="3" customFormat="1" hidden="1" x14ac:dyDescent="0.45">
      <c r="A344" s="5"/>
      <c r="B344"/>
      <c r="C344"/>
      <c r="D344"/>
      <c r="E344"/>
      <c r="F344"/>
      <c r="G344"/>
      <c r="H344"/>
      <c r="I344"/>
      <c r="J344"/>
      <c r="K344"/>
      <c r="L344"/>
      <c r="M344"/>
      <c r="N344"/>
      <c r="O344"/>
      <c r="P344"/>
      <c r="Q344"/>
      <c r="S344" s="4" t="str">
        <f t="shared" si="12"/>
        <v/>
      </c>
    </row>
    <row r="345" spans="1:19" s="3" customFormat="1" hidden="1" x14ac:dyDescent="0.45">
      <c r="A345" s="5"/>
      <c r="B345"/>
      <c r="C345"/>
      <c r="D345"/>
      <c r="E345"/>
      <c r="F345"/>
      <c r="G345"/>
      <c r="H345"/>
      <c r="I345"/>
      <c r="J345"/>
      <c r="K345"/>
      <c r="L345"/>
      <c r="M345"/>
      <c r="N345"/>
      <c r="O345"/>
      <c r="P345"/>
      <c r="Q345"/>
      <c r="S345" s="4" t="str">
        <f t="shared" si="12"/>
        <v/>
      </c>
    </row>
    <row r="346" spans="1:19" s="3" customFormat="1" hidden="1" x14ac:dyDescent="0.45">
      <c r="A346" s="5"/>
      <c r="B346"/>
      <c r="C346"/>
      <c r="D346"/>
      <c r="E346"/>
      <c r="F346"/>
      <c r="G346"/>
      <c r="H346"/>
      <c r="I346"/>
      <c r="J346"/>
      <c r="K346"/>
      <c r="L346"/>
      <c r="M346"/>
      <c r="N346"/>
      <c r="O346"/>
      <c r="P346"/>
      <c r="Q346"/>
      <c r="S346" s="4" t="str">
        <f t="shared" si="12"/>
        <v/>
      </c>
    </row>
    <row r="347" spans="1:19" s="3" customFormat="1" hidden="1" x14ac:dyDescent="0.45">
      <c r="A347" s="5"/>
      <c r="B347"/>
      <c r="C347"/>
      <c r="D347"/>
      <c r="E347"/>
      <c r="F347"/>
      <c r="G347"/>
      <c r="H347"/>
      <c r="I347"/>
      <c r="J347"/>
      <c r="K347"/>
      <c r="L347"/>
      <c r="M347"/>
      <c r="N347"/>
      <c r="O347"/>
      <c r="P347"/>
      <c r="Q347"/>
      <c r="S347" s="4" t="str">
        <f t="shared" si="12"/>
        <v/>
      </c>
    </row>
    <row r="348" spans="1:19" s="3" customFormat="1" hidden="1" x14ac:dyDescent="0.45">
      <c r="A348" s="5"/>
      <c r="B348"/>
      <c r="C348"/>
      <c r="D348"/>
      <c r="E348"/>
      <c r="F348"/>
      <c r="G348"/>
      <c r="H348"/>
      <c r="I348"/>
      <c r="J348"/>
      <c r="K348"/>
      <c r="L348"/>
      <c r="M348"/>
      <c r="N348"/>
      <c r="O348"/>
      <c r="P348"/>
      <c r="Q348"/>
      <c r="S348" s="4" t="str">
        <f t="shared" si="12"/>
        <v/>
      </c>
    </row>
    <row r="349" spans="1:19" s="3" customFormat="1" hidden="1" x14ac:dyDescent="0.45">
      <c r="A349" s="5"/>
      <c r="B349"/>
      <c r="C349"/>
      <c r="D349"/>
      <c r="E349"/>
      <c r="F349"/>
      <c r="G349"/>
      <c r="H349"/>
      <c r="I349"/>
      <c r="J349"/>
      <c r="K349"/>
      <c r="L349"/>
      <c r="M349"/>
      <c r="N349"/>
      <c r="O349"/>
      <c r="P349"/>
      <c r="Q349"/>
      <c r="S349" s="4" t="str">
        <f t="shared" si="12"/>
        <v/>
      </c>
    </row>
    <row r="350" spans="1:19" s="3" customFormat="1" hidden="1" x14ac:dyDescent="0.45">
      <c r="A350" s="5"/>
      <c r="B350"/>
      <c r="C350"/>
      <c r="D350"/>
      <c r="E350"/>
      <c r="F350"/>
      <c r="G350"/>
      <c r="H350"/>
      <c r="I350"/>
      <c r="J350"/>
      <c r="K350"/>
      <c r="L350"/>
      <c r="M350"/>
      <c r="N350"/>
      <c r="O350"/>
      <c r="P350"/>
      <c r="Q350"/>
      <c r="S350" s="4" t="str">
        <f t="shared" si="12"/>
        <v/>
      </c>
    </row>
    <row r="351" spans="1:19" s="3" customFormat="1" hidden="1" x14ac:dyDescent="0.45">
      <c r="A351" s="5"/>
      <c r="B351"/>
      <c r="C351"/>
      <c r="D351"/>
      <c r="E351"/>
      <c r="F351"/>
      <c r="G351"/>
      <c r="H351"/>
      <c r="I351"/>
      <c r="J351"/>
      <c r="K351"/>
      <c r="L351"/>
      <c r="M351"/>
      <c r="N351"/>
      <c r="O351"/>
      <c r="P351"/>
      <c r="Q351"/>
      <c r="S351" s="4" t="str">
        <f t="shared" si="12"/>
        <v/>
      </c>
    </row>
    <row r="352" spans="1:19" s="3" customFormat="1" hidden="1" x14ac:dyDescent="0.45">
      <c r="A352" s="5"/>
      <c r="B352"/>
      <c r="C352"/>
      <c r="D352"/>
      <c r="E352"/>
      <c r="F352"/>
      <c r="G352"/>
      <c r="H352"/>
      <c r="I352"/>
      <c r="J352"/>
      <c r="K352"/>
      <c r="L352"/>
      <c r="M352"/>
      <c r="N352"/>
      <c r="O352"/>
      <c r="P352"/>
      <c r="Q352"/>
      <c r="S352" s="4" t="str">
        <f t="shared" si="12"/>
        <v/>
      </c>
    </row>
    <row r="353" spans="1:19" s="3" customFormat="1" hidden="1" x14ac:dyDescent="0.45">
      <c r="A353" s="5"/>
      <c r="B353"/>
      <c r="C353"/>
      <c r="D353"/>
      <c r="E353"/>
      <c r="F353"/>
      <c r="G353"/>
      <c r="H353"/>
      <c r="I353"/>
      <c r="J353"/>
      <c r="K353"/>
      <c r="L353"/>
      <c r="M353"/>
      <c r="N353"/>
      <c r="O353"/>
      <c r="P353"/>
      <c r="Q353"/>
      <c r="S353" s="4" t="str">
        <f t="shared" si="12"/>
        <v/>
      </c>
    </row>
    <row r="354" spans="1:19" s="3" customFormat="1" hidden="1" x14ac:dyDescent="0.45">
      <c r="A354" s="5"/>
      <c r="B354"/>
      <c r="C354"/>
      <c r="D354"/>
      <c r="E354"/>
      <c r="F354"/>
      <c r="G354"/>
      <c r="H354"/>
      <c r="I354"/>
      <c r="J354"/>
      <c r="K354"/>
      <c r="L354"/>
      <c r="M354"/>
      <c r="N354"/>
      <c r="O354"/>
      <c r="P354"/>
      <c r="Q354"/>
      <c r="S354" s="4" t="str">
        <f t="shared" si="12"/>
        <v/>
      </c>
    </row>
    <row r="355" spans="1:19" s="3" customFormat="1" hidden="1" x14ac:dyDescent="0.45">
      <c r="A355" s="5"/>
      <c r="B355"/>
      <c r="C355"/>
      <c r="D355"/>
      <c r="E355"/>
      <c r="F355"/>
      <c r="G355"/>
      <c r="H355"/>
      <c r="I355"/>
      <c r="J355"/>
      <c r="K355"/>
      <c r="L355"/>
      <c r="M355"/>
      <c r="N355"/>
      <c r="O355"/>
      <c r="P355"/>
      <c r="Q355"/>
      <c r="S355" s="4" t="str">
        <f t="shared" si="12"/>
        <v/>
      </c>
    </row>
    <row r="356" spans="1:19" s="3" customFormat="1" hidden="1" x14ac:dyDescent="0.45">
      <c r="A356" s="5"/>
      <c r="B356"/>
      <c r="C356"/>
      <c r="D356"/>
      <c r="E356"/>
      <c r="F356"/>
      <c r="G356"/>
      <c r="H356"/>
      <c r="I356"/>
      <c r="J356"/>
      <c r="K356"/>
      <c r="L356"/>
      <c r="M356"/>
      <c r="N356"/>
      <c r="O356"/>
      <c r="P356"/>
      <c r="Q356"/>
      <c r="S356" s="4" t="str">
        <f t="shared" si="12"/>
        <v/>
      </c>
    </row>
    <row r="357" spans="1:19" s="3" customFormat="1" hidden="1" x14ac:dyDescent="0.45">
      <c r="A357" s="5"/>
      <c r="B357"/>
      <c r="C357"/>
      <c r="D357"/>
      <c r="E357"/>
      <c r="F357"/>
      <c r="G357"/>
      <c r="H357"/>
      <c r="I357"/>
      <c r="J357"/>
      <c r="K357"/>
      <c r="L357"/>
      <c r="M357"/>
      <c r="N357"/>
      <c r="O357"/>
      <c r="P357"/>
      <c r="Q357"/>
      <c r="S357" s="4" t="str">
        <f t="shared" si="12"/>
        <v/>
      </c>
    </row>
    <row r="358" spans="1:19" s="3" customFormat="1" hidden="1" x14ac:dyDescent="0.45">
      <c r="A358" s="5"/>
      <c r="B358"/>
      <c r="C358"/>
      <c r="D358"/>
      <c r="E358"/>
      <c r="F358"/>
      <c r="G358"/>
      <c r="H358"/>
      <c r="I358"/>
      <c r="J358"/>
      <c r="K358"/>
      <c r="L358"/>
      <c r="M358"/>
      <c r="N358"/>
      <c r="O358"/>
      <c r="P358"/>
      <c r="Q358"/>
      <c r="S358" s="4" t="str">
        <f t="shared" si="12"/>
        <v/>
      </c>
    </row>
    <row r="359" spans="1:19" s="3" customFormat="1" hidden="1" x14ac:dyDescent="0.45">
      <c r="A359" s="5"/>
      <c r="B359"/>
      <c r="C359"/>
      <c r="D359"/>
      <c r="E359"/>
      <c r="F359"/>
      <c r="G359"/>
      <c r="H359"/>
      <c r="I359"/>
      <c r="J359"/>
      <c r="K359"/>
      <c r="L359"/>
      <c r="M359"/>
      <c r="N359"/>
      <c r="O359"/>
      <c r="P359"/>
      <c r="Q359"/>
      <c r="S359" s="4" t="str">
        <f t="shared" si="12"/>
        <v/>
      </c>
    </row>
    <row r="360" spans="1:19" s="3" customFormat="1" hidden="1" x14ac:dyDescent="0.45">
      <c r="A360" s="5"/>
      <c r="B360"/>
      <c r="C360"/>
      <c r="D360"/>
      <c r="E360"/>
      <c r="F360"/>
      <c r="G360"/>
      <c r="H360"/>
      <c r="I360"/>
      <c r="J360"/>
      <c r="K360"/>
      <c r="L360"/>
      <c r="M360"/>
      <c r="N360"/>
      <c r="O360"/>
      <c r="P360"/>
      <c r="Q360"/>
      <c r="S360" s="4" t="str">
        <f t="shared" si="12"/>
        <v/>
      </c>
    </row>
    <row r="361" spans="1:19" s="3" customFormat="1" hidden="1" x14ac:dyDescent="0.45">
      <c r="A361" s="5"/>
      <c r="B361"/>
      <c r="C361"/>
      <c r="D361"/>
      <c r="E361"/>
      <c r="F361"/>
      <c r="G361"/>
      <c r="H361"/>
      <c r="I361"/>
      <c r="J361"/>
      <c r="K361"/>
      <c r="L361"/>
      <c r="M361"/>
      <c r="N361"/>
      <c r="O361"/>
      <c r="P361"/>
      <c r="Q361"/>
      <c r="S361" s="4" t="str">
        <f t="shared" si="12"/>
        <v/>
      </c>
    </row>
    <row r="362" spans="1:19" s="3" customFormat="1" hidden="1" x14ac:dyDescent="0.45">
      <c r="A362" s="5"/>
      <c r="B362"/>
      <c r="C362"/>
      <c r="D362"/>
      <c r="E362"/>
      <c r="F362"/>
      <c r="G362"/>
      <c r="H362"/>
      <c r="I362"/>
      <c r="J362"/>
      <c r="K362"/>
      <c r="L362"/>
      <c r="M362"/>
      <c r="N362"/>
      <c r="O362"/>
      <c r="P362"/>
      <c r="Q362"/>
      <c r="S362" s="4" t="str">
        <f t="shared" si="12"/>
        <v/>
      </c>
    </row>
    <row r="363" spans="1:19" s="3" customFormat="1" hidden="1" x14ac:dyDescent="0.45">
      <c r="A363" s="5"/>
      <c r="B363"/>
      <c r="C363"/>
      <c r="D363"/>
      <c r="E363"/>
      <c r="F363"/>
      <c r="G363"/>
      <c r="H363"/>
      <c r="I363"/>
      <c r="J363"/>
      <c r="K363"/>
      <c r="L363"/>
      <c r="M363"/>
      <c r="N363"/>
      <c r="O363"/>
      <c r="P363"/>
      <c r="Q363"/>
      <c r="S363" s="4" t="str">
        <f t="shared" si="12"/>
        <v/>
      </c>
    </row>
    <row r="364" spans="1:19" s="3" customFormat="1" hidden="1" x14ac:dyDescent="0.45">
      <c r="A364" s="5" t="str">
        <f>IF(S364 ="visible",IF(B364 = "Total","",A315+1),"")</f>
        <v/>
      </c>
      <c r="B364"/>
      <c r="C364"/>
      <c r="D364"/>
      <c r="E364"/>
      <c r="F364"/>
      <c r="G364"/>
      <c r="H364"/>
      <c r="I364"/>
      <c r="J364"/>
      <c r="K364"/>
      <c r="L364"/>
      <c r="M364"/>
      <c r="N364"/>
      <c r="O364"/>
      <c r="P364"/>
      <c r="Q364"/>
      <c r="S364" s="4" t="str">
        <f t="shared" si="12"/>
        <v/>
      </c>
    </row>
    <row r="365" spans="1:19" s="3" customFormat="1" hidden="1" x14ac:dyDescent="0.45">
      <c r="A365" s="5" t="str">
        <f t="shared" ref="A365:A370" si="13">IF(S365 ="visible",IF(B365 = "Total","",A364+1),"")</f>
        <v/>
      </c>
      <c r="B365"/>
      <c r="C365"/>
      <c r="D365"/>
      <c r="E365"/>
      <c r="F365"/>
      <c r="G365"/>
      <c r="H365"/>
      <c r="I365"/>
      <c r="J365"/>
      <c r="K365"/>
      <c r="L365"/>
      <c r="M365"/>
      <c r="N365"/>
      <c r="O365"/>
      <c r="P365"/>
      <c r="Q365"/>
      <c r="S365" s="4" t="str">
        <f t="shared" si="12"/>
        <v/>
      </c>
    </row>
    <row r="366" spans="1:19" s="3" customFormat="1" hidden="1" x14ac:dyDescent="0.45">
      <c r="A366" s="5" t="str">
        <f t="shared" si="13"/>
        <v/>
      </c>
      <c r="B366"/>
      <c r="C366"/>
      <c r="D366"/>
      <c r="E366"/>
      <c r="F366"/>
      <c r="G366"/>
      <c r="H366"/>
      <c r="I366"/>
      <c r="J366"/>
      <c r="K366"/>
      <c r="L366"/>
      <c r="M366"/>
      <c r="N366"/>
      <c r="O366"/>
      <c r="P366"/>
      <c r="Q366"/>
      <c r="S366" s="4" t="str">
        <f t="shared" si="12"/>
        <v/>
      </c>
    </row>
    <row r="367" spans="1:19" s="3" customFormat="1" hidden="1" x14ac:dyDescent="0.45">
      <c r="A367" s="5" t="str">
        <f t="shared" si="13"/>
        <v/>
      </c>
      <c r="B367"/>
      <c r="C367"/>
      <c r="D367"/>
      <c r="E367"/>
      <c r="F367"/>
      <c r="G367"/>
      <c r="H367"/>
      <c r="I367"/>
      <c r="J367"/>
      <c r="K367"/>
      <c r="L367"/>
      <c r="M367"/>
      <c r="N367"/>
      <c r="O367"/>
      <c r="P367"/>
      <c r="Q367"/>
      <c r="S367" s="4" t="str">
        <f t="shared" si="12"/>
        <v/>
      </c>
    </row>
    <row r="368" spans="1:19" s="3" customFormat="1" hidden="1" x14ac:dyDescent="0.45">
      <c r="A368" s="5" t="str">
        <f t="shared" si="13"/>
        <v/>
      </c>
      <c r="B368"/>
      <c r="C368"/>
      <c r="D368"/>
      <c r="E368"/>
      <c r="F368"/>
      <c r="G368"/>
      <c r="H368"/>
      <c r="I368"/>
      <c r="J368"/>
      <c r="K368"/>
      <c r="L368"/>
      <c r="M368"/>
      <c r="N368"/>
      <c r="O368"/>
      <c r="P368"/>
      <c r="Q368"/>
      <c r="S368" s="4" t="str">
        <f t="shared" si="12"/>
        <v/>
      </c>
    </row>
    <row r="369" spans="1:19" s="3" customFormat="1" hidden="1" x14ac:dyDescent="0.45">
      <c r="A369" s="5" t="str">
        <f t="shared" si="13"/>
        <v/>
      </c>
      <c r="B369"/>
      <c r="C369"/>
      <c r="D369"/>
      <c r="E369"/>
      <c r="F369"/>
      <c r="G369"/>
      <c r="H369"/>
      <c r="I369"/>
      <c r="J369"/>
      <c r="K369"/>
      <c r="L369"/>
      <c r="M369"/>
      <c r="N369"/>
      <c r="O369"/>
      <c r="P369"/>
      <c r="Q369"/>
      <c r="S369" s="4" t="str">
        <f t="shared" si="12"/>
        <v/>
      </c>
    </row>
    <row r="370" spans="1:19" s="3" customFormat="1" hidden="1" x14ac:dyDescent="0.45">
      <c r="A370" s="5" t="str">
        <f t="shared" si="13"/>
        <v/>
      </c>
      <c r="B370"/>
      <c r="C370"/>
      <c r="D370"/>
      <c r="E370"/>
      <c r="F370"/>
      <c r="G370"/>
      <c r="H370"/>
      <c r="I370"/>
      <c r="J370"/>
      <c r="K370"/>
      <c r="L370"/>
      <c r="M370"/>
      <c r="N370"/>
      <c r="O370"/>
      <c r="P370"/>
      <c r="Q370"/>
      <c r="S370" s="4" t="str">
        <f t="shared" si="12"/>
        <v/>
      </c>
    </row>
    <row r="371" spans="1:19" s="3" customFormat="1" hidden="1" x14ac:dyDescent="0.45">
      <c r="A371" s="5"/>
      <c r="B371"/>
      <c r="C371"/>
      <c r="D371"/>
      <c r="E371"/>
      <c r="F371"/>
      <c r="G371"/>
      <c r="H371"/>
      <c r="I371"/>
      <c r="J371"/>
      <c r="K371"/>
      <c r="L371"/>
      <c r="M371"/>
      <c r="N371"/>
      <c r="O371"/>
      <c r="P371"/>
      <c r="Q371"/>
      <c r="S371" s="4" t="str">
        <f t="shared" si="12"/>
        <v/>
      </c>
    </row>
    <row r="372" spans="1:19" s="3" customFormat="1" hidden="1" x14ac:dyDescent="0.45">
      <c r="A372" s="5"/>
      <c r="B372"/>
      <c r="C372"/>
      <c r="D372"/>
      <c r="E372"/>
      <c r="F372"/>
      <c r="G372"/>
      <c r="H372"/>
      <c r="I372"/>
      <c r="J372"/>
      <c r="K372"/>
      <c r="L372"/>
      <c r="M372"/>
      <c r="N372"/>
      <c r="O372"/>
      <c r="P372"/>
      <c r="Q372"/>
      <c r="S372" s="4" t="str">
        <f t="shared" si="12"/>
        <v/>
      </c>
    </row>
    <row r="373" spans="1:19" s="3" customFormat="1" hidden="1" x14ac:dyDescent="0.45">
      <c r="A373" s="5"/>
      <c r="B373"/>
      <c r="C373"/>
      <c r="D373"/>
      <c r="E373"/>
      <c r="F373"/>
      <c r="G373"/>
      <c r="H373"/>
      <c r="I373"/>
      <c r="J373"/>
      <c r="K373"/>
      <c r="L373"/>
      <c r="M373"/>
      <c r="N373"/>
      <c r="O373"/>
      <c r="P373"/>
      <c r="Q373"/>
      <c r="S373" s="4" t="str">
        <f t="shared" si="12"/>
        <v/>
      </c>
    </row>
    <row r="374" spans="1:19" s="3" customFormat="1" hidden="1" x14ac:dyDescent="0.45">
      <c r="A374" s="5"/>
      <c r="B374"/>
      <c r="C374"/>
      <c r="D374"/>
      <c r="E374"/>
      <c r="F374"/>
      <c r="G374"/>
      <c r="H374"/>
      <c r="I374"/>
      <c r="J374"/>
      <c r="K374"/>
      <c r="L374"/>
      <c r="M374"/>
      <c r="N374"/>
      <c r="O374"/>
      <c r="P374"/>
      <c r="Q374"/>
      <c r="S374" s="4" t="str">
        <f t="shared" si="12"/>
        <v/>
      </c>
    </row>
    <row r="375" spans="1:19" s="3" customFormat="1" hidden="1" x14ac:dyDescent="0.45">
      <c r="A375" s="5"/>
      <c r="B375"/>
      <c r="C375"/>
      <c r="D375"/>
      <c r="E375"/>
      <c r="F375"/>
      <c r="G375"/>
      <c r="H375"/>
      <c r="I375"/>
      <c r="J375"/>
      <c r="K375"/>
      <c r="L375"/>
      <c r="M375"/>
      <c r="N375"/>
      <c r="O375"/>
      <c r="P375"/>
      <c r="Q375"/>
      <c r="S375" s="4" t="str">
        <f t="shared" si="12"/>
        <v/>
      </c>
    </row>
    <row r="376" spans="1:19" s="3" customFormat="1" hidden="1" x14ac:dyDescent="0.45">
      <c r="A376" s="5"/>
      <c r="B376"/>
      <c r="C376"/>
      <c r="D376"/>
      <c r="E376"/>
      <c r="F376"/>
      <c r="G376"/>
      <c r="H376"/>
      <c r="I376"/>
      <c r="J376"/>
      <c r="K376"/>
      <c r="L376"/>
      <c r="M376"/>
      <c r="N376"/>
      <c r="O376"/>
      <c r="P376"/>
      <c r="Q376"/>
      <c r="S376" s="4" t="str">
        <f t="shared" si="12"/>
        <v/>
      </c>
    </row>
    <row r="377" spans="1:19" s="3" customFormat="1" hidden="1" x14ac:dyDescent="0.45">
      <c r="A377" s="5"/>
      <c r="B377"/>
      <c r="C377"/>
      <c r="D377"/>
      <c r="E377"/>
      <c r="F377"/>
      <c r="G377"/>
      <c r="H377"/>
      <c r="I377"/>
      <c r="J377"/>
      <c r="K377"/>
      <c r="L377"/>
      <c r="M377"/>
      <c r="N377"/>
      <c r="O377"/>
      <c r="P377"/>
      <c r="Q377"/>
      <c r="S377" s="4" t="str">
        <f t="shared" si="12"/>
        <v/>
      </c>
    </row>
    <row r="378" spans="1:19" s="3" customFormat="1" hidden="1" x14ac:dyDescent="0.45">
      <c r="A378" s="5" t="str">
        <f>IF(S378 ="visible",IF(B378 = "Total","",A370+1),"")</f>
        <v/>
      </c>
      <c r="B378"/>
      <c r="C378"/>
      <c r="D378"/>
      <c r="E378"/>
      <c r="F378"/>
      <c r="G378"/>
      <c r="H378"/>
      <c r="I378"/>
      <c r="J378"/>
      <c r="K378"/>
      <c r="L378"/>
      <c r="M378"/>
      <c r="N378"/>
      <c r="O378"/>
      <c r="P378"/>
      <c r="Q378"/>
      <c r="S378" s="4" t="str">
        <f t="shared" si="12"/>
        <v/>
      </c>
    </row>
    <row r="379" spans="1:19" s="3" customFormat="1" hidden="1" x14ac:dyDescent="0.45">
      <c r="A379" s="5" t="str">
        <f t="shared" ref="A379:A401" si="14">IF(S379 ="visible",IF(B379 = "Total","",A378+1),"")</f>
        <v/>
      </c>
      <c r="B379"/>
      <c r="C379"/>
      <c r="D379"/>
      <c r="E379"/>
      <c r="F379"/>
      <c r="G379"/>
      <c r="H379"/>
      <c r="I379"/>
      <c r="J379"/>
      <c r="K379"/>
      <c r="L379"/>
      <c r="M379"/>
      <c r="N379"/>
      <c r="O379"/>
      <c r="P379"/>
      <c r="Q379"/>
      <c r="S379" s="4" t="str">
        <f t="shared" si="12"/>
        <v/>
      </c>
    </row>
    <row r="380" spans="1:19" s="3" customFormat="1" hidden="1" x14ac:dyDescent="0.45">
      <c r="A380" s="5" t="str">
        <f t="shared" si="14"/>
        <v/>
      </c>
      <c r="B380"/>
      <c r="C380"/>
      <c r="D380"/>
      <c r="E380"/>
      <c r="F380"/>
      <c r="G380"/>
      <c r="H380"/>
      <c r="I380"/>
      <c r="J380"/>
      <c r="K380"/>
      <c r="L380"/>
      <c r="M380"/>
      <c r="N380"/>
      <c r="O380"/>
      <c r="P380"/>
      <c r="Q380"/>
      <c r="S380" s="4" t="str">
        <f t="shared" si="12"/>
        <v/>
      </c>
    </row>
    <row r="381" spans="1:19" s="3" customFormat="1" hidden="1" x14ac:dyDescent="0.45">
      <c r="A381" s="5" t="str">
        <f t="shared" si="14"/>
        <v/>
      </c>
      <c r="B381"/>
      <c r="C381"/>
      <c r="D381"/>
      <c r="E381"/>
      <c r="F381"/>
      <c r="G381"/>
      <c r="H381"/>
      <c r="I381"/>
      <c r="J381"/>
      <c r="K381"/>
      <c r="L381"/>
      <c r="M381"/>
      <c r="N381"/>
      <c r="O381"/>
      <c r="P381"/>
      <c r="Q381"/>
      <c r="S381" s="4" t="str">
        <f t="shared" si="12"/>
        <v/>
      </c>
    </row>
    <row r="382" spans="1:19" s="3" customFormat="1" hidden="1" x14ac:dyDescent="0.45">
      <c r="A382" s="5" t="str">
        <f t="shared" si="14"/>
        <v/>
      </c>
      <c r="B382"/>
      <c r="C382"/>
      <c r="D382"/>
      <c r="E382"/>
      <c r="F382"/>
      <c r="G382"/>
      <c r="H382"/>
      <c r="I382"/>
      <c r="J382"/>
      <c r="K382"/>
      <c r="L382"/>
      <c r="M382"/>
      <c r="N382"/>
      <c r="O382"/>
      <c r="P382"/>
      <c r="Q382"/>
      <c r="S382" s="4" t="str">
        <f t="shared" si="12"/>
        <v/>
      </c>
    </row>
    <row r="383" spans="1:19" s="3" customFormat="1" hidden="1" x14ac:dyDescent="0.45">
      <c r="A383" s="5" t="str">
        <f t="shared" si="14"/>
        <v/>
      </c>
      <c r="B383"/>
      <c r="C383"/>
      <c r="D383"/>
      <c r="E383"/>
      <c r="F383"/>
      <c r="G383"/>
      <c r="H383"/>
      <c r="I383"/>
      <c r="J383"/>
      <c r="K383"/>
      <c r="L383"/>
      <c r="M383"/>
      <c r="N383"/>
      <c r="O383"/>
      <c r="P383"/>
      <c r="Q383"/>
      <c r="S383" s="4" t="str">
        <f t="shared" si="12"/>
        <v/>
      </c>
    </row>
    <row r="384" spans="1:19" s="3" customFormat="1" hidden="1" x14ac:dyDescent="0.45">
      <c r="A384" s="5" t="str">
        <f t="shared" si="14"/>
        <v/>
      </c>
      <c r="B384"/>
      <c r="C384"/>
      <c r="D384"/>
      <c r="E384"/>
      <c r="F384"/>
      <c r="G384"/>
      <c r="H384"/>
      <c r="I384"/>
      <c r="J384"/>
      <c r="K384"/>
      <c r="L384"/>
      <c r="M384"/>
      <c r="N384"/>
      <c r="O384"/>
      <c r="P384"/>
      <c r="Q384"/>
      <c r="S384" s="4" t="str">
        <f t="shared" si="12"/>
        <v/>
      </c>
    </row>
    <row r="385" spans="1:19" s="3" customFormat="1" hidden="1" x14ac:dyDescent="0.45">
      <c r="A385" s="5" t="str">
        <f t="shared" si="14"/>
        <v/>
      </c>
      <c r="B385"/>
      <c r="C385"/>
      <c r="D385"/>
      <c r="E385"/>
      <c r="F385"/>
      <c r="G385"/>
      <c r="H385"/>
      <c r="I385"/>
      <c r="J385"/>
      <c r="K385"/>
      <c r="L385"/>
      <c r="M385"/>
      <c r="N385"/>
      <c r="O385"/>
      <c r="P385"/>
      <c r="Q385"/>
      <c r="S385" s="4" t="str">
        <f t="shared" si="12"/>
        <v/>
      </c>
    </row>
    <row r="386" spans="1:19" s="3" customFormat="1" hidden="1" x14ac:dyDescent="0.45">
      <c r="A386" s="5" t="str">
        <f t="shared" si="14"/>
        <v/>
      </c>
      <c r="B386"/>
      <c r="C386"/>
      <c r="D386"/>
      <c r="E386"/>
      <c r="F386"/>
      <c r="G386"/>
      <c r="H386"/>
      <c r="I386"/>
      <c r="J386"/>
      <c r="K386"/>
      <c r="L386"/>
      <c r="M386"/>
      <c r="N386"/>
      <c r="O386"/>
      <c r="P386"/>
      <c r="Q386"/>
      <c r="S386" s="4" t="str">
        <f t="shared" si="12"/>
        <v/>
      </c>
    </row>
    <row r="387" spans="1:19" s="3" customFormat="1" hidden="1" x14ac:dyDescent="0.45">
      <c r="A387" s="5" t="str">
        <f t="shared" si="14"/>
        <v/>
      </c>
      <c r="B387"/>
      <c r="C387"/>
      <c r="D387"/>
      <c r="E387"/>
      <c r="F387"/>
      <c r="G387"/>
      <c r="H387"/>
      <c r="I387"/>
      <c r="J387"/>
      <c r="K387"/>
      <c r="L387"/>
      <c r="M387"/>
      <c r="N387"/>
      <c r="O387"/>
      <c r="P387"/>
      <c r="Q387"/>
      <c r="S387" s="4" t="str">
        <f t="shared" si="12"/>
        <v/>
      </c>
    </row>
    <row r="388" spans="1:19" s="3" customFormat="1" hidden="1" x14ac:dyDescent="0.45">
      <c r="A388" s="5" t="str">
        <f t="shared" si="14"/>
        <v/>
      </c>
      <c r="B388"/>
      <c r="C388"/>
      <c r="D388"/>
      <c r="E388"/>
      <c r="F388"/>
      <c r="G388"/>
      <c r="H388"/>
      <c r="I388"/>
      <c r="J388"/>
      <c r="K388"/>
      <c r="L388"/>
      <c r="M388"/>
      <c r="N388"/>
      <c r="O388"/>
      <c r="P388"/>
      <c r="Q388"/>
      <c r="S388" s="4" t="str">
        <f t="shared" si="12"/>
        <v/>
      </c>
    </row>
    <row r="389" spans="1:19" s="3" customFormat="1" hidden="1" x14ac:dyDescent="0.45">
      <c r="A389" s="5" t="str">
        <f t="shared" si="14"/>
        <v/>
      </c>
      <c r="B389"/>
      <c r="C389"/>
      <c r="D389"/>
      <c r="E389"/>
      <c r="F389"/>
      <c r="G389"/>
      <c r="H389"/>
      <c r="I389"/>
      <c r="J389"/>
      <c r="K389"/>
      <c r="L389"/>
      <c r="M389"/>
      <c r="N389"/>
      <c r="O389"/>
      <c r="P389"/>
      <c r="Q389"/>
      <c r="S389" s="4" t="str">
        <f t="shared" ref="S389:S452" si="15">IF(B389&lt;&gt;"","visible","")</f>
        <v/>
      </c>
    </row>
    <row r="390" spans="1:19" s="3" customFormat="1" hidden="1" x14ac:dyDescent="0.45">
      <c r="A390" s="5" t="str">
        <f t="shared" si="14"/>
        <v/>
      </c>
      <c r="B390"/>
      <c r="C390"/>
      <c r="D390"/>
      <c r="E390"/>
      <c r="F390"/>
      <c r="G390"/>
      <c r="H390"/>
      <c r="I390"/>
      <c r="J390"/>
      <c r="K390"/>
      <c r="L390"/>
      <c r="M390"/>
      <c r="N390"/>
      <c r="O390"/>
      <c r="P390"/>
      <c r="Q390"/>
      <c r="S390" s="4" t="str">
        <f t="shared" si="15"/>
        <v/>
      </c>
    </row>
    <row r="391" spans="1:19" s="3" customFormat="1" hidden="1" x14ac:dyDescent="0.45">
      <c r="A391" s="5" t="str">
        <f t="shared" si="14"/>
        <v/>
      </c>
      <c r="B391"/>
      <c r="C391"/>
      <c r="D391"/>
      <c r="E391"/>
      <c r="F391"/>
      <c r="G391"/>
      <c r="H391"/>
      <c r="I391"/>
      <c r="J391"/>
      <c r="K391"/>
      <c r="L391"/>
      <c r="M391"/>
      <c r="N391"/>
      <c r="O391"/>
      <c r="P391"/>
      <c r="Q391"/>
      <c r="S391" s="4" t="str">
        <f t="shared" si="15"/>
        <v/>
      </c>
    </row>
    <row r="392" spans="1:19" s="3" customFormat="1" hidden="1" x14ac:dyDescent="0.45">
      <c r="A392" s="5" t="str">
        <f t="shared" si="14"/>
        <v/>
      </c>
      <c r="B392"/>
      <c r="C392"/>
      <c r="D392"/>
      <c r="E392"/>
      <c r="F392"/>
      <c r="G392"/>
      <c r="H392"/>
      <c r="I392"/>
      <c r="J392"/>
      <c r="K392"/>
      <c r="L392"/>
      <c r="M392"/>
      <c r="N392"/>
      <c r="O392"/>
      <c r="P392"/>
      <c r="Q392"/>
      <c r="S392" s="4" t="str">
        <f t="shared" si="15"/>
        <v/>
      </c>
    </row>
    <row r="393" spans="1:19" s="3" customFormat="1" ht="13.9" hidden="1" x14ac:dyDescent="0.4">
      <c r="A393" s="5" t="str">
        <f t="shared" si="14"/>
        <v/>
      </c>
      <c r="F393" s="16"/>
      <c r="G393" s="17"/>
      <c r="H393" s="17"/>
      <c r="I393" s="17"/>
      <c r="J393" s="17"/>
      <c r="S393" s="4" t="str">
        <f t="shared" si="15"/>
        <v/>
      </c>
    </row>
    <row r="394" spans="1:19" s="3" customFormat="1" ht="13.9" hidden="1" x14ac:dyDescent="0.4">
      <c r="A394" s="5" t="str">
        <f t="shared" si="14"/>
        <v/>
      </c>
      <c r="F394" s="16"/>
      <c r="G394" s="17"/>
      <c r="H394" s="17"/>
      <c r="I394" s="17"/>
      <c r="J394" s="17"/>
      <c r="S394" s="4" t="str">
        <f t="shared" si="15"/>
        <v/>
      </c>
    </row>
    <row r="395" spans="1:19" s="3" customFormat="1" ht="13.9" hidden="1" x14ac:dyDescent="0.4">
      <c r="A395" s="5" t="str">
        <f t="shared" si="14"/>
        <v/>
      </c>
      <c r="F395" s="16"/>
      <c r="G395" s="17"/>
      <c r="H395" s="17"/>
      <c r="I395" s="17"/>
      <c r="J395" s="17"/>
      <c r="S395" s="4" t="str">
        <f t="shared" si="15"/>
        <v/>
      </c>
    </row>
    <row r="396" spans="1:19" s="3" customFormat="1" ht="13.9" hidden="1" x14ac:dyDescent="0.4">
      <c r="A396" s="5" t="str">
        <f t="shared" si="14"/>
        <v/>
      </c>
      <c r="F396" s="16"/>
      <c r="G396" s="17"/>
      <c r="H396" s="17"/>
      <c r="I396" s="17"/>
      <c r="J396" s="17"/>
      <c r="S396" s="4" t="str">
        <f t="shared" si="15"/>
        <v/>
      </c>
    </row>
    <row r="397" spans="1:19" s="3" customFormat="1" ht="13.9" hidden="1" x14ac:dyDescent="0.4">
      <c r="A397" s="5" t="str">
        <f t="shared" si="14"/>
        <v/>
      </c>
      <c r="F397" s="16"/>
      <c r="G397" s="17"/>
      <c r="H397" s="17"/>
      <c r="I397" s="17"/>
      <c r="J397" s="17"/>
      <c r="S397" s="4" t="str">
        <f t="shared" si="15"/>
        <v/>
      </c>
    </row>
    <row r="398" spans="1:19" s="3" customFormat="1" ht="13.9" hidden="1" x14ac:dyDescent="0.4">
      <c r="A398" s="5" t="str">
        <f t="shared" si="14"/>
        <v/>
      </c>
      <c r="F398" s="16"/>
      <c r="G398" s="17"/>
      <c r="H398" s="17"/>
      <c r="I398" s="17"/>
      <c r="J398" s="17"/>
      <c r="S398" s="4" t="str">
        <f t="shared" si="15"/>
        <v/>
      </c>
    </row>
    <row r="399" spans="1:19" s="3" customFormat="1" ht="13.9" hidden="1" x14ac:dyDescent="0.4">
      <c r="A399" s="5" t="str">
        <f t="shared" si="14"/>
        <v/>
      </c>
      <c r="F399" s="16"/>
      <c r="G399" s="17"/>
      <c r="H399" s="17"/>
      <c r="I399" s="17"/>
      <c r="J399" s="17"/>
      <c r="S399" s="4" t="str">
        <f t="shared" si="15"/>
        <v/>
      </c>
    </row>
    <row r="400" spans="1:19" s="3" customFormat="1" ht="13.9" hidden="1" x14ac:dyDescent="0.4">
      <c r="A400" s="5" t="str">
        <f t="shared" si="14"/>
        <v/>
      </c>
      <c r="F400" s="16"/>
      <c r="G400" s="17"/>
      <c r="H400" s="17"/>
      <c r="I400" s="17"/>
      <c r="J400" s="17"/>
      <c r="S400" s="4" t="str">
        <f t="shared" si="15"/>
        <v/>
      </c>
    </row>
    <row r="401" spans="1:19" s="3" customFormat="1" ht="13.9" hidden="1" x14ac:dyDescent="0.4">
      <c r="A401" s="5" t="str">
        <f t="shared" si="14"/>
        <v/>
      </c>
      <c r="F401" s="16"/>
      <c r="G401" s="17"/>
      <c r="H401" s="17"/>
      <c r="I401" s="17"/>
      <c r="J401" s="17"/>
      <c r="S401" s="4" t="str">
        <f t="shared" si="15"/>
        <v/>
      </c>
    </row>
    <row r="402" spans="1:19" s="3" customFormat="1" x14ac:dyDescent="0.45">
      <c r="A402" s="123"/>
      <c r="B402" s="157" t="s">
        <v>136</v>
      </c>
      <c r="C402" s="124"/>
      <c r="D402" s="124"/>
      <c r="E402" s="124"/>
      <c r="F402" s="124"/>
      <c r="G402" s="124"/>
      <c r="H402" s="124"/>
      <c r="I402" s="124"/>
      <c r="J402" s="124"/>
      <c r="K402" s="124"/>
      <c r="L402" s="124"/>
      <c r="M402" s="124"/>
      <c r="N402" s="124"/>
      <c r="O402" s="124"/>
      <c r="P402" s="124"/>
      <c r="Q402" s="124"/>
      <c r="S402" s="4" t="str">
        <f t="shared" si="15"/>
        <v>visible</v>
      </c>
    </row>
    <row r="403" spans="1:19" x14ac:dyDescent="0.45">
      <c r="A403" s="138"/>
      <c r="B403" s="197" t="s">
        <v>631</v>
      </c>
      <c r="C403" s="198" t="s">
        <v>630</v>
      </c>
      <c r="D403" s="125"/>
      <c r="E403" s="125"/>
      <c r="F403" s="126"/>
      <c r="G403" s="126"/>
      <c r="H403" s="127"/>
      <c r="I403" s="127"/>
      <c r="J403" s="128"/>
      <c r="K403" s="129"/>
      <c r="L403" s="129"/>
      <c r="M403" s="128"/>
      <c r="N403" s="128"/>
      <c r="O403" s="128"/>
      <c r="P403" s="127"/>
      <c r="Q403" s="125"/>
      <c r="S403" s="4" t="str">
        <f t="shared" si="15"/>
        <v>visible</v>
      </c>
    </row>
    <row r="404" spans="1:19" s="3" customFormat="1" ht="13.9" hidden="1" x14ac:dyDescent="0.4">
      <c r="A404" s="133"/>
      <c r="S404" s="4" t="str">
        <f t="shared" si="15"/>
        <v/>
      </c>
    </row>
    <row r="405" spans="1:19" ht="13.9" x14ac:dyDescent="0.4">
      <c r="A405" s="133"/>
      <c r="B405" s="198" t="s">
        <v>5</v>
      </c>
      <c r="C405" s="198" t="s">
        <v>7</v>
      </c>
      <c r="D405" s="198" t="s">
        <v>23</v>
      </c>
      <c r="E405" s="198" t="s">
        <v>14</v>
      </c>
      <c r="F405" s="198" t="s">
        <v>135</v>
      </c>
      <c r="G405" s="198" t="s">
        <v>259</v>
      </c>
      <c r="H405" s="198" t="s">
        <v>247</v>
      </c>
      <c r="I405" s="199" t="s">
        <v>261</v>
      </c>
      <c r="J405" s="199" t="s">
        <v>234</v>
      </c>
      <c r="K405" s="199" t="s">
        <v>235</v>
      </c>
      <c r="L405" s="199" t="s">
        <v>236</v>
      </c>
      <c r="M405" s="199" t="s">
        <v>237</v>
      </c>
      <c r="N405" s="199" t="s">
        <v>238</v>
      </c>
      <c r="O405" s="199" t="s">
        <v>143</v>
      </c>
      <c r="P405" s="199" t="s">
        <v>142</v>
      </c>
      <c r="Q405" s="199" t="s">
        <v>239</v>
      </c>
      <c r="S405" s="4" t="str">
        <f t="shared" si="15"/>
        <v>visible</v>
      </c>
    </row>
    <row r="406" spans="1:19" ht="13.9" x14ac:dyDescent="0.4">
      <c r="A406" s="132">
        <f t="shared" ref="A406:A427" si="16">IF(S406 ="visible",IF(B406 = "Total","",A405+1),"")</f>
        <v>1</v>
      </c>
      <c r="B406" s="198" t="s">
        <v>180</v>
      </c>
      <c r="C406" s="198" t="s">
        <v>97</v>
      </c>
      <c r="D406" s="198" t="s">
        <v>0</v>
      </c>
      <c r="E406" s="198" t="s">
        <v>181</v>
      </c>
      <c r="F406" s="199">
        <v>66000</v>
      </c>
      <c r="G406" s="199">
        <v>35000</v>
      </c>
      <c r="H406" s="209">
        <v>0.25</v>
      </c>
      <c r="I406" s="199">
        <v>8750</v>
      </c>
      <c r="J406" s="199"/>
      <c r="K406" s="199"/>
      <c r="L406" s="199"/>
      <c r="M406" s="199"/>
      <c r="N406" s="199"/>
      <c r="O406" s="199">
        <v>1750</v>
      </c>
      <c r="P406" s="199">
        <v>5000</v>
      </c>
      <c r="Q406" s="199">
        <v>6750</v>
      </c>
      <c r="S406" s="4" t="str">
        <f t="shared" si="15"/>
        <v>visible</v>
      </c>
    </row>
    <row r="407" spans="1:19" ht="13.9" x14ac:dyDescent="0.4">
      <c r="A407" s="132">
        <f t="shared" si="16"/>
        <v>2</v>
      </c>
      <c r="B407" s="198" t="s">
        <v>188</v>
      </c>
      <c r="C407" s="198" t="s">
        <v>1</v>
      </c>
      <c r="D407" s="198" t="s">
        <v>0</v>
      </c>
      <c r="E407" s="198" t="s">
        <v>399</v>
      </c>
      <c r="F407" s="199">
        <v>0</v>
      </c>
      <c r="G407" s="199">
        <v>0</v>
      </c>
      <c r="H407" s="209"/>
      <c r="I407" s="199">
        <v>0</v>
      </c>
      <c r="J407" s="199"/>
      <c r="K407" s="199"/>
      <c r="L407" s="199"/>
      <c r="M407" s="199"/>
      <c r="N407" s="199"/>
      <c r="O407" s="199">
        <v>0</v>
      </c>
      <c r="P407" s="199">
        <v>0</v>
      </c>
      <c r="Q407" s="199">
        <v>0</v>
      </c>
      <c r="S407" s="4" t="str">
        <f t="shared" si="15"/>
        <v>visible</v>
      </c>
    </row>
    <row r="408" spans="1:19" ht="13.9" x14ac:dyDescent="0.4">
      <c r="A408" s="123">
        <f t="shared" si="16"/>
        <v>3</v>
      </c>
      <c r="B408" s="198" t="s">
        <v>281</v>
      </c>
      <c r="C408" s="198" t="s">
        <v>1</v>
      </c>
      <c r="D408" s="198" t="s">
        <v>0</v>
      </c>
      <c r="E408" s="198" t="s">
        <v>691</v>
      </c>
      <c r="F408" s="199">
        <v>215000</v>
      </c>
      <c r="G408" s="199">
        <v>215000</v>
      </c>
      <c r="H408" s="209">
        <v>0.25</v>
      </c>
      <c r="I408" s="199">
        <v>53750</v>
      </c>
      <c r="J408" s="199"/>
      <c r="K408" s="199"/>
      <c r="L408" s="199"/>
      <c r="M408" s="199"/>
      <c r="N408" s="199"/>
      <c r="O408" s="199">
        <v>10750</v>
      </c>
      <c r="P408" s="199">
        <v>0</v>
      </c>
      <c r="Q408" s="199">
        <v>10750</v>
      </c>
      <c r="S408" s="4" t="str">
        <f t="shared" si="15"/>
        <v>visible</v>
      </c>
    </row>
    <row r="409" spans="1:19" ht="13.9" x14ac:dyDescent="0.4">
      <c r="A409" s="5">
        <f t="shared" si="16"/>
        <v>4</v>
      </c>
      <c r="B409" s="198" t="s">
        <v>488</v>
      </c>
      <c r="C409" s="198" t="s">
        <v>1</v>
      </c>
      <c r="D409" s="198" t="s">
        <v>0</v>
      </c>
      <c r="E409" s="198" t="s">
        <v>179</v>
      </c>
      <c r="F409" s="199">
        <v>29000</v>
      </c>
      <c r="G409" s="199">
        <v>29000</v>
      </c>
      <c r="H409" s="209">
        <v>0.05</v>
      </c>
      <c r="I409" s="199">
        <v>1450</v>
      </c>
      <c r="J409" s="199"/>
      <c r="K409" s="199"/>
      <c r="L409" s="199"/>
      <c r="M409" s="199"/>
      <c r="N409" s="199"/>
      <c r="O409" s="199">
        <v>290</v>
      </c>
      <c r="P409" s="199"/>
      <c r="Q409" s="199">
        <v>290</v>
      </c>
      <c r="S409" s="4" t="str">
        <f t="shared" si="15"/>
        <v>visible</v>
      </c>
    </row>
    <row r="410" spans="1:19" ht="13.9" x14ac:dyDescent="0.4">
      <c r="A410" s="5">
        <f t="shared" si="16"/>
        <v>5</v>
      </c>
      <c r="B410" s="198" t="s">
        <v>633</v>
      </c>
      <c r="C410" s="198" t="s">
        <v>1</v>
      </c>
      <c r="D410" s="198" t="s">
        <v>0</v>
      </c>
      <c r="E410" s="198" t="s">
        <v>159</v>
      </c>
      <c r="F410" s="199">
        <v>0</v>
      </c>
      <c r="G410" s="199">
        <v>0</v>
      </c>
      <c r="H410" s="209"/>
      <c r="I410" s="199">
        <v>0</v>
      </c>
      <c r="J410" s="199"/>
      <c r="K410" s="199"/>
      <c r="L410" s="199"/>
      <c r="M410" s="199"/>
      <c r="N410" s="199"/>
      <c r="O410" s="199">
        <v>0</v>
      </c>
      <c r="P410" s="199"/>
      <c r="Q410" s="199">
        <v>0</v>
      </c>
      <c r="S410" s="4" t="str">
        <f t="shared" si="15"/>
        <v>visible</v>
      </c>
    </row>
    <row r="411" spans="1:19" s="3" customFormat="1" ht="13.9" x14ac:dyDescent="0.4">
      <c r="A411" s="5" t="str">
        <f t="shared" si="16"/>
        <v/>
      </c>
      <c r="B411" s="198" t="s">
        <v>429</v>
      </c>
      <c r="C411" s="198"/>
      <c r="D411" s="198"/>
      <c r="E411" s="198"/>
      <c r="F411" s="199">
        <v>310000</v>
      </c>
      <c r="G411" s="199">
        <v>279000</v>
      </c>
      <c r="H411" s="210">
        <v>0.18333333333333335</v>
      </c>
      <c r="I411" s="199">
        <v>63950</v>
      </c>
      <c r="J411" s="199"/>
      <c r="K411" s="199"/>
      <c r="L411" s="199"/>
      <c r="M411" s="199"/>
      <c r="N411" s="199"/>
      <c r="O411" s="199">
        <v>12790</v>
      </c>
      <c r="P411" s="199">
        <v>5000</v>
      </c>
      <c r="Q411" s="199">
        <v>17790</v>
      </c>
      <c r="S411" s="4" t="str">
        <f t="shared" si="15"/>
        <v>visible</v>
      </c>
    </row>
    <row r="412" spans="1:19" s="3" customFormat="1" hidden="1" x14ac:dyDescent="0.45">
      <c r="A412" s="5" t="str">
        <f t="shared" si="16"/>
        <v/>
      </c>
      <c r="B412"/>
      <c r="C412"/>
      <c r="D412"/>
      <c r="E412"/>
      <c r="F412"/>
      <c r="G412"/>
      <c r="H412"/>
      <c r="I412"/>
      <c r="J412"/>
      <c r="K412"/>
      <c r="L412"/>
      <c r="M412"/>
      <c r="N412"/>
      <c r="O412"/>
      <c r="P412"/>
      <c r="Q412"/>
      <c r="S412" s="4" t="str">
        <f t="shared" si="15"/>
        <v/>
      </c>
    </row>
    <row r="413" spans="1:19" s="3" customFormat="1" hidden="1" x14ac:dyDescent="0.45">
      <c r="A413" s="5" t="str">
        <f t="shared" si="16"/>
        <v/>
      </c>
      <c r="B413"/>
      <c r="C413"/>
      <c r="D413"/>
      <c r="E413"/>
      <c r="F413"/>
      <c r="G413"/>
      <c r="H413"/>
      <c r="I413"/>
      <c r="J413"/>
      <c r="K413"/>
      <c r="L413"/>
      <c r="M413"/>
      <c r="N413"/>
      <c r="O413"/>
      <c r="P413"/>
      <c r="Q413"/>
      <c r="S413" s="4" t="str">
        <f t="shared" si="15"/>
        <v/>
      </c>
    </row>
    <row r="414" spans="1:19" s="3" customFormat="1" hidden="1" x14ac:dyDescent="0.45">
      <c r="A414" s="5" t="str">
        <f t="shared" si="16"/>
        <v/>
      </c>
      <c r="B414"/>
      <c r="C414"/>
      <c r="D414"/>
      <c r="E414"/>
      <c r="F414"/>
      <c r="G414"/>
      <c r="H414"/>
      <c r="I414"/>
      <c r="J414"/>
      <c r="K414"/>
      <c r="L414"/>
      <c r="M414"/>
      <c r="N414"/>
      <c r="O414"/>
      <c r="P414"/>
      <c r="Q414"/>
      <c r="S414" s="4" t="str">
        <f t="shared" si="15"/>
        <v/>
      </c>
    </row>
    <row r="415" spans="1:19" s="3" customFormat="1" hidden="1" x14ac:dyDescent="0.45">
      <c r="A415" s="5" t="str">
        <f t="shared" si="16"/>
        <v/>
      </c>
      <c r="B415"/>
      <c r="C415"/>
      <c r="D415"/>
      <c r="E415"/>
      <c r="F415"/>
      <c r="G415"/>
      <c r="H415"/>
      <c r="I415"/>
      <c r="J415"/>
      <c r="K415"/>
      <c r="L415"/>
      <c r="M415"/>
      <c r="N415"/>
      <c r="O415"/>
      <c r="P415"/>
      <c r="Q415"/>
      <c r="S415" s="4" t="str">
        <f t="shared" si="15"/>
        <v/>
      </c>
    </row>
    <row r="416" spans="1:19" s="3" customFormat="1" hidden="1" x14ac:dyDescent="0.45">
      <c r="A416" s="5" t="str">
        <f t="shared" si="16"/>
        <v/>
      </c>
      <c r="B416"/>
      <c r="C416"/>
      <c r="D416"/>
      <c r="E416"/>
      <c r="F416"/>
      <c r="G416"/>
      <c r="H416"/>
      <c r="I416"/>
      <c r="J416"/>
      <c r="K416"/>
      <c r="L416"/>
      <c r="M416"/>
      <c r="N416"/>
      <c r="O416"/>
      <c r="P416"/>
      <c r="Q416"/>
      <c r="S416" s="4" t="str">
        <f t="shared" si="15"/>
        <v/>
      </c>
    </row>
    <row r="417" spans="1:19" s="3" customFormat="1" hidden="1" x14ac:dyDescent="0.45">
      <c r="A417" s="5" t="str">
        <f t="shared" si="16"/>
        <v/>
      </c>
      <c r="B417"/>
      <c r="C417"/>
      <c r="D417"/>
      <c r="E417"/>
      <c r="F417"/>
      <c r="G417"/>
      <c r="H417"/>
      <c r="I417"/>
      <c r="J417"/>
      <c r="K417"/>
      <c r="L417"/>
      <c r="M417"/>
      <c r="N417"/>
      <c r="O417"/>
      <c r="P417"/>
      <c r="Q417"/>
      <c r="S417" s="4" t="str">
        <f t="shared" si="15"/>
        <v/>
      </c>
    </row>
    <row r="418" spans="1:19" s="3" customFormat="1" hidden="1" x14ac:dyDescent="0.45">
      <c r="A418" s="5" t="str">
        <f t="shared" si="16"/>
        <v/>
      </c>
      <c r="B418"/>
      <c r="C418"/>
      <c r="D418"/>
      <c r="E418"/>
      <c r="F418"/>
      <c r="G418"/>
      <c r="H418"/>
      <c r="I418"/>
      <c r="J418"/>
      <c r="K418"/>
      <c r="L418"/>
      <c r="M418"/>
      <c r="N418"/>
      <c r="O418"/>
      <c r="P418"/>
      <c r="Q418"/>
      <c r="S418" s="4" t="str">
        <f t="shared" si="15"/>
        <v/>
      </c>
    </row>
    <row r="419" spans="1:19" s="3" customFormat="1" ht="13.9" hidden="1" x14ac:dyDescent="0.4">
      <c r="A419" s="5" t="str">
        <f t="shared" si="16"/>
        <v/>
      </c>
      <c r="F419" s="16"/>
      <c r="G419" s="17"/>
      <c r="H419" s="17"/>
      <c r="I419" s="17"/>
      <c r="J419" s="17"/>
      <c r="S419" s="4" t="str">
        <f t="shared" si="15"/>
        <v/>
      </c>
    </row>
    <row r="420" spans="1:19" s="3" customFormat="1" ht="13.9" hidden="1" x14ac:dyDescent="0.4">
      <c r="A420" s="5" t="str">
        <f t="shared" si="16"/>
        <v/>
      </c>
      <c r="F420" s="16"/>
      <c r="G420" s="17"/>
      <c r="H420" s="17"/>
      <c r="I420" s="17"/>
      <c r="J420" s="17"/>
      <c r="S420" s="4" t="str">
        <f t="shared" si="15"/>
        <v/>
      </c>
    </row>
    <row r="421" spans="1:19" s="3" customFormat="1" ht="13.9" hidden="1" x14ac:dyDescent="0.4">
      <c r="A421" s="5" t="str">
        <f t="shared" si="16"/>
        <v/>
      </c>
      <c r="F421" s="16"/>
      <c r="G421" s="17"/>
      <c r="H421" s="17"/>
      <c r="I421" s="17"/>
      <c r="J421" s="17"/>
      <c r="S421" s="4" t="str">
        <f t="shared" si="15"/>
        <v/>
      </c>
    </row>
    <row r="422" spans="1:19" s="3" customFormat="1" ht="13.9" hidden="1" x14ac:dyDescent="0.4">
      <c r="A422" s="5" t="str">
        <f t="shared" si="16"/>
        <v/>
      </c>
      <c r="F422" s="16"/>
      <c r="G422" s="17"/>
      <c r="H422" s="17"/>
      <c r="I422" s="17"/>
      <c r="J422" s="17"/>
      <c r="S422" s="4" t="str">
        <f t="shared" si="15"/>
        <v/>
      </c>
    </row>
    <row r="423" spans="1:19" s="3" customFormat="1" ht="13.9" hidden="1" x14ac:dyDescent="0.4">
      <c r="A423" s="5" t="str">
        <f t="shared" si="16"/>
        <v/>
      </c>
      <c r="F423" s="16"/>
      <c r="G423" s="17"/>
      <c r="H423" s="17"/>
      <c r="I423" s="17"/>
      <c r="J423" s="17"/>
      <c r="S423" s="4" t="str">
        <f t="shared" si="15"/>
        <v/>
      </c>
    </row>
    <row r="424" spans="1:19" s="3" customFormat="1" ht="13.9" hidden="1" x14ac:dyDescent="0.4">
      <c r="A424" s="5" t="str">
        <f t="shared" si="16"/>
        <v/>
      </c>
      <c r="F424" s="16"/>
      <c r="G424" s="17"/>
      <c r="H424" s="17"/>
      <c r="I424" s="17"/>
      <c r="J424" s="17"/>
      <c r="S424" s="4" t="str">
        <f t="shared" si="15"/>
        <v/>
      </c>
    </row>
    <row r="425" spans="1:19" s="3" customFormat="1" ht="13.9" hidden="1" x14ac:dyDescent="0.4">
      <c r="A425" s="5" t="str">
        <f t="shared" si="16"/>
        <v/>
      </c>
      <c r="F425" s="16"/>
      <c r="G425" s="17"/>
      <c r="H425" s="17"/>
      <c r="I425" s="17"/>
      <c r="J425" s="17"/>
      <c r="S425" s="4" t="str">
        <f t="shared" si="15"/>
        <v/>
      </c>
    </row>
    <row r="426" spans="1:19" s="3" customFormat="1" ht="13.9" hidden="1" x14ac:dyDescent="0.4">
      <c r="A426" s="5" t="str">
        <f t="shared" si="16"/>
        <v/>
      </c>
      <c r="F426" s="16"/>
      <c r="G426" s="17"/>
      <c r="H426" s="17"/>
      <c r="I426" s="17"/>
      <c r="J426" s="17"/>
      <c r="S426" s="4" t="str">
        <f t="shared" si="15"/>
        <v/>
      </c>
    </row>
    <row r="427" spans="1:19" s="3" customFormat="1" ht="13.9" hidden="1" x14ac:dyDescent="0.4">
      <c r="A427" s="5" t="str">
        <f t="shared" si="16"/>
        <v/>
      </c>
      <c r="F427" s="16"/>
      <c r="G427" s="17"/>
      <c r="H427" s="17"/>
      <c r="I427" s="17"/>
      <c r="J427" s="17"/>
      <c r="S427" s="4" t="str">
        <f t="shared" si="15"/>
        <v/>
      </c>
    </row>
    <row r="428" spans="1:19" s="3" customFormat="1" ht="13.9" hidden="1" x14ac:dyDescent="0.4">
      <c r="A428" s="5"/>
      <c r="F428" s="16"/>
      <c r="G428" s="17"/>
      <c r="H428" s="17"/>
      <c r="I428" s="17"/>
      <c r="J428" s="17"/>
      <c r="S428" s="4" t="str">
        <f t="shared" si="15"/>
        <v/>
      </c>
    </row>
    <row r="429" spans="1:19" s="3" customFormat="1" ht="13.9" hidden="1" x14ac:dyDescent="0.4">
      <c r="A429" s="5"/>
      <c r="F429" s="16"/>
      <c r="G429" s="17"/>
      <c r="H429" s="17"/>
      <c r="I429" s="17"/>
      <c r="J429" s="17"/>
      <c r="S429" s="4" t="str">
        <f t="shared" si="15"/>
        <v/>
      </c>
    </row>
    <row r="430" spans="1:19" s="3" customFormat="1" ht="13.9" hidden="1" x14ac:dyDescent="0.4">
      <c r="A430" s="5"/>
      <c r="F430" s="16"/>
      <c r="G430" s="17"/>
      <c r="H430" s="17"/>
      <c r="I430" s="17"/>
      <c r="J430" s="17"/>
      <c r="S430" s="4" t="str">
        <f t="shared" si="15"/>
        <v/>
      </c>
    </row>
    <row r="431" spans="1:19" s="3" customFormat="1" ht="13.9" hidden="1" x14ac:dyDescent="0.4">
      <c r="A431" s="5"/>
      <c r="F431" s="16"/>
      <c r="G431" s="17"/>
      <c r="H431" s="17"/>
      <c r="I431" s="17"/>
      <c r="J431" s="17"/>
      <c r="S431" s="4" t="str">
        <f t="shared" si="15"/>
        <v/>
      </c>
    </row>
    <row r="432" spans="1:19" s="3" customFormat="1" ht="13.9" hidden="1" x14ac:dyDescent="0.4">
      <c r="A432" s="5"/>
      <c r="F432" s="16"/>
      <c r="G432" s="17"/>
      <c r="H432" s="17"/>
      <c r="I432" s="17"/>
      <c r="J432" s="17"/>
      <c r="S432" s="4" t="str">
        <f t="shared" si="15"/>
        <v/>
      </c>
    </row>
    <row r="433" spans="1:19" s="3" customFormat="1" ht="13.9" hidden="1" x14ac:dyDescent="0.4">
      <c r="A433" s="5"/>
      <c r="F433" s="16"/>
      <c r="G433" s="17"/>
      <c r="H433" s="17"/>
      <c r="I433" s="17"/>
      <c r="J433" s="17"/>
      <c r="S433" s="4" t="str">
        <f t="shared" si="15"/>
        <v/>
      </c>
    </row>
    <row r="434" spans="1:19" s="3" customFormat="1" ht="13.9" hidden="1" x14ac:dyDescent="0.4">
      <c r="A434" s="5"/>
      <c r="F434" s="16"/>
      <c r="G434" s="17"/>
      <c r="H434" s="17"/>
      <c r="I434" s="17"/>
      <c r="J434" s="17"/>
      <c r="S434" s="4" t="str">
        <f t="shared" si="15"/>
        <v/>
      </c>
    </row>
    <row r="435" spans="1:19" s="3" customFormat="1" ht="13.9" hidden="1" x14ac:dyDescent="0.4">
      <c r="A435" s="5"/>
      <c r="F435" s="16"/>
      <c r="G435" s="17"/>
      <c r="H435" s="17"/>
      <c r="I435" s="17"/>
      <c r="J435" s="17"/>
      <c r="S435" s="4" t="str">
        <f t="shared" si="15"/>
        <v/>
      </c>
    </row>
    <row r="436" spans="1:19" s="3" customFormat="1" ht="13.9" hidden="1" x14ac:dyDescent="0.4">
      <c r="A436" s="5"/>
      <c r="F436" s="16"/>
      <c r="G436" s="17"/>
      <c r="H436" s="17"/>
      <c r="I436" s="17"/>
      <c r="J436" s="17"/>
      <c r="S436" s="4" t="str">
        <f t="shared" si="15"/>
        <v/>
      </c>
    </row>
    <row r="437" spans="1:19" s="3" customFormat="1" ht="13.9" hidden="1" x14ac:dyDescent="0.4">
      <c r="A437" s="5"/>
      <c r="F437" s="16"/>
      <c r="G437" s="17"/>
      <c r="H437" s="17"/>
      <c r="I437" s="17"/>
      <c r="J437" s="17"/>
      <c r="S437" s="4" t="str">
        <f t="shared" si="15"/>
        <v/>
      </c>
    </row>
    <row r="438" spans="1:19" s="3" customFormat="1" ht="13.9" hidden="1" x14ac:dyDescent="0.4">
      <c r="A438" s="5"/>
      <c r="F438" s="16"/>
      <c r="G438" s="17"/>
      <c r="H438" s="17"/>
      <c r="I438" s="17"/>
      <c r="J438" s="17"/>
      <c r="S438" s="4" t="str">
        <f t="shared" si="15"/>
        <v/>
      </c>
    </row>
    <row r="439" spans="1:19" s="3" customFormat="1" ht="13.9" hidden="1" x14ac:dyDescent="0.4">
      <c r="A439" s="5"/>
      <c r="F439" s="16"/>
      <c r="G439" s="17"/>
      <c r="H439" s="17"/>
      <c r="I439" s="17"/>
      <c r="J439" s="17"/>
      <c r="S439" s="4" t="str">
        <f t="shared" si="15"/>
        <v/>
      </c>
    </row>
    <row r="440" spans="1:19" s="3" customFormat="1" ht="13.9" hidden="1" x14ac:dyDescent="0.4">
      <c r="A440" s="5"/>
      <c r="F440" s="16"/>
      <c r="G440" s="17"/>
      <c r="H440" s="17"/>
      <c r="I440" s="17"/>
      <c r="J440" s="17"/>
      <c r="S440" s="4" t="str">
        <f t="shared" si="15"/>
        <v/>
      </c>
    </row>
    <row r="441" spans="1:19" s="3" customFormat="1" ht="13.9" hidden="1" x14ac:dyDescent="0.4">
      <c r="A441" s="5"/>
      <c r="F441" s="16"/>
      <c r="G441" s="17"/>
      <c r="H441" s="17"/>
      <c r="I441" s="17"/>
      <c r="J441" s="17"/>
      <c r="S441" s="4" t="str">
        <f t="shared" si="15"/>
        <v/>
      </c>
    </row>
    <row r="442" spans="1:19" s="3" customFormat="1" ht="13.9" hidden="1" x14ac:dyDescent="0.4">
      <c r="A442" s="5"/>
      <c r="F442" s="16"/>
      <c r="G442" s="17"/>
      <c r="H442" s="17"/>
      <c r="I442" s="17"/>
      <c r="J442" s="17"/>
      <c r="S442" s="4" t="str">
        <f t="shared" si="15"/>
        <v/>
      </c>
    </row>
    <row r="443" spans="1:19" s="3" customFormat="1" ht="13.9" hidden="1" x14ac:dyDescent="0.4">
      <c r="A443" s="5"/>
      <c r="F443" s="16"/>
      <c r="G443" s="17"/>
      <c r="H443" s="17"/>
      <c r="I443" s="17"/>
      <c r="J443" s="17"/>
      <c r="S443" s="4" t="str">
        <f t="shared" si="15"/>
        <v/>
      </c>
    </row>
    <row r="444" spans="1:19" s="3" customFormat="1" ht="13.9" hidden="1" x14ac:dyDescent="0.4">
      <c r="A444" s="5"/>
      <c r="F444" s="16"/>
      <c r="G444" s="17"/>
      <c r="H444" s="17"/>
      <c r="I444" s="17"/>
      <c r="J444" s="17"/>
      <c r="S444" s="4" t="str">
        <f t="shared" si="15"/>
        <v/>
      </c>
    </row>
    <row r="445" spans="1:19" s="3" customFormat="1" ht="13.9" hidden="1" x14ac:dyDescent="0.4">
      <c r="A445" s="5"/>
      <c r="F445" s="16"/>
      <c r="G445" s="17"/>
      <c r="H445" s="17"/>
      <c r="I445" s="17"/>
      <c r="J445" s="17"/>
      <c r="S445" s="4" t="str">
        <f t="shared" si="15"/>
        <v/>
      </c>
    </row>
    <row r="446" spans="1:19" s="3" customFormat="1" ht="13.9" hidden="1" x14ac:dyDescent="0.4">
      <c r="A446" s="5"/>
      <c r="F446" s="16"/>
      <c r="G446" s="17"/>
      <c r="H446" s="17"/>
      <c r="I446" s="17"/>
      <c r="J446" s="17"/>
      <c r="S446" s="4" t="str">
        <f t="shared" si="15"/>
        <v/>
      </c>
    </row>
    <row r="447" spans="1:19" s="3" customFormat="1" ht="13.9" hidden="1" x14ac:dyDescent="0.4">
      <c r="A447" s="5"/>
      <c r="F447" s="16"/>
      <c r="G447" s="17"/>
      <c r="H447" s="17"/>
      <c r="I447" s="17"/>
      <c r="J447" s="17"/>
      <c r="S447" s="4" t="str">
        <f t="shared" si="15"/>
        <v/>
      </c>
    </row>
    <row r="448" spans="1:19" s="3" customFormat="1" ht="13.9" hidden="1" x14ac:dyDescent="0.4">
      <c r="A448" s="5"/>
      <c r="F448" s="16"/>
      <c r="G448" s="17"/>
      <c r="H448" s="17"/>
      <c r="I448" s="17"/>
      <c r="J448" s="17"/>
      <c r="S448" s="4" t="str">
        <f t="shared" si="15"/>
        <v/>
      </c>
    </row>
    <row r="449" spans="1:19" s="3" customFormat="1" ht="13.9" hidden="1" x14ac:dyDescent="0.4">
      <c r="A449" s="5"/>
      <c r="F449" s="16"/>
      <c r="G449" s="17"/>
      <c r="H449" s="17"/>
      <c r="I449" s="17"/>
      <c r="J449" s="17"/>
      <c r="S449" s="4" t="str">
        <f t="shared" si="15"/>
        <v/>
      </c>
    </row>
    <row r="450" spans="1:19" s="3" customFormat="1" ht="13.9" hidden="1" x14ac:dyDescent="0.4">
      <c r="A450" s="5"/>
      <c r="F450" s="16"/>
      <c r="G450" s="17"/>
      <c r="H450" s="17"/>
      <c r="I450" s="17"/>
      <c r="J450" s="17"/>
      <c r="S450" s="4" t="str">
        <f t="shared" si="15"/>
        <v/>
      </c>
    </row>
    <row r="451" spans="1:19" s="3" customFormat="1" ht="13.9" hidden="1" x14ac:dyDescent="0.4">
      <c r="A451" s="5"/>
      <c r="F451" s="16"/>
      <c r="G451" s="17"/>
      <c r="H451" s="17"/>
      <c r="I451" s="17"/>
      <c r="J451" s="17"/>
      <c r="S451" s="4" t="str">
        <f t="shared" si="15"/>
        <v/>
      </c>
    </row>
    <row r="452" spans="1:19" s="3" customFormat="1" ht="13.9" hidden="1" x14ac:dyDescent="0.4">
      <c r="A452" s="5"/>
      <c r="F452" s="16"/>
      <c r="G452" s="17"/>
      <c r="H452" s="17"/>
      <c r="I452" s="17"/>
      <c r="J452" s="17"/>
      <c r="S452" s="4" t="str">
        <f t="shared" si="15"/>
        <v/>
      </c>
    </row>
    <row r="453" spans="1:19" s="3" customFormat="1" ht="13.9" hidden="1" x14ac:dyDescent="0.4">
      <c r="A453" s="5"/>
      <c r="F453" s="16"/>
      <c r="G453" s="17"/>
      <c r="H453" s="17"/>
      <c r="I453" s="17"/>
      <c r="J453" s="17"/>
      <c r="S453" s="4" t="str">
        <f t="shared" ref="S453:S516" si="17">IF(B453&lt;&gt;"","visible","")</f>
        <v/>
      </c>
    </row>
    <row r="454" spans="1:19" s="3" customFormat="1" ht="13.9" hidden="1" x14ac:dyDescent="0.4">
      <c r="A454" s="5"/>
      <c r="F454" s="16"/>
      <c r="G454" s="17"/>
      <c r="H454" s="17"/>
      <c r="I454" s="17"/>
      <c r="J454" s="17"/>
      <c r="S454" s="4" t="str">
        <f t="shared" si="17"/>
        <v/>
      </c>
    </row>
    <row r="455" spans="1:19" s="3" customFormat="1" ht="13.9" hidden="1" x14ac:dyDescent="0.4">
      <c r="A455" s="5"/>
      <c r="F455" s="16"/>
      <c r="G455" s="17"/>
      <c r="H455" s="17"/>
      <c r="I455" s="17"/>
      <c r="J455" s="17"/>
      <c r="S455" s="4" t="str">
        <f t="shared" si="17"/>
        <v/>
      </c>
    </row>
    <row r="456" spans="1:19" s="3" customFormat="1" ht="13.9" hidden="1" x14ac:dyDescent="0.4">
      <c r="A456" s="5"/>
      <c r="F456" s="16"/>
      <c r="G456" s="17"/>
      <c r="H456" s="17"/>
      <c r="I456" s="17"/>
      <c r="J456" s="17"/>
      <c r="S456" s="4" t="str">
        <f t="shared" si="17"/>
        <v/>
      </c>
    </row>
    <row r="457" spans="1:19" s="3" customFormat="1" ht="13.9" hidden="1" x14ac:dyDescent="0.4">
      <c r="A457" s="5"/>
      <c r="F457" s="16"/>
      <c r="G457" s="17"/>
      <c r="H457" s="17"/>
      <c r="I457" s="17"/>
      <c r="J457" s="17"/>
      <c r="S457" s="4" t="str">
        <f t="shared" si="17"/>
        <v/>
      </c>
    </row>
    <row r="458" spans="1:19" s="3" customFormat="1" ht="13.9" hidden="1" x14ac:dyDescent="0.4">
      <c r="A458" s="5"/>
      <c r="F458" s="16"/>
      <c r="G458" s="17"/>
      <c r="H458" s="17"/>
      <c r="I458" s="17"/>
      <c r="J458" s="17"/>
      <c r="S458" s="4" t="str">
        <f t="shared" si="17"/>
        <v/>
      </c>
    </row>
    <row r="459" spans="1:19" s="3" customFormat="1" ht="13.9" hidden="1" x14ac:dyDescent="0.4">
      <c r="A459" s="5"/>
      <c r="F459" s="16"/>
      <c r="G459" s="17"/>
      <c r="H459" s="17"/>
      <c r="I459" s="17"/>
      <c r="J459" s="17"/>
      <c r="S459" s="4" t="str">
        <f t="shared" si="17"/>
        <v/>
      </c>
    </row>
    <row r="460" spans="1:19" s="3" customFormat="1" ht="13.9" hidden="1" x14ac:dyDescent="0.4">
      <c r="A460" s="5"/>
      <c r="F460" s="16"/>
      <c r="G460" s="17"/>
      <c r="H460" s="17"/>
      <c r="I460" s="17"/>
      <c r="J460" s="17"/>
      <c r="S460" s="4" t="str">
        <f t="shared" si="17"/>
        <v/>
      </c>
    </row>
    <row r="461" spans="1:19" s="3" customFormat="1" ht="13.9" hidden="1" x14ac:dyDescent="0.4">
      <c r="A461" s="5"/>
      <c r="F461" s="16"/>
      <c r="G461" s="17"/>
      <c r="H461" s="17"/>
      <c r="I461" s="17"/>
      <c r="J461" s="17"/>
      <c r="S461" s="4" t="str">
        <f t="shared" si="17"/>
        <v/>
      </c>
    </row>
    <row r="462" spans="1:19" s="3" customFormat="1" ht="13.9" hidden="1" x14ac:dyDescent="0.4">
      <c r="A462" s="5"/>
      <c r="F462" s="16"/>
      <c r="G462" s="17"/>
      <c r="H462" s="17"/>
      <c r="I462" s="17"/>
      <c r="J462" s="17"/>
      <c r="S462" s="4" t="str">
        <f t="shared" si="17"/>
        <v/>
      </c>
    </row>
    <row r="463" spans="1:19" s="3" customFormat="1" ht="13.9" hidden="1" x14ac:dyDescent="0.4">
      <c r="A463" s="5"/>
      <c r="F463" s="16"/>
      <c r="G463" s="17"/>
      <c r="H463" s="17"/>
      <c r="I463" s="17"/>
      <c r="J463" s="17"/>
      <c r="S463" s="4" t="str">
        <f t="shared" si="17"/>
        <v/>
      </c>
    </row>
    <row r="464" spans="1:19" s="3" customFormat="1" ht="13.9" hidden="1" x14ac:dyDescent="0.4">
      <c r="A464" s="5"/>
      <c r="F464" s="16"/>
      <c r="G464" s="17"/>
      <c r="H464" s="17"/>
      <c r="I464" s="17"/>
      <c r="J464" s="17"/>
      <c r="S464" s="4" t="str">
        <f t="shared" si="17"/>
        <v/>
      </c>
    </row>
    <row r="465" spans="1:19" s="3" customFormat="1" ht="13.9" hidden="1" x14ac:dyDescent="0.4">
      <c r="A465" s="5"/>
      <c r="F465" s="16"/>
      <c r="G465" s="17"/>
      <c r="H465" s="17"/>
      <c r="I465" s="17"/>
      <c r="J465" s="17"/>
      <c r="S465" s="4" t="str">
        <f t="shared" si="17"/>
        <v/>
      </c>
    </row>
    <row r="466" spans="1:19" s="3" customFormat="1" ht="13.9" hidden="1" x14ac:dyDescent="0.4">
      <c r="A466" s="5"/>
      <c r="F466" s="16"/>
      <c r="G466" s="17"/>
      <c r="H466" s="17"/>
      <c r="I466" s="17"/>
      <c r="J466" s="17"/>
      <c r="S466" s="4" t="str">
        <f t="shared" si="17"/>
        <v/>
      </c>
    </row>
    <row r="467" spans="1:19" s="3" customFormat="1" ht="13.9" hidden="1" x14ac:dyDescent="0.4">
      <c r="A467" s="5"/>
      <c r="F467" s="16"/>
      <c r="G467" s="17"/>
      <c r="H467" s="17"/>
      <c r="I467" s="17"/>
      <c r="J467" s="17"/>
      <c r="S467" s="4" t="str">
        <f t="shared" si="17"/>
        <v/>
      </c>
    </row>
    <row r="468" spans="1:19" s="3" customFormat="1" ht="13.9" hidden="1" x14ac:dyDescent="0.4">
      <c r="A468" s="5"/>
      <c r="F468" s="16"/>
      <c r="G468" s="17"/>
      <c r="H468" s="17"/>
      <c r="I468" s="17"/>
      <c r="J468" s="17"/>
      <c r="S468" s="4" t="str">
        <f t="shared" si="17"/>
        <v/>
      </c>
    </row>
    <row r="469" spans="1:19" s="3" customFormat="1" ht="13.9" hidden="1" x14ac:dyDescent="0.4">
      <c r="A469" s="5"/>
      <c r="F469" s="16"/>
      <c r="G469" s="17"/>
      <c r="H469" s="17"/>
      <c r="I469" s="17"/>
      <c r="J469" s="17"/>
      <c r="S469" s="4" t="str">
        <f t="shared" si="17"/>
        <v/>
      </c>
    </row>
    <row r="470" spans="1:19" s="3" customFormat="1" ht="13.9" hidden="1" x14ac:dyDescent="0.4">
      <c r="A470" s="5"/>
      <c r="F470" s="16"/>
      <c r="G470" s="17"/>
      <c r="H470" s="17"/>
      <c r="I470" s="17"/>
      <c r="J470" s="17"/>
      <c r="S470" s="4" t="str">
        <f t="shared" si="17"/>
        <v/>
      </c>
    </row>
    <row r="471" spans="1:19" s="3" customFormat="1" ht="13.9" hidden="1" x14ac:dyDescent="0.4">
      <c r="A471" s="5"/>
      <c r="F471" s="16"/>
      <c r="G471" s="17"/>
      <c r="H471" s="17"/>
      <c r="I471" s="17"/>
      <c r="J471" s="17"/>
      <c r="S471" s="4" t="str">
        <f t="shared" si="17"/>
        <v/>
      </c>
    </row>
    <row r="472" spans="1:19" s="3" customFormat="1" ht="13.9" hidden="1" x14ac:dyDescent="0.4">
      <c r="A472" s="5"/>
      <c r="F472" s="16"/>
      <c r="G472" s="17"/>
      <c r="H472" s="17"/>
      <c r="I472" s="17"/>
      <c r="J472" s="17"/>
      <c r="S472" s="4" t="str">
        <f t="shared" si="17"/>
        <v/>
      </c>
    </row>
    <row r="473" spans="1:19" s="3" customFormat="1" ht="13.9" hidden="1" x14ac:dyDescent="0.4">
      <c r="A473" s="5"/>
      <c r="F473" s="16"/>
      <c r="G473" s="17"/>
      <c r="H473" s="17"/>
      <c r="I473" s="17"/>
      <c r="J473" s="17"/>
      <c r="S473" s="4" t="str">
        <f t="shared" si="17"/>
        <v/>
      </c>
    </row>
    <row r="474" spans="1:19" s="3" customFormat="1" ht="13.9" hidden="1" x14ac:dyDescent="0.4">
      <c r="A474" s="5"/>
      <c r="F474" s="16"/>
      <c r="G474" s="17"/>
      <c r="H474" s="17"/>
      <c r="I474" s="17"/>
      <c r="J474" s="17"/>
      <c r="S474" s="4" t="str">
        <f t="shared" si="17"/>
        <v/>
      </c>
    </row>
    <row r="475" spans="1:19" s="3" customFormat="1" ht="13.9" hidden="1" x14ac:dyDescent="0.4">
      <c r="A475" s="5"/>
      <c r="F475" s="16"/>
      <c r="G475" s="17"/>
      <c r="H475" s="17"/>
      <c r="I475" s="17"/>
      <c r="J475" s="17"/>
      <c r="S475" s="4" t="str">
        <f t="shared" si="17"/>
        <v/>
      </c>
    </row>
    <row r="476" spans="1:19" s="3" customFormat="1" ht="13.9" hidden="1" x14ac:dyDescent="0.4">
      <c r="A476" s="5"/>
      <c r="F476" s="16"/>
      <c r="G476" s="17"/>
      <c r="H476" s="17"/>
      <c r="I476" s="17"/>
      <c r="J476" s="17"/>
      <c r="S476" s="4" t="str">
        <f t="shared" si="17"/>
        <v/>
      </c>
    </row>
    <row r="477" spans="1:19" s="3" customFormat="1" ht="13.9" hidden="1" x14ac:dyDescent="0.4">
      <c r="A477" s="5"/>
      <c r="F477" s="16"/>
      <c r="G477" s="17"/>
      <c r="H477" s="17"/>
      <c r="I477" s="17"/>
      <c r="J477" s="17"/>
      <c r="S477" s="4" t="str">
        <f t="shared" si="17"/>
        <v/>
      </c>
    </row>
    <row r="478" spans="1:19" s="3" customFormat="1" ht="13.9" hidden="1" x14ac:dyDescent="0.4">
      <c r="A478" s="5"/>
      <c r="F478" s="16"/>
      <c r="G478" s="17"/>
      <c r="H478" s="17"/>
      <c r="I478" s="17"/>
      <c r="J478" s="17"/>
      <c r="S478" s="4" t="str">
        <f t="shared" si="17"/>
        <v/>
      </c>
    </row>
    <row r="479" spans="1:19" s="3" customFormat="1" ht="13.9" hidden="1" x14ac:dyDescent="0.4">
      <c r="A479" s="5" t="str">
        <f>IF(S479 ="visible",IF(B479 = "Total","",A427+1),"")</f>
        <v/>
      </c>
      <c r="F479" s="16"/>
      <c r="G479" s="17"/>
      <c r="H479" s="17"/>
      <c r="I479" s="17"/>
      <c r="J479" s="17"/>
      <c r="S479" s="4" t="str">
        <f t="shared" si="17"/>
        <v/>
      </c>
    </row>
    <row r="480" spans="1:19" s="3" customFormat="1" ht="13.9" hidden="1" x14ac:dyDescent="0.4">
      <c r="A480" s="5" t="str">
        <f t="shared" ref="A480:A500" si="18">IF(S480 ="visible",IF(B480 = "Total","",A479+1),"")</f>
        <v/>
      </c>
      <c r="F480" s="16"/>
      <c r="G480" s="17"/>
      <c r="H480" s="17"/>
      <c r="I480" s="17"/>
      <c r="J480" s="17"/>
      <c r="S480" s="4" t="str">
        <f t="shared" si="17"/>
        <v/>
      </c>
    </row>
    <row r="481" spans="1:19" s="3" customFormat="1" ht="13.9" hidden="1" x14ac:dyDescent="0.4">
      <c r="A481" s="5" t="str">
        <f t="shared" si="18"/>
        <v/>
      </c>
      <c r="F481" s="16"/>
      <c r="G481" s="17"/>
      <c r="H481" s="17"/>
      <c r="I481" s="17"/>
      <c r="J481" s="17"/>
      <c r="S481" s="4" t="str">
        <f t="shared" si="17"/>
        <v/>
      </c>
    </row>
    <row r="482" spans="1:19" s="3" customFormat="1" ht="13.9" hidden="1" x14ac:dyDescent="0.4">
      <c r="A482" s="5" t="str">
        <f t="shared" si="18"/>
        <v/>
      </c>
      <c r="F482" s="16"/>
      <c r="G482" s="17"/>
      <c r="H482" s="17"/>
      <c r="I482" s="17"/>
      <c r="J482" s="17"/>
      <c r="S482" s="4" t="str">
        <f t="shared" si="17"/>
        <v/>
      </c>
    </row>
    <row r="483" spans="1:19" s="3" customFormat="1" ht="13.9" hidden="1" x14ac:dyDescent="0.4">
      <c r="A483" s="5" t="str">
        <f t="shared" si="18"/>
        <v/>
      </c>
      <c r="F483" s="16"/>
      <c r="G483" s="17"/>
      <c r="H483" s="17"/>
      <c r="I483" s="17"/>
      <c r="J483" s="17"/>
      <c r="S483" s="4" t="str">
        <f t="shared" si="17"/>
        <v/>
      </c>
    </row>
    <row r="484" spans="1:19" s="3" customFormat="1" ht="13.9" hidden="1" x14ac:dyDescent="0.4">
      <c r="A484" s="5" t="str">
        <f t="shared" si="18"/>
        <v/>
      </c>
      <c r="F484" s="16"/>
      <c r="G484" s="17"/>
      <c r="H484" s="17"/>
      <c r="I484" s="17"/>
      <c r="J484" s="17"/>
      <c r="S484" s="4" t="str">
        <f t="shared" si="17"/>
        <v/>
      </c>
    </row>
    <row r="485" spans="1:19" s="3" customFormat="1" ht="13.9" hidden="1" x14ac:dyDescent="0.4">
      <c r="A485" s="5" t="str">
        <f t="shared" si="18"/>
        <v/>
      </c>
      <c r="F485" s="16"/>
      <c r="G485" s="17"/>
      <c r="H485" s="17"/>
      <c r="I485" s="17"/>
      <c r="J485" s="17"/>
      <c r="S485" s="4" t="str">
        <f t="shared" si="17"/>
        <v/>
      </c>
    </row>
    <row r="486" spans="1:19" s="3" customFormat="1" ht="13.9" hidden="1" x14ac:dyDescent="0.4">
      <c r="A486" s="5" t="str">
        <f t="shared" si="18"/>
        <v/>
      </c>
      <c r="F486" s="16"/>
      <c r="G486" s="17"/>
      <c r="H486" s="17"/>
      <c r="I486" s="17"/>
      <c r="J486" s="17"/>
      <c r="S486" s="4" t="str">
        <f t="shared" si="17"/>
        <v/>
      </c>
    </row>
    <row r="487" spans="1:19" s="3" customFormat="1" ht="13.9" hidden="1" x14ac:dyDescent="0.4">
      <c r="A487" s="5" t="str">
        <f t="shared" si="18"/>
        <v/>
      </c>
      <c r="F487" s="16"/>
      <c r="G487" s="17"/>
      <c r="H487" s="17"/>
      <c r="I487" s="17"/>
      <c r="J487" s="17"/>
      <c r="S487" s="4" t="str">
        <f t="shared" si="17"/>
        <v/>
      </c>
    </row>
    <row r="488" spans="1:19" s="3" customFormat="1" ht="13.9" hidden="1" x14ac:dyDescent="0.4">
      <c r="A488" s="5" t="str">
        <f t="shared" si="18"/>
        <v/>
      </c>
      <c r="F488" s="16"/>
      <c r="G488" s="17"/>
      <c r="H488" s="17"/>
      <c r="I488" s="17"/>
      <c r="J488" s="17"/>
      <c r="S488" s="4" t="str">
        <f t="shared" si="17"/>
        <v/>
      </c>
    </row>
    <row r="489" spans="1:19" s="3" customFormat="1" ht="13.9" hidden="1" x14ac:dyDescent="0.4">
      <c r="A489" s="5" t="str">
        <f t="shared" si="18"/>
        <v/>
      </c>
      <c r="F489" s="16"/>
      <c r="G489" s="17"/>
      <c r="H489" s="17"/>
      <c r="I489" s="17"/>
      <c r="J489" s="17"/>
      <c r="S489" s="4" t="str">
        <f t="shared" si="17"/>
        <v/>
      </c>
    </row>
    <row r="490" spans="1:19" s="3" customFormat="1" ht="13.9" hidden="1" x14ac:dyDescent="0.4">
      <c r="A490" s="5" t="str">
        <f t="shared" si="18"/>
        <v/>
      </c>
      <c r="F490" s="16"/>
      <c r="G490" s="17"/>
      <c r="H490" s="17"/>
      <c r="I490" s="17"/>
      <c r="J490" s="17"/>
      <c r="S490" s="4" t="str">
        <f t="shared" si="17"/>
        <v/>
      </c>
    </row>
    <row r="491" spans="1:19" s="3" customFormat="1" ht="13.9" hidden="1" x14ac:dyDescent="0.4">
      <c r="A491" s="5" t="str">
        <f t="shared" si="18"/>
        <v/>
      </c>
      <c r="F491" s="16"/>
      <c r="G491" s="17"/>
      <c r="H491" s="17"/>
      <c r="I491" s="17"/>
      <c r="J491" s="17"/>
      <c r="S491" s="4" t="str">
        <f t="shared" si="17"/>
        <v/>
      </c>
    </row>
    <row r="492" spans="1:19" s="3" customFormat="1" ht="13.9" hidden="1" x14ac:dyDescent="0.4">
      <c r="A492" s="5" t="str">
        <f t="shared" si="18"/>
        <v/>
      </c>
      <c r="F492" s="16"/>
      <c r="G492" s="17"/>
      <c r="H492" s="17"/>
      <c r="I492" s="17"/>
      <c r="J492" s="17"/>
      <c r="S492" s="4" t="str">
        <f t="shared" si="17"/>
        <v/>
      </c>
    </row>
    <row r="493" spans="1:19" s="3" customFormat="1" ht="13.9" hidden="1" x14ac:dyDescent="0.4">
      <c r="A493" s="5" t="str">
        <f t="shared" si="18"/>
        <v/>
      </c>
      <c r="F493" s="16"/>
      <c r="G493" s="17"/>
      <c r="H493" s="17"/>
      <c r="I493" s="17"/>
      <c r="J493" s="17"/>
      <c r="S493" s="4" t="str">
        <f t="shared" si="17"/>
        <v/>
      </c>
    </row>
    <row r="494" spans="1:19" s="3" customFormat="1" ht="13.9" hidden="1" x14ac:dyDescent="0.4">
      <c r="A494" s="5" t="str">
        <f t="shared" si="18"/>
        <v/>
      </c>
      <c r="F494" s="16"/>
      <c r="G494" s="17"/>
      <c r="H494" s="17"/>
      <c r="I494" s="17"/>
      <c r="J494" s="17"/>
      <c r="S494" s="4" t="str">
        <f t="shared" si="17"/>
        <v/>
      </c>
    </row>
    <row r="495" spans="1:19" s="3" customFormat="1" ht="13.9" hidden="1" x14ac:dyDescent="0.4">
      <c r="A495" s="5" t="str">
        <f t="shared" si="18"/>
        <v/>
      </c>
      <c r="F495" s="16"/>
      <c r="G495" s="17"/>
      <c r="H495" s="17"/>
      <c r="I495" s="17"/>
      <c r="J495" s="17"/>
      <c r="S495" s="4" t="str">
        <f t="shared" si="17"/>
        <v/>
      </c>
    </row>
    <row r="496" spans="1:19" s="3" customFormat="1" ht="13.9" hidden="1" x14ac:dyDescent="0.4">
      <c r="A496" s="5" t="str">
        <f t="shared" si="18"/>
        <v/>
      </c>
      <c r="F496" s="16"/>
      <c r="G496" s="17"/>
      <c r="H496" s="17"/>
      <c r="I496" s="17"/>
      <c r="J496" s="17"/>
      <c r="S496" s="4" t="str">
        <f t="shared" si="17"/>
        <v/>
      </c>
    </row>
    <row r="497" spans="1:19" s="3" customFormat="1" ht="13.9" hidden="1" x14ac:dyDescent="0.4">
      <c r="A497" s="5" t="str">
        <f t="shared" si="18"/>
        <v/>
      </c>
      <c r="F497" s="16"/>
      <c r="G497" s="17"/>
      <c r="H497" s="17"/>
      <c r="I497" s="17"/>
      <c r="J497" s="17"/>
      <c r="S497" s="4" t="str">
        <f t="shared" si="17"/>
        <v/>
      </c>
    </row>
    <row r="498" spans="1:19" s="3" customFormat="1" ht="13.9" hidden="1" x14ac:dyDescent="0.4">
      <c r="A498" s="5" t="str">
        <f t="shared" si="18"/>
        <v/>
      </c>
      <c r="F498" s="16"/>
      <c r="G498" s="17"/>
      <c r="H498" s="17"/>
      <c r="I498" s="17"/>
      <c r="J498" s="17"/>
      <c r="S498" s="4" t="str">
        <f t="shared" si="17"/>
        <v/>
      </c>
    </row>
    <row r="499" spans="1:19" s="3" customFormat="1" ht="13.9" hidden="1" x14ac:dyDescent="0.4">
      <c r="A499" s="5" t="str">
        <f t="shared" si="18"/>
        <v/>
      </c>
      <c r="F499" s="16"/>
      <c r="G499" s="17"/>
      <c r="H499" s="17"/>
      <c r="I499" s="17"/>
      <c r="J499" s="17"/>
      <c r="S499" s="4" t="str">
        <f t="shared" si="17"/>
        <v/>
      </c>
    </row>
    <row r="500" spans="1:19" s="3" customFormat="1" ht="13.9" hidden="1" x14ac:dyDescent="0.4">
      <c r="A500" s="5" t="str">
        <f t="shared" si="18"/>
        <v/>
      </c>
      <c r="F500" s="16"/>
      <c r="G500" s="17"/>
      <c r="H500" s="17"/>
      <c r="I500" s="17"/>
      <c r="J500" s="17"/>
      <c r="S500" s="4" t="str">
        <f t="shared" si="17"/>
        <v/>
      </c>
    </row>
    <row r="501" spans="1:19" s="3" customFormat="1" ht="13.9" hidden="1" x14ac:dyDescent="0.4">
      <c r="A501" s="5" t="str">
        <f>IF(S501 ="visible",IF(B501 = "Gesamtergebnis","",A500+1),"")</f>
        <v/>
      </c>
      <c r="F501" s="16"/>
      <c r="G501" s="17"/>
      <c r="H501" s="17"/>
      <c r="I501" s="17"/>
      <c r="J501" s="17"/>
      <c r="S501" s="4" t="str">
        <f t="shared" si="17"/>
        <v/>
      </c>
    </row>
    <row r="502" spans="1:19" x14ac:dyDescent="0.45">
      <c r="A502" s="132"/>
      <c r="B502" s="134" t="s">
        <v>136</v>
      </c>
      <c r="C502" s="130"/>
      <c r="D502" s="130"/>
      <c r="E502" s="130"/>
      <c r="F502" s="135"/>
      <c r="G502" s="135"/>
      <c r="H502" s="131"/>
      <c r="I502" s="131"/>
      <c r="J502" s="136"/>
      <c r="K502" s="137"/>
      <c r="L502" s="137"/>
      <c r="M502" s="136"/>
      <c r="N502" s="136"/>
      <c r="O502" s="136"/>
      <c r="P502" s="131"/>
      <c r="Q502" s="130"/>
      <c r="S502" s="4" t="str">
        <f t="shared" si="17"/>
        <v>visible</v>
      </c>
    </row>
    <row r="503" spans="1:19" x14ac:dyDescent="0.45">
      <c r="A503" s="14"/>
      <c r="B503" s="196" t="s">
        <v>312</v>
      </c>
      <c r="C503" s="192" t="s">
        <v>246</v>
      </c>
      <c r="S503" s="4" t="str">
        <f t="shared" si="17"/>
        <v>visible</v>
      </c>
    </row>
    <row r="504" spans="1:19" s="3" customFormat="1" ht="13.9" hidden="1" x14ac:dyDescent="0.4">
      <c r="A504" s="5"/>
      <c r="S504" s="4" t="str">
        <f t="shared" si="17"/>
        <v/>
      </c>
    </row>
    <row r="505" spans="1:19" ht="13.9" x14ac:dyDescent="0.4">
      <c r="A505" s="15"/>
      <c r="B505" s="204" t="s">
        <v>5</v>
      </c>
      <c r="C505" s="204" t="s">
        <v>7</v>
      </c>
      <c r="D505" s="204" t="s">
        <v>23</v>
      </c>
      <c r="E505" s="204" t="s">
        <v>14</v>
      </c>
      <c r="F505" s="192" t="s">
        <v>135</v>
      </c>
      <c r="G505" s="192" t="s">
        <v>259</v>
      </c>
      <c r="H505" s="206" t="s">
        <v>247</v>
      </c>
      <c r="I505" s="194" t="s">
        <v>262</v>
      </c>
      <c r="J505" s="192" t="s">
        <v>234</v>
      </c>
      <c r="K505" s="192" t="s">
        <v>235</v>
      </c>
      <c r="L505" s="192" t="s">
        <v>236</v>
      </c>
      <c r="M505" s="192" t="s">
        <v>237</v>
      </c>
      <c r="N505" s="192" t="s">
        <v>238</v>
      </c>
      <c r="O505" s="194" t="s">
        <v>143</v>
      </c>
      <c r="P505" s="194" t="s">
        <v>142</v>
      </c>
      <c r="Q505" s="194" t="s">
        <v>239</v>
      </c>
      <c r="S505" s="4" t="str">
        <f t="shared" si="17"/>
        <v>visible</v>
      </c>
    </row>
    <row r="506" spans="1:19" ht="13.9" x14ac:dyDescent="0.4">
      <c r="A506" s="5">
        <f>IF(S506 ="visible",IF(B506 = "Total","",A505+1),"")</f>
        <v>1</v>
      </c>
      <c r="B506" s="192" t="s">
        <v>158</v>
      </c>
      <c r="C506" s="192" t="s">
        <v>1</v>
      </c>
      <c r="D506" s="192" t="s">
        <v>0</v>
      </c>
      <c r="E506" s="192" t="s">
        <v>399</v>
      </c>
      <c r="F506" s="194">
        <v>76000</v>
      </c>
      <c r="G506" s="194">
        <v>76000</v>
      </c>
      <c r="H506" s="206">
        <v>0</v>
      </c>
      <c r="I506" s="194">
        <v>0</v>
      </c>
      <c r="J506" s="194"/>
      <c r="K506" s="194"/>
      <c r="L506" s="194"/>
      <c r="M506" s="194"/>
      <c r="N506" s="194"/>
      <c r="O506" s="194">
        <v>0</v>
      </c>
      <c r="P506" s="194">
        <v>0</v>
      </c>
      <c r="Q506" s="194">
        <v>0</v>
      </c>
      <c r="S506" s="4" t="str">
        <f t="shared" si="17"/>
        <v>visible</v>
      </c>
    </row>
    <row r="507" spans="1:19" ht="13.9" x14ac:dyDescent="0.4">
      <c r="A507" s="5">
        <f t="shared" ref="A507:A570" si="19">IF(S507 ="visible",IF(B507 = "Total","",A506+1),"")</f>
        <v>2</v>
      </c>
      <c r="B507" s="192" t="s">
        <v>160</v>
      </c>
      <c r="C507" s="192" t="s">
        <v>1</v>
      </c>
      <c r="D507" s="192" t="s">
        <v>0</v>
      </c>
      <c r="E507" s="192" t="s">
        <v>161</v>
      </c>
      <c r="F507" s="194">
        <v>150000</v>
      </c>
      <c r="G507" s="194">
        <v>150000</v>
      </c>
      <c r="H507" s="206">
        <v>0.25</v>
      </c>
      <c r="I507" s="194">
        <v>37500</v>
      </c>
      <c r="J507" s="194"/>
      <c r="K507" s="194"/>
      <c r="L507" s="194"/>
      <c r="M507" s="194"/>
      <c r="N507" s="194"/>
      <c r="O507" s="194">
        <v>7500</v>
      </c>
      <c r="P507" s="194">
        <v>0</v>
      </c>
      <c r="Q507" s="194">
        <v>7500</v>
      </c>
      <c r="S507" s="4" t="str">
        <f t="shared" si="17"/>
        <v>visible</v>
      </c>
    </row>
    <row r="508" spans="1:19" s="3" customFormat="1" ht="13.9" x14ac:dyDescent="0.4">
      <c r="A508" s="5">
        <f t="shared" si="19"/>
        <v>3</v>
      </c>
      <c r="B508" s="192" t="s">
        <v>174</v>
      </c>
      <c r="C508" s="192" t="s">
        <v>1</v>
      </c>
      <c r="D508" s="192" t="s">
        <v>0</v>
      </c>
      <c r="E508" s="192" t="s">
        <v>399</v>
      </c>
      <c r="F508" s="194">
        <v>45000</v>
      </c>
      <c r="G508" s="194">
        <v>45000</v>
      </c>
      <c r="H508" s="206">
        <v>0.01</v>
      </c>
      <c r="I508" s="194">
        <v>450</v>
      </c>
      <c r="J508" s="194"/>
      <c r="K508" s="194"/>
      <c r="L508" s="194"/>
      <c r="M508" s="194"/>
      <c r="N508" s="194"/>
      <c r="O508" s="194">
        <v>90</v>
      </c>
      <c r="P508" s="194">
        <v>0</v>
      </c>
      <c r="Q508" s="194">
        <v>90</v>
      </c>
      <c r="S508" s="4" t="str">
        <f t="shared" si="17"/>
        <v>visible</v>
      </c>
    </row>
    <row r="509" spans="1:19" s="3" customFormat="1" ht="13.9" x14ac:dyDescent="0.4">
      <c r="A509" s="5">
        <f t="shared" si="19"/>
        <v>4</v>
      </c>
      <c r="B509" s="192" t="s">
        <v>175</v>
      </c>
      <c r="C509" s="192" t="s">
        <v>1</v>
      </c>
      <c r="D509" s="192" t="s">
        <v>0</v>
      </c>
      <c r="E509" s="192" t="s">
        <v>399</v>
      </c>
      <c r="F509" s="194">
        <v>65000</v>
      </c>
      <c r="G509" s="194">
        <v>65000</v>
      </c>
      <c r="H509" s="206">
        <v>0.01</v>
      </c>
      <c r="I509" s="194">
        <v>650</v>
      </c>
      <c r="J509" s="194"/>
      <c r="K509" s="194"/>
      <c r="L509" s="194"/>
      <c r="M509" s="194"/>
      <c r="N509" s="194"/>
      <c r="O509" s="194">
        <v>130</v>
      </c>
      <c r="P509" s="194">
        <v>0</v>
      </c>
      <c r="Q509" s="194">
        <v>130</v>
      </c>
      <c r="S509" s="4" t="str">
        <f t="shared" si="17"/>
        <v>visible</v>
      </c>
    </row>
    <row r="510" spans="1:19" s="3" customFormat="1" ht="13.9" x14ac:dyDescent="0.4">
      <c r="A510" s="5">
        <f t="shared" si="19"/>
        <v>5</v>
      </c>
      <c r="B510" s="192" t="s">
        <v>182</v>
      </c>
      <c r="C510" s="192" t="s">
        <v>97</v>
      </c>
      <c r="D510" s="192" t="s">
        <v>0</v>
      </c>
      <c r="E510" s="192" t="s">
        <v>183</v>
      </c>
      <c r="F510" s="194">
        <v>0</v>
      </c>
      <c r="G510" s="194">
        <v>0</v>
      </c>
      <c r="H510" s="206"/>
      <c r="I510" s="194">
        <v>0</v>
      </c>
      <c r="J510" s="194"/>
      <c r="K510" s="194"/>
      <c r="L510" s="194"/>
      <c r="M510" s="194"/>
      <c r="N510" s="194"/>
      <c r="O510" s="194">
        <v>0</v>
      </c>
      <c r="P510" s="194">
        <v>0</v>
      </c>
      <c r="Q510" s="194">
        <v>0</v>
      </c>
      <c r="S510" s="4" t="str">
        <f t="shared" si="17"/>
        <v>visible</v>
      </c>
    </row>
    <row r="511" spans="1:19" s="3" customFormat="1" ht="13.9" x14ac:dyDescent="0.4">
      <c r="A511" s="5">
        <f t="shared" si="19"/>
        <v>6</v>
      </c>
      <c r="B511" s="192" t="s">
        <v>184</v>
      </c>
      <c r="C511" s="192" t="s">
        <v>1</v>
      </c>
      <c r="D511" s="192" t="s">
        <v>96</v>
      </c>
      <c r="E511" s="192" t="s">
        <v>185</v>
      </c>
      <c r="F511" s="194">
        <v>400000</v>
      </c>
      <c r="G511" s="194">
        <v>400000</v>
      </c>
      <c r="H511" s="206">
        <v>0.01</v>
      </c>
      <c r="I511" s="194">
        <v>4000</v>
      </c>
      <c r="J511" s="194"/>
      <c r="K511" s="194"/>
      <c r="L511" s="194"/>
      <c r="M511" s="194"/>
      <c r="N511" s="194"/>
      <c r="O511" s="194">
        <v>800</v>
      </c>
      <c r="P511" s="194">
        <v>0</v>
      </c>
      <c r="Q511" s="194">
        <v>800</v>
      </c>
      <c r="S511" s="4" t="str">
        <f t="shared" si="17"/>
        <v>visible</v>
      </c>
    </row>
    <row r="512" spans="1:19" s="3" customFormat="1" ht="13.9" x14ac:dyDescent="0.4">
      <c r="A512" s="5">
        <f t="shared" si="19"/>
        <v>7</v>
      </c>
      <c r="B512" s="192" t="s">
        <v>187</v>
      </c>
      <c r="C512" s="192" t="s">
        <v>97</v>
      </c>
      <c r="D512" s="192" t="s">
        <v>0</v>
      </c>
      <c r="E512" s="192" t="s">
        <v>118</v>
      </c>
      <c r="F512" s="194">
        <v>54000</v>
      </c>
      <c r="G512" s="194">
        <v>54000</v>
      </c>
      <c r="H512" s="206">
        <v>0.5</v>
      </c>
      <c r="I512" s="194">
        <v>27000</v>
      </c>
      <c r="J512" s="194"/>
      <c r="K512" s="194"/>
      <c r="L512" s="194"/>
      <c r="M512" s="194"/>
      <c r="N512" s="194"/>
      <c r="O512" s="194">
        <v>4050</v>
      </c>
      <c r="P512" s="194">
        <v>0</v>
      </c>
      <c r="Q512" s="194">
        <v>4050</v>
      </c>
      <c r="S512" s="4" t="str">
        <f t="shared" si="17"/>
        <v>visible</v>
      </c>
    </row>
    <row r="513" spans="1:19" s="3" customFormat="1" ht="13.9" x14ac:dyDescent="0.4">
      <c r="A513" s="5">
        <f t="shared" si="19"/>
        <v>8</v>
      </c>
      <c r="B513" s="192" t="s">
        <v>189</v>
      </c>
      <c r="C513" s="192" t="s">
        <v>1</v>
      </c>
      <c r="D513" s="192" t="s">
        <v>0</v>
      </c>
      <c r="E513" s="192" t="s">
        <v>190</v>
      </c>
      <c r="F513" s="194">
        <v>32000</v>
      </c>
      <c r="G513" s="194">
        <v>32000</v>
      </c>
      <c r="H513" s="206"/>
      <c r="I513" s="194">
        <v>0</v>
      </c>
      <c r="J513" s="194"/>
      <c r="K513" s="194"/>
      <c r="L513" s="194"/>
      <c r="M513" s="194"/>
      <c r="N513" s="194"/>
      <c r="O513" s="194">
        <v>0</v>
      </c>
      <c r="P513" s="194">
        <v>0</v>
      </c>
      <c r="Q513" s="194">
        <v>0</v>
      </c>
      <c r="S513" s="4" t="str">
        <f t="shared" si="17"/>
        <v>visible</v>
      </c>
    </row>
    <row r="514" spans="1:19" s="3" customFormat="1" ht="13.9" x14ac:dyDescent="0.4">
      <c r="A514" s="5">
        <f t="shared" si="19"/>
        <v>9</v>
      </c>
      <c r="B514" s="192" t="s">
        <v>191</v>
      </c>
      <c r="C514" s="192" t="s">
        <v>1</v>
      </c>
      <c r="D514" s="192" t="s">
        <v>0</v>
      </c>
      <c r="E514" s="192" t="s">
        <v>192</v>
      </c>
      <c r="F514" s="194">
        <v>24500</v>
      </c>
      <c r="G514" s="194">
        <v>24500</v>
      </c>
      <c r="H514" s="206">
        <v>0.25</v>
      </c>
      <c r="I514" s="194">
        <v>6125</v>
      </c>
      <c r="J514" s="194"/>
      <c r="K514" s="194"/>
      <c r="L514" s="194"/>
      <c r="M514" s="194"/>
      <c r="N514" s="194"/>
      <c r="O514" s="194">
        <v>1225</v>
      </c>
      <c r="P514" s="194">
        <v>0</v>
      </c>
      <c r="Q514" s="194">
        <v>1225</v>
      </c>
      <c r="S514" s="4" t="str">
        <f t="shared" si="17"/>
        <v>visible</v>
      </c>
    </row>
    <row r="515" spans="1:19" s="3" customFormat="1" ht="13.9" x14ac:dyDescent="0.4">
      <c r="A515" s="5">
        <f t="shared" si="19"/>
        <v>10</v>
      </c>
      <c r="B515" s="192" t="s">
        <v>196</v>
      </c>
      <c r="C515" s="192" t="s">
        <v>1</v>
      </c>
      <c r="D515" s="192" t="s">
        <v>96</v>
      </c>
      <c r="E515" s="192" t="s">
        <v>193</v>
      </c>
      <c r="F515" s="194">
        <v>900000</v>
      </c>
      <c r="G515" s="194">
        <v>900000</v>
      </c>
      <c r="H515" s="206">
        <v>0</v>
      </c>
      <c r="I515" s="194">
        <v>0</v>
      </c>
      <c r="J515" s="194"/>
      <c r="K515" s="194"/>
      <c r="L515" s="194"/>
      <c r="M515" s="194"/>
      <c r="N515" s="194"/>
      <c r="O515" s="194">
        <v>0</v>
      </c>
      <c r="P515" s="194">
        <v>0</v>
      </c>
      <c r="Q515" s="194">
        <v>0</v>
      </c>
      <c r="S515" s="4" t="str">
        <f t="shared" si="17"/>
        <v>visible</v>
      </c>
    </row>
    <row r="516" spans="1:19" s="3" customFormat="1" ht="13.9" x14ac:dyDescent="0.4">
      <c r="A516" s="5">
        <f t="shared" si="19"/>
        <v>11</v>
      </c>
      <c r="B516" s="192" t="s">
        <v>198</v>
      </c>
      <c r="C516" s="192" t="s">
        <v>97</v>
      </c>
      <c r="D516" s="192" t="s">
        <v>96</v>
      </c>
      <c r="E516" s="192" t="s">
        <v>128</v>
      </c>
      <c r="F516" s="194">
        <v>699570</v>
      </c>
      <c r="G516" s="194">
        <v>400000</v>
      </c>
      <c r="H516" s="206">
        <v>0</v>
      </c>
      <c r="I516" s="194">
        <v>0</v>
      </c>
      <c r="J516" s="194"/>
      <c r="K516" s="194"/>
      <c r="L516" s="194"/>
      <c r="M516" s="194"/>
      <c r="N516" s="194"/>
      <c r="O516" s="194">
        <v>0</v>
      </c>
      <c r="P516" s="194">
        <v>0</v>
      </c>
      <c r="Q516" s="194">
        <v>0</v>
      </c>
      <c r="S516" s="4" t="str">
        <f t="shared" si="17"/>
        <v>visible</v>
      </c>
    </row>
    <row r="517" spans="1:19" s="3" customFormat="1" ht="13.9" x14ac:dyDescent="0.4">
      <c r="A517" s="5">
        <f t="shared" si="19"/>
        <v>12</v>
      </c>
      <c r="B517" s="192" t="s">
        <v>201</v>
      </c>
      <c r="C517" s="192" t="s">
        <v>1</v>
      </c>
      <c r="D517" s="192" t="s">
        <v>0</v>
      </c>
      <c r="E517" s="192" t="s">
        <v>426</v>
      </c>
      <c r="F517" s="194">
        <v>105750</v>
      </c>
      <c r="G517" s="194">
        <v>105750</v>
      </c>
      <c r="H517" s="206">
        <v>0</v>
      </c>
      <c r="I517" s="194">
        <v>0</v>
      </c>
      <c r="J517" s="194"/>
      <c r="K517" s="194"/>
      <c r="L517" s="194"/>
      <c r="M517" s="194"/>
      <c r="N517" s="194"/>
      <c r="O517" s="194">
        <v>0</v>
      </c>
      <c r="P517" s="194">
        <v>0</v>
      </c>
      <c r="Q517" s="194">
        <v>0</v>
      </c>
      <c r="S517" s="4" t="str">
        <f t="shared" ref="S517:S580" si="20">IF(B517&lt;&gt;"","visible","")</f>
        <v>visible</v>
      </c>
    </row>
    <row r="518" spans="1:19" s="3" customFormat="1" ht="13.9" x14ac:dyDescent="0.4">
      <c r="A518" s="5">
        <f t="shared" si="19"/>
        <v>13</v>
      </c>
      <c r="B518" s="192" t="s">
        <v>202</v>
      </c>
      <c r="C518" s="192" t="s">
        <v>1</v>
      </c>
      <c r="D518" s="192" t="s">
        <v>0</v>
      </c>
      <c r="E518" s="192" t="s">
        <v>115</v>
      </c>
      <c r="F518" s="194">
        <v>58500</v>
      </c>
      <c r="G518" s="194">
        <v>58500</v>
      </c>
      <c r="H518" s="206">
        <v>0</v>
      </c>
      <c r="I518" s="194">
        <v>0</v>
      </c>
      <c r="J518" s="194"/>
      <c r="K518" s="194"/>
      <c r="L518" s="194"/>
      <c r="M518" s="194"/>
      <c r="N518" s="194"/>
      <c r="O518" s="194">
        <v>0</v>
      </c>
      <c r="P518" s="194">
        <v>0</v>
      </c>
      <c r="Q518" s="194">
        <v>0</v>
      </c>
      <c r="S518" s="4" t="str">
        <f t="shared" si="20"/>
        <v>visible</v>
      </c>
    </row>
    <row r="519" spans="1:19" s="3" customFormat="1" ht="13.9" x14ac:dyDescent="0.4">
      <c r="A519" s="5">
        <f t="shared" si="19"/>
        <v>14</v>
      </c>
      <c r="B519" s="192" t="s">
        <v>203</v>
      </c>
      <c r="C519" s="192" t="s">
        <v>1</v>
      </c>
      <c r="D519" s="192" t="s">
        <v>0</v>
      </c>
      <c r="E519" s="192" t="s">
        <v>115</v>
      </c>
      <c r="F519" s="194">
        <v>35000</v>
      </c>
      <c r="G519" s="194">
        <v>35000</v>
      </c>
      <c r="H519" s="206">
        <v>0</v>
      </c>
      <c r="I519" s="194">
        <v>0</v>
      </c>
      <c r="J519" s="194"/>
      <c r="K519" s="194"/>
      <c r="L519" s="194"/>
      <c r="M519" s="194"/>
      <c r="N519" s="194"/>
      <c r="O519" s="194">
        <v>0</v>
      </c>
      <c r="P519" s="194">
        <v>0</v>
      </c>
      <c r="Q519" s="194">
        <v>0</v>
      </c>
      <c r="S519" s="4" t="str">
        <f t="shared" si="20"/>
        <v>visible</v>
      </c>
    </row>
    <row r="520" spans="1:19" s="3" customFormat="1" ht="13.9" x14ac:dyDescent="0.4">
      <c r="A520" s="5">
        <f t="shared" si="19"/>
        <v>15</v>
      </c>
      <c r="B520" s="192" t="s">
        <v>212</v>
      </c>
      <c r="C520" s="192" t="s">
        <v>97</v>
      </c>
      <c r="D520" s="192" t="s">
        <v>96</v>
      </c>
      <c r="E520" s="192" t="s">
        <v>128</v>
      </c>
      <c r="F520" s="194">
        <v>60000</v>
      </c>
      <c r="G520" s="194">
        <v>60000</v>
      </c>
      <c r="H520" s="206">
        <v>0</v>
      </c>
      <c r="I520" s="194">
        <v>0</v>
      </c>
      <c r="J520" s="194"/>
      <c r="K520" s="194"/>
      <c r="L520" s="194"/>
      <c r="M520" s="194"/>
      <c r="N520" s="194"/>
      <c r="O520" s="194">
        <v>0</v>
      </c>
      <c r="P520" s="194">
        <v>0</v>
      </c>
      <c r="Q520" s="194">
        <v>0</v>
      </c>
      <c r="S520" s="4" t="str">
        <f t="shared" si="20"/>
        <v>visible</v>
      </c>
    </row>
    <row r="521" spans="1:19" s="3" customFormat="1" ht="13.9" x14ac:dyDescent="0.4">
      <c r="A521" s="5">
        <f t="shared" si="19"/>
        <v>16</v>
      </c>
      <c r="B521" s="192" t="s">
        <v>213</v>
      </c>
      <c r="C521" s="192" t="s">
        <v>1</v>
      </c>
      <c r="D521" s="192" t="s">
        <v>0</v>
      </c>
      <c r="E521" s="192" t="s">
        <v>214</v>
      </c>
      <c r="F521" s="194">
        <v>1200000</v>
      </c>
      <c r="G521" s="194">
        <v>400000</v>
      </c>
      <c r="H521" s="206">
        <v>0</v>
      </c>
      <c r="I521" s="194">
        <v>0</v>
      </c>
      <c r="J521" s="194"/>
      <c r="K521" s="194"/>
      <c r="L521" s="194"/>
      <c r="M521" s="194"/>
      <c r="N521" s="194"/>
      <c r="O521" s="194">
        <v>0</v>
      </c>
      <c r="P521" s="194">
        <v>0</v>
      </c>
      <c r="Q521" s="194">
        <v>0</v>
      </c>
      <c r="S521" s="4" t="str">
        <f t="shared" si="20"/>
        <v>visible</v>
      </c>
    </row>
    <row r="522" spans="1:19" s="3" customFormat="1" ht="13.9" x14ac:dyDescent="0.4">
      <c r="A522" s="5">
        <f t="shared" si="19"/>
        <v>17</v>
      </c>
      <c r="B522" s="192" t="s">
        <v>216</v>
      </c>
      <c r="C522" s="192" t="s">
        <v>1</v>
      </c>
      <c r="D522" s="192" t="s">
        <v>0</v>
      </c>
      <c r="E522" s="192" t="s">
        <v>214</v>
      </c>
      <c r="F522" s="194">
        <v>76550</v>
      </c>
      <c r="G522" s="194">
        <v>76550</v>
      </c>
      <c r="H522" s="206">
        <v>0</v>
      </c>
      <c r="I522" s="194">
        <v>0</v>
      </c>
      <c r="J522" s="194"/>
      <c r="K522" s="194"/>
      <c r="L522" s="194"/>
      <c r="M522" s="194"/>
      <c r="N522" s="194"/>
      <c r="O522" s="194">
        <v>0</v>
      </c>
      <c r="P522" s="194">
        <v>0</v>
      </c>
      <c r="Q522" s="194">
        <v>0</v>
      </c>
      <c r="S522" s="4" t="str">
        <f t="shared" si="20"/>
        <v>visible</v>
      </c>
    </row>
    <row r="523" spans="1:19" s="3" customFormat="1" ht="13.9" x14ac:dyDescent="0.4">
      <c r="A523" s="5">
        <f t="shared" si="19"/>
        <v>18</v>
      </c>
      <c r="B523" s="192" t="s">
        <v>217</v>
      </c>
      <c r="C523" s="192" t="s">
        <v>97</v>
      </c>
      <c r="D523" s="192" t="s">
        <v>0</v>
      </c>
      <c r="E523" s="192" t="s">
        <v>218</v>
      </c>
      <c r="F523" s="194">
        <v>18556.748857600149</v>
      </c>
      <c r="G523" s="194">
        <v>0</v>
      </c>
      <c r="H523" s="206">
        <v>0</v>
      </c>
      <c r="I523" s="194">
        <v>0</v>
      </c>
      <c r="J523" s="194"/>
      <c r="K523" s="194"/>
      <c r="L523" s="194"/>
      <c r="M523" s="194"/>
      <c r="N523" s="194"/>
      <c r="O523" s="194">
        <v>0</v>
      </c>
      <c r="P523" s="194">
        <v>0</v>
      </c>
      <c r="Q523" s="194">
        <v>0</v>
      </c>
      <c r="S523" s="4" t="str">
        <f t="shared" si="20"/>
        <v>visible</v>
      </c>
    </row>
    <row r="524" spans="1:19" s="3" customFormat="1" ht="13.9" x14ac:dyDescent="0.4">
      <c r="A524" s="5">
        <f t="shared" si="19"/>
        <v>19</v>
      </c>
      <c r="B524" s="192" t="s">
        <v>219</v>
      </c>
      <c r="C524" s="192" t="s">
        <v>1</v>
      </c>
      <c r="D524" s="192" t="s">
        <v>0</v>
      </c>
      <c r="E524" s="192" t="s">
        <v>220</v>
      </c>
      <c r="F524" s="194">
        <v>390000</v>
      </c>
      <c r="G524" s="194">
        <v>390000</v>
      </c>
      <c r="H524" s="206">
        <v>0</v>
      </c>
      <c r="I524" s="194">
        <v>0</v>
      </c>
      <c r="J524" s="194"/>
      <c r="K524" s="194"/>
      <c r="L524" s="194"/>
      <c r="M524" s="194"/>
      <c r="N524" s="194"/>
      <c r="O524" s="194">
        <v>0</v>
      </c>
      <c r="P524" s="194">
        <v>0</v>
      </c>
      <c r="Q524" s="194">
        <v>0</v>
      </c>
      <c r="S524" s="4" t="str">
        <f t="shared" si="20"/>
        <v>visible</v>
      </c>
    </row>
    <row r="525" spans="1:19" s="3" customFormat="1" ht="13.9" x14ac:dyDescent="0.4">
      <c r="A525" s="5">
        <f t="shared" si="19"/>
        <v>20</v>
      </c>
      <c r="B525" s="192" t="s">
        <v>264</v>
      </c>
      <c r="C525" s="192" t="s">
        <v>1</v>
      </c>
      <c r="D525" s="192" t="s">
        <v>0</v>
      </c>
      <c r="E525" s="192" t="s">
        <v>265</v>
      </c>
      <c r="F525" s="194">
        <v>500000</v>
      </c>
      <c r="G525" s="194">
        <v>250000</v>
      </c>
      <c r="H525" s="206">
        <v>0</v>
      </c>
      <c r="I525" s="194">
        <v>0</v>
      </c>
      <c r="J525" s="194"/>
      <c r="K525" s="194"/>
      <c r="L525" s="194"/>
      <c r="M525" s="194"/>
      <c r="N525" s="194"/>
      <c r="O525" s="194">
        <v>0</v>
      </c>
      <c r="P525" s="194"/>
      <c r="Q525" s="194">
        <v>0</v>
      </c>
      <c r="S525" s="4" t="str">
        <f t="shared" si="20"/>
        <v>visible</v>
      </c>
    </row>
    <row r="526" spans="1:19" s="3" customFormat="1" ht="13.9" x14ac:dyDescent="0.4">
      <c r="A526" s="5">
        <f t="shared" si="19"/>
        <v>21</v>
      </c>
      <c r="B526" s="192" t="s">
        <v>283</v>
      </c>
      <c r="C526" s="192" t="s">
        <v>1</v>
      </c>
      <c r="D526" s="192" t="s">
        <v>96</v>
      </c>
      <c r="E526" s="192" t="s">
        <v>286</v>
      </c>
      <c r="F526" s="194">
        <v>400000</v>
      </c>
      <c r="G526" s="194">
        <v>400000</v>
      </c>
      <c r="H526" s="206">
        <v>0</v>
      </c>
      <c r="I526" s="194">
        <v>0</v>
      </c>
      <c r="J526" s="194"/>
      <c r="K526" s="194"/>
      <c r="L526" s="194"/>
      <c r="M526" s="194"/>
      <c r="N526" s="194"/>
      <c r="O526" s="194">
        <v>0</v>
      </c>
      <c r="P526" s="194"/>
      <c r="Q526" s="194">
        <v>0</v>
      </c>
      <c r="S526" s="4" t="str">
        <f t="shared" si="20"/>
        <v>visible</v>
      </c>
    </row>
    <row r="527" spans="1:19" s="3" customFormat="1" ht="13.9" x14ac:dyDescent="0.4">
      <c r="A527" s="5">
        <f t="shared" si="19"/>
        <v>22</v>
      </c>
      <c r="B527" s="192" t="s">
        <v>415</v>
      </c>
      <c r="C527" s="192" t="s">
        <v>97</v>
      </c>
      <c r="D527" s="192" t="s">
        <v>0</v>
      </c>
      <c r="E527" s="192" t="s">
        <v>200</v>
      </c>
      <c r="F527" s="194">
        <v>190000</v>
      </c>
      <c r="G527" s="194">
        <v>100000</v>
      </c>
      <c r="H527" s="206">
        <v>0</v>
      </c>
      <c r="I527" s="194">
        <v>0</v>
      </c>
      <c r="J527" s="194"/>
      <c r="K527" s="194"/>
      <c r="L527" s="194"/>
      <c r="M527" s="194"/>
      <c r="N527" s="194"/>
      <c r="O527" s="194">
        <v>0</v>
      </c>
      <c r="P527" s="194">
        <v>0</v>
      </c>
      <c r="Q527" s="194">
        <v>0</v>
      </c>
      <c r="S527" s="4" t="str">
        <f t="shared" si="20"/>
        <v>visible</v>
      </c>
    </row>
    <row r="528" spans="1:19" s="3" customFormat="1" ht="13.9" x14ac:dyDescent="0.4">
      <c r="A528" s="5">
        <f t="shared" si="19"/>
        <v>23</v>
      </c>
      <c r="B528" s="192" t="s">
        <v>457</v>
      </c>
      <c r="C528" s="192" t="s">
        <v>1</v>
      </c>
      <c r="D528" s="192" t="s">
        <v>0</v>
      </c>
      <c r="E528" s="192" t="s">
        <v>163</v>
      </c>
      <c r="F528" s="194">
        <v>77000</v>
      </c>
      <c r="G528" s="194">
        <v>77000</v>
      </c>
      <c r="H528" s="206"/>
      <c r="I528" s="194">
        <v>0</v>
      </c>
      <c r="J528" s="194"/>
      <c r="K528" s="194"/>
      <c r="L528" s="194"/>
      <c r="M528" s="194"/>
      <c r="N528" s="194"/>
      <c r="O528" s="194">
        <v>0</v>
      </c>
      <c r="P528" s="194"/>
      <c r="Q528" s="194">
        <v>0</v>
      </c>
      <c r="S528" s="4" t="str">
        <f t="shared" si="20"/>
        <v>visible</v>
      </c>
    </row>
    <row r="529" spans="1:19" s="3" customFormat="1" ht="13.9" x14ac:dyDescent="0.4">
      <c r="A529" s="5">
        <f t="shared" si="19"/>
        <v>24</v>
      </c>
      <c r="B529" s="192" t="s">
        <v>461</v>
      </c>
      <c r="C529" s="192" t="s">
        <v>97</v>
      </c>
      <c r="D529" s="192" t="s">
        <v>0</v>
      </c>
      <c r="E529" s="192" t="s">
        <v>218</v>
      </c>
      <c r="F529" s="194">
        <v>43000</v>
      </c>
      <c r="G529" s="194">
        <v>33000</v>
      </c>
      <c r="H529" s="206"/>
      <c r="I529" s="194">
        <v>0</v>
      </c>
      <c r="J529" s="194"/>
      <c r="K529" s="194"/>
      <c r="L529" s="194"/>
      <c r="M529" s="194"/>
      <c r="N529" s="194"/>
      <c r="O529" s="194">
        <v>0</v>
      </c>
      <c r="P529" s="194"/>
      <c r="Q529" s="194">
        <v>0</v>
      </c>
      <c r="S529" s="4" t="str">
        <f t="shared" si="20"/>
        <v>visible</v>
      </c>
    </row>
    <row r="530" spans="1:19" s="3" customFormat="1" ht="13.9" x14ac:dyDescent="0.4">
      <c r="A530" s="5">
        <f t="shared" si="19"/>
        <v>25</v>
      </c>
      <c r="B530" s="192" t="s">
        <v>469</v>
      </c>
      <c r="C530" s="192" t="s">
        <v>1</v>
      </c>
      <c r="D530" s="192" t="s">
        <v>96</v>
      </c>
      <c r="E530" s="192" t="s">
        <v>470</v>
      </c>
      <c r="F530" s="194">
        <v>250000</v>
      </c>
      <c r="G530" s="194">
        <v>250000</v>
      </c>
      <c r="H530" s="206">
        <v>0.1</v>
      </c>
      <c r="I530" s="194">
        <v>25000</v>
      </c>
      <c r="J530" s="194"/>
      <c r="K530" s="194"/>
      <c r="L530" s="194"/>
      <c r="M530" s="194"/>
      <c r="N530" s="194"/>
      <c r="O530" s="194">
        <v>5000</v>
      </c>
      <c r="P530" s="194"/>
      <c r="Q530" s="194">
        <v>5000</v>
      </c>
      <c r="S530" s="4" t="str">
        <f t="shared" si="20"/>
        <v>visible</v>
      </c>
    </row>
    <row r="531" spans="1:19" s="3" customFormat="1" ht="13.9" x14ac:dyDescent="0.4">
      <c r="A531" s="5">
        <f t="shared" si="19"/>
        <v>26</v>
      </c>
      <c r="B531" s="192" t="s">
        <v>467</v>
      </c>
      <c r="C531" s="192" t="s">
        <v>1</v>
      </c>
      <c r="D531" s="192" t="s">
        <v>0</v>
      </c>
      <c r="E531" s="192" t="s">
        <v>123</v>
      </c>
      <c r="F531" s="194">
        <v>50000</v>
      </c>
      <c r="G531" s="194">
        <v>50000</v>
      </c>
      <c r="H531" s="206">
        <v>0.1</v>
      </c>
      <c r="I531" s="194">
        <v>5000</v>
      </c>
      <c r="J531" s="194"/>
      <c r="K531" s="194"/>
      <c r="L531" s="194"/>
      <c r="M531" s="194"/>
      <c r="N531" s="194"/>
      <c r="O531" s="194">
        <v>1000</v>
      </c>
      <c r="P531" s="194"/>
      <c r="Q531" s="194">
        <v>1000</v>
      </c>
      <c r="S531" s="4" t="str">
        <f t="shared" si="20"/>
        <v>visible</v>
      </c>
    </row>
    <row r="532" spans="1:19" s="3" customFormat="1" ht="13.9" x14ac:dyDescent="0.4">
      <c r="A532" s="5">
        <f t="shared" si="19"/>
        <v>27</v>
      </c>
      <c r="B532" s="192" t="s">
        <v>501</v>
      </c>
      <c r="C532" s="192" t="s">
        <v>1</v>
      </c>
      <c r="D532" s="192" t="s">
        <v>0</v>
      </c>
      <c r="E532" s="192" t="s">
        <v>159</v>
      </c>
      <c r="F532" s="194">
        <v>47500</v>
      </c>
      <c r="G532" s="194">
        <v>47500</v>
      </c>
      <c r="H532" s="206">
        <v>0.75</v>
      </c>
      <c r="I532" s="194">
        <v>35625</v>
      </c>
      <c r="J532" s="194"/>
      <c r="K532" s="194"/>
      <c r="L532" s="194"/>
      <c r="M532" s="194"/>
      <c r="N532" s="194"/>
      <c r="O532" s="194">
        <v>7125</v>
      </c>
      <c r="P532" s="194">
        <v>0</v>
      </c>
      <c r="Q532" s="194">
        <v>7125</v>
      </c>
      <c r="S532" s="4" t="str">
        <f t="shared" si="20"/>
        <v>visible</v>
      </c>
    </row>
    <row r="533" spans="1:19" s="3" customFormat="1" ht="13.9" x14ac:dyDescent="0.4">
      <c r="A533" s="5">
        <f t="shared" si="19"/>
        <v>28</v>
      </c>
      <c r="B533" s="192" t="s">
        <v>520</v>
      </c>
      <c r="C533" s="192" t="s">
        <v>1</v>
      </c>
      <c r="D533" s="192" t="s">
        <v>96</v>
      </c>
      <c r="E533" s="192" t="s">
        <v>193</v>
      </c>
      <c r="F533" s="194">
        <v>937360</v>
      </c>
      <c r="G533" s="194">
        <v>937360</v>
      </c>
      <c r="H533" s="206">
        <v>0</v>
      </c>
      <c r="I533" s="194">
        <v>0</v>
      </c>
      <c r="J533" s="194"/>
      <c r="K533" s="194"/>
      <c r="L533" s="194"/>
      <c r="M533" s="194"/>
      <c r="N533" s="194"/>
      <c r="O533" s="194">
        <v>0</v>
      </c>
      <c r="P533" s="194">
        <v>0</v>
      </c>
      <c r="Q533" s="194">
        <v>0</v>
      </c>
      <c r="S533" s="4" t="str">
        <f t="shared" si="20"/>
        <v>visible</v>
      </c>
    </row>
    <row r="534" spans="1:19" s="3" customFormat="1" ht="13.9" x14ac:dyDescent="0.4">
      <c r="A534" s="5">
        <f t="shared" si="19"/>
        <v>29</v>
      </c>
      <c r="B534" s="192" t="s">
        <v>537</v>
      </c>
      <c r="C534" s="192" t="s">
        <v>97</v>
      </c>
      <c r="D534" s="192" t="s">
        <v>0</v>
      </c>
      <c r="E534" s="192" t="s">
        <v>538</v>
      </c>
      <c r="F534" s="194">
        <v>73333.333333333343</v>
      </c>
      <c r="G534" s="194">
        <v>40000</v>
      </c>
      <c r="H534" s="206">
        <v>0.1</v>
      </c>
      <c r="I534" s="194">
        <v>4000</v>
      </c>
      <c r="J534" s="194"/>
      <c r="K534" s="194"/>
      <c r="L534" s="194"/>
      <c r="M534" s="194"/>
      <c r="N534" s="194"/>
      <c r="O534" s="194">
        <v>800</v>
      </c>
      <c r="P534" s="194"/>
      <c r="Q534" s="194">
        <v>800</v>
      </c>
      <c r="S534" s="4" t="str">
        <f t="shared" si="20"/>
        <v>visible</v>
      </c>
    </row>
    <row r="535" spans="1:19" s="3" customFormat="1" ht="13.9" x14ac:dyDescent="0.4">
      <c r="A535" s="5">
        <f t="shared" si="19"/>
        <v>30</v>
      </c>
      <c r="B535" s="192" t="s">
        <v>575</v>
      </c>
      <c r="C535" s="192" t="s">
        <v>1</v>
      </c>
      <c r="D535" s="192" t="s">
        <v>0</v>
      </c>
      <c r="E535" s="192" t="s">
        <v>577</v>
      </c>
      <c r="F535" s="194">
        <v>200000</v>
      </c>
      <c r="G535" s="194">
        <v>200000</v>
      </c>
      <c r="H535" s="206">
        <v>0</v>
      </c>
      <c r="I535" s="194">
        <v>0</v>
      </c>
      <c r="J535" s="194"/>
      <c r="K535" s="194"/>
      <c r="L535" s="194"/>
      <c r="M535" s="194"/>
      <c r="N535" s="194"/>
      <c r="O535" s="194">
        <v>0</v>
      </c>
      <c r="P535" s="194"/>
      <c r="Q535" s="194">
        <v>0</v>
      </c>
      <c r="S535" s="4" t="str">
        <f t="shared" si="20"/>
        <v>visible</v>
      </c>
    </row>
    <row r="536" spans="1:19" s="3" customFormat="1" ht="13.9" x14ac:dyDescent="0.4">
      <c r="A536" s="5">
        <f t="shared" si="19"/>
        <v>31</v>
      </c>
      <c r="B536" s="192" t="s">
        <v>610</v>
      </c>
      <c r="C536" s="192" t="s">
        <v>1</v>
      </c>
      <c r="D536" s="192" t="s">
        <v>0</v>
      </c>
      <c r="E536" s="192" t="s">
        <v>545</v>
      </c>
      <c r="F536" s="194">
        <v>0</v>
      </c>
      <c r="G536" s="194">
        <v>0</v>
      </c>
      <c r="H536" s="206">
        <v>0.01</v>
      </c>
      <c r="I536" s="194">
        <v>0</v>
      </c>
      <c r="J536" s="194"/>
      <c r="K536" s="194"/>
      <c r="L536" s="194"/>
      <c r="M536" s="194"/>
      <c r="N536" s="194"/>
      <c r="O536" s="194">
        <v>0</v>
      </c>
      <c r="P536" s="194"/>
      <c r="Q536" s="194">
        <v>0</v>
      </c>
      <c r="S536" s="4" t="str">
        <f t="shared" si="20"/>
        <v>visible</v>
      </c>
    </row>
    <row r="537" spans="1:19" s="3" customFormat="1" ht="13.9" x14ac:dyDescent="0.4">
      <c r="A537" s="5">
        <f t="shared" si="19"/>
        <v>32</v>
      </c>
      <c r="B537" s="192" t="s">
        <v>620</v>
      </c>
      <c r="C537" s="192" t="s">
        <v>1</v>
      </c>
      <c r="D537" s="192" t="s">
        <v>0</v>
      </c>
      <c r="E537" s="192" t="s">
        <v>619</v>
      </c>
      <c r="F537" s="194">
        <v>100000</v>
      </c>
      <c r="G537" s="194">
        <v>100000</v>
      </c>
      <c r="H537" s="206">
        <v>0.1</v>
      </c>
      <c r="I537" s="194">
        <v>10000</v>
      </c>
      <c r="J537" s="194"/>
      <c r="K537" s="194"/>
      <c r="L537" s="194"/>
      <c r="M537" s="194"/>
      <c r="N537" s="194"/>
      <c r="O537" s="194">
        <v>0</v>
      </c>
      <c r="P537" s="194"/>
      <c r="Q537" s="194">
        <v>0</v>
      </c>
      <c r="S537" s="4" t="str">
        <f t="shared" si="20"/>
        <v>visible</v>
      </c>
    </row>
    <row r="538" spans="1:19" s="3" customFormat="1" ht="13.9" x14ac:dyDescent="0.4">
      <c r="A538" s="5">
        <f t="shared" si="19"/>
        <v>33</v>
      </c>
      <c r="B538" s="192" t="s">
        <v>689</v>
      </c>
      <c r="C538" s="192" t="s">
        <v>1</v>
      </c>
      <c r="D538" s="192" t="s">
        <v>0</v>
      </c>
      <c r="E538" s="192" t="s">
        <v>118</v>
      </c>
      <c r="F538" s="194">
        <v>231000</v>
      </c>
      <c r="G538" s="194">
        <v>231000</v>
      </c>
      <c r="H538" s="206">
        <v>0.1</v>
      </c>
      <c r="I538" s="194">
        <v>23100</v>
      </c>
      <c r="J538" s="194"/>
      <c r="K538" s="194"/>
      <c r="L538" s="194"/>
      <c r="M538" s="194"/>
      <c r="N538" s="194"/>
      <c r="O538" s="194">
        <v>4620</v>
      </c>
      <c r="P538" s="194">
        <v>0</v>
      </c>
      <c r="Q538" s="194">
        <v>4620</v>
      </c>
      <c r="S538" s="4" t="str">
        <f t="shared" si="20"/>
        <v>visible</v>
      </c>
    </row>
    <row r="539" spans="1:19" s="3" customFormat="1" ht="13.9" x14ac:dyDescent="0.4">
      <c r="A539" s="5">
        <f t="shared" si="19"/>
        <v>34</v>
      </c>
      <c r="B539" s="192" t="s">
        <v>719</v>
      </c>
      <c r="C539" s="192" t="s">
        <v>97</v>
      </c>
      <c r="D539" s="192" t="s">
        <v>0</v>
      </c>
      <c r="E539" s="192" t="s">
        <v>545</v>
      </c>
      <c r="F539" s="194">
        <v>1476119.4029850746</v>
      </c>
      <c r="G539" s="194">
        <v>1200000</v>
      </c>
      <c r="H539" s="206">
        <v>0.25</v>
      </c>
      <c r="I539" s="194">
        <v>300000</v>
      </c>
      <c r="J539" s="194"/>
      <c r="K539" s="194"/>
      <c r="L539" s="194"/>
      <c r="M539" s="194"/>
      <c r="N539" s="194"/>
      <c r="O539" s="194">
        <v>100000</v>
      </c>
      <c r="P539" s="194"/>
      <c r="Q539" s="194">
        <v>100000</v>
      </c>
      <c r="S539" s="4" t="str">
        <f t="shared" si="20"/>
        <v>visible</v>
      </c>
    </row>
    <row r="540" spans="1:19" s="3" customFormat="1" ht="13.9" x14ac:dyDescent="0.4">
      <c r="A540" s="5">
        <f t="shared" si="19"/>
        <v>35</v>
      </c>
      <c r="B540" s="192" t="s">
        <v>722</v>
      </c>
      <c r="C540" s="192" t="s">
        <v>1</v>
      </c>
      <c r="D540" s="192" t="s">
        <v>96</v>
      </c>
      <c r="E540" s="192" t="s">
        <v>163</v>
      </c>
      <c r="F540" s="194">
        <v>797619.04761904757</v>
      </c>
      <c r="G540" s="194">
        <v>250000</v>
      </c>
      <c r="H540" s="206">
        <v>0.1</v>
      </c>
      <c r="I540" s="194">
        <v>25000</v>
      </c>
      <c r="J540" s="194"/>
      <c r="K540" s="194"/>
      <c r="L540" s="194"/>
      <c r="M540" s="194"/>
      <c r="N540" s="194"/>
      <c r="O540" s="194">
        <v>5000</v>
      </c>
      <c r="P540" s="194"/>
      <c r="Q540" s="194">
        <v>5000</v>
      </c>
      <c r="S540" s="4" t="str">
        <f t="shared" si="20"/>
        <v>visible</v>
      </c>
    </row>
    <row r="541" spans="1:19" s="3" customFormat="1" ht="13.9" x14ac:dyDescent="0.4">
      <c r="A541" s="5">
        <f t="shared" si="19"/>
        <v>36</v>
      </c>
      <c r="B541" s="192" t="s">
        <v>720</v>
      </c>
      <c r="C541" s="192" t="s">
        <v>1</v>
      </c>
      <c r="D541" s="192" t="s">
        <v>0</v>
      </c>
      <c r="E541" s="192" t="s">
        <v>657</v>
      </c>
      <c r="F541" s="194">
        <v>15000</v>
      </c>
      <c r="G541" s="194">
        <v>15000</v>
      </c>
      <c r="H541" s="206">
        <v>0.1</v>
      </c>
      <c r="I541" s="194">
        <v>1500</v>
      </c>
      <c r="J541" s="194"/>
      <c r="K541" s="194"/>
      <c r="L541" s="194"/>
      <c r="M541" s="194"/>
      <c r="N541" s="194"/>
      <c r="O541" s="194">
        <v>300</v>
      </c>
      <c r="P541" s="194">
        <v>0</v>
      </c>
      <c r="Q541" s="194">
        <v>300</v>
      </c>
      <c r="S541" s="4" t="str">
        <f t="shared" si="20"/>
        <v>visible</v>
      </c>
    </row>
    <row r="542" spans="1:19" s="3" customFormat="1" ht="13.9" x14ac:dyDescent="0.4">
      <c r="A542" s="5">
        <f t="shared" si="19"/>
        <v>37</v>
      </c>
      <c r="B542" s="192" t="s">
        <v>865</v>
      </c>
      <c r="C542" s="192" t="s">
        <v>1</v>
      </c>
      <c r="D542" s="192" t="s">
        <v>96</v>
      </c>
      <c r="E542" s="192" t="s">
        <v>867</v>
      </c>
      <c r="F542" s="194">
        <v>3000000</v>
      </c>
      <c r="G542" s="194">
        <v>900000</v>
      </c>
      <c r="H542" s="206">
        <v>0</v>
      </c>
      <c r="I542" s="194">
        <v>0</v>
      </c>
      <c r="J542" s="194"/>
      <c r="K542" s="194"/>
      <c r="L542" s="194"/>
      <c r="M542" s="194"/>
      <c r="N542" s="194"/>
      <c r="O542" s="194">
        <v>0</v>
      </c>
      <c r="P542" s="194"/>
      <c r="Q542" s="194">
        <v>0</v>
      </c>
      <c r="S542" s="4" t="str">
        <f t="shared" si="20"/>
        <v>visible</v>
      </c>
    </row>
    <row r="543" spans="1:19" s="3" customFormat="1" ht="13.9" x14ac:dyDescent="0.4">
      <c r="A543" s="5" t="str">
        <f t="shared" si="19"/>
        <v/>
      </c>
      <c r="B543" s="204" t="s">
        <v>429</v>
      </c>
      <c r="C543" s="204"/>
      <c r="D543" s="204"/>
      <c r="E543" s="204"/>
      <c r="F543" s="205">
        <v>12778358.532795057</v>
      </c>
      <c r="G543" s="205">
        <v>8353160</v>
      </c>
      <c r="H543" s="211">
        <v>8.3030303030303038E-2</v>
      </c>
      <c r="I543" s="205">
        <v>504950</v>
      </c>
      <c r="J543" s="205"/>
      <c r="K543" s="205"/>
      <c r="L543" s="205"/>
      <c r="M543" s="205"/>
      <c r="N543" s="205"/>
      <c r="O543" s="205">
        <v>137640</v>
      </c>
      <c r="P543" s="205">
        <v>0</v>
      </c>
      <c r="Q543" s="205">
        <v>137640</v>
      </c>
      <c r="S543" s="4" t="str">
        <f t="shared" si="20"/>
        <v>visible</v>
      </c>
    </row>
    <row r="544" spans="1:19" s="3" customFormat="1" hidden="1" x14ac:dyDescent="0.45">
      <c r="A544" s="5" t="str">
        <f t="shared" si="19"/>
        <v/>
      </c>
      <c r="B544"/>
      <c r="C544"/>
      <c r="D544"/>
      <c r="E544"/>
      <c r="F544"/>
      <c r="G544"/>
      <c r="H544"/>
      <c r="I544"/>
      <c r="J544"/>
      <c r="K544"/>
      <c r="L544"/>
      <c r="M544"/>
      <c r="N544"/>
      <c r="O544"/>
      <c r="P544"/>
      <c r="Q544"/>
      <c r="S544" s="4" t="str">
        <f t="shared" si="20"/>
        <v/>
      </c>
    </row>
    <row r="545" spans="1:19" s="3" customFormat="1" hidden="1" x14ac:dyDescent="0.45">
      <c r="A545" s="5" t="str">
        <f t="shared" si="19"/>
        <v/>
      </c>
      <c r="B545"/>
      <c r="C545"/>
      <c r="D545"/>
      <c r="E545"/>
      <c r="F545"/>
      <c r="G545"/>
      <c r="H545"/>
      <c r="I545"/>
      <c r="J545"/>
      <c r="K545"/>
      <c r="L545"/>
      <c r="M545"/>
      <c r="N545"/>
      <c r="O545"/>
      <c r="P545"/>
      <c r="Q545"/>
      <c r="S545" s="4" t="str">
        <f t="shared" si="20"/>
        <v/>
      </c>
    </row>
    <row r="546" spans="1:19" s="3" customFormat="1" hidden="1" x14ac:dyDescent="0.45">
      <c r="A546" s="5" t="str">
        <f t="shared" si="19"/>
        <v/>
      </c>
      <c r="B546"/>
      <c r="C546"/>
      <c r="D546"/>
      <c r="E546"/>
      <c r="F546"/>
      <c r="G546"/>
      <c r="H546"/>
      <c r="I546"/>
      <c r="J546"/>
      <c r="K546"/>
      <c r="L546"/>
      <c r="M546"/>
      <c r="N546"/>
      <c r="O546"/>
      <c r="P546"/>
      <c r="Q546"/>
      <c r="S546" s="4" t="str">
        <f t="shared" si="20"/>
        <v/>
      </c>
    </row>
    <row r="547" spans="1:19" s="3" customFormat="1" hidden="1" x14ac:dyDescent="0.45">
      <c r="A547" s="5" t="str">
        <f t="shared" si="19"/>
        <v/>
      </c>
      <c r="B547"/>
      <c r="C547"/>
      <c r="D547"/>
      <c r="E547"/>
      <c r="F547"/>
      <c r="G547"/>
      <c r="H547"/>
      <c r="I547"/>
      <c r="J547"/>
      <c r="K547"/>
      <c r="L547"/>
      <c r="M547"/>
      <c r="N547"/>
      <c r="O547"/>
      <c r="P547"/>
      <c r="Q547"/>
      <c r="S547" s="4" t="str">
        <f t="shared" si="20"/>
        <v/>
      </c>
    </row>
    <row r="548" spans="1:19" s="3" customFormat="1" ht="13.9" hidden="1" x14ac:dyDescent="0.4">
      <c r="A548" s="5" t="str">
        <f t="shared" si="19"/>
        <v/>
      </c>
      <c r="F548" s="16"/>
      <c r="G548" s="17"/>
      <c r="H548" s="17"/>
      <c r="I548" s="17"/>
      <c r="J548" s="17"/>
      <c r="S548" s="4" t="str">
        <f t="shared" si="20"/>
        <v/>
      </c>
    </row>
    <row r="549" spans="1:19" s="3" customFormat="1" ht="13.9" hidden="1" x14ac:dyDescent="0.4">
      <c r="A549" s="5" t="str">
        <f t="shared" si="19"/>
        <v/>
      </c>
      <c r="F549" s="16"/>
      <c r="G549" s="17"/>
      <c r="H549" s="17"/>
      <c r="I549" s="17"/>
      <c r="J549" s="17"/>
      <c r="S549" s="4" t="str">
        <f t="shared" si="20"/>
        <v/>
      </c>
    </row>
    <row r="550" spans="1:19" s="3" customFormat="1" ht="13.9" hidden="1" x14ac:dyDescent="0.4">
      <c r="A550" s="5" t="str">
        <f t="shared" si="19"/>
        <v/>
      </c>
      <c r="F550" s="16"/>
      <c r="G550" s="17"/>
      <c r="H550" s="17"/>
      <c r="I550" s="17"/>
      <c r="J550" s="17"/>
      <c r="S550" s="4" t="str">
        <f t="shared" si="20"/>
        <v/>
      </c>
    </row>
    <row r="551" spans="1:19" s="3" customFormat="1" ht="13.9" hidden="1" x14ac:dyDescent="0.4">
      <c r="A551" s="5" t="str">
        <f t="shared" si="19"/>
        <v/>
      </c>
      <c r="F551" s="16"/>
      <c r="G551" s="17"/>
      <c r="H551" s="17"/>
      <c r="I551" s="17"/>
      <c r="J551" s="17"/>
      <c r="S551" s="4" t="str">
        <f t="shared" si="20"/>
        <v/>
      </c>
    </row>
    <row r="552" spans="1:19" s="3" customFormat="1" ht="13.9" hidden="1" x14ac:dyDescent="0.4">
      <c r="A552" s="5" t="str">
        <f t="shared" si="19"/>
        <v/>
      </c>
      <c r="F552" s="16"/>
      <c r="G552" s="17"/>
      <c r="H552" s="17"/>
      <c r="I552" s="17"/>
      <c r="J552" s="17"/>
      <c r="S552" s="4" t="str">
        <f t="shared" si="20"/>
        <v/>
      </c>
    </row>
    <row r="553" spans="1:19" s="3" customFormat="1" ht="13.9" hidden="1" x14ac:dyDescent="0.4">
      <c r="A553" s="5" t="str">
        <f t="shared" si="19"/>
        <v/>
      </c>
      <c r="F553" s="16"/>
      <c r="G553" s="17"/>
      <c r="H553" s="17"/>
      <c r="I553" s="17"/>
      <c r="J553" s="17"/>
      <c r="S553" s="4" t="str">
        <f t="shared" si="20"/>
        <v/>
      </c>
    </row>
    <row r="554" spans="1:19" s="3" customFormat="1" ht="13.9" hidden="1" x14ac:dyDescent="0.4">
      <c r="A554" s="5" t="str">
        <f t="shared" si="19"/>
        <v/>
      </c>
      <c r="F554" s="16"/>
      <c r="G554" s="17"/>
      <c r="H554" s="17"/>
      <c r="I554" s="17"/>
      <c r="J554" s="17"/>
      <c r="S554" s="4" t="str">
        <f t="shared" si="20"/>
        <v/>
      </c>
    </row>
    <row r="555" spans="1:19" s="3" customFormat="1" ht="13.9" hidden="1" x14ac:dyDescent="0.4">
      <c r="A555" s="5" t="str">
        <f t="shared" si="19"/>
        <v/>
      </c>
      <c r="F555" s="16"/>
      <c r="G555" s="17"/>
      <c r="H555" s="17"/>
      <c r="I555" s="17"/>
      <c r="J555" s="17"/>
      <c r="S555" s="4" t="str">
        <f t="shared" si="20"/>
        <v/>
      </c>
    </row>
    <row r="556" spans="1:19" s="3" customFormat="1" ht="13.9" hidden="1" x14ac:dyDescent="0.4">
      <c r="A556" s="5" t="str">
        <f t="shared" si="19"/>
        <v/>
      </c>
      <c r="F556" s="16"/>
      <c r="G556" s="17"/>
      <c r="H556" s="17"/>
      <c r="I556" s="17"/>
      <c r="J556" s="17"/>
      <c r="S556" s="4" t="str">
        <f t="shared" si="20"/>
        <v/>
      </c>
    </row>
    <row r="557" spans="1:19" s="3" customFormat="1" ht="13.9" hidden="1" x14ac:dyDescent="0.4">
      <c r="A557" s="5" t="str">
        <f t="shared" si="19"/>
        <v/>
      </c>
      <c r="F557" s="16"/>
      <c r="G557" s="17"/>
      <c r="H557" s="17"/>
      <c r="I557" s="17"/>
      <c r="J557" s="17"/>
      <c r="S557" s="4" t="str">
        <f t="shared" si="20"/>
        <v/>
      </c>
    </row>
    <row r="558" spans="1:19" s="3" customFormat="1" ht="13.9" hidden="1" x14ac:dyDescent="0.4">
      <c r="A558" s="5" t="str">
        <f t="shared" si="19"/>
        <v/>
      </c>
      <c r="F558" s="16"/>
      <c r="G558" s="17"/>
      <c r="H558" s="17"/>
      <c r="I558" s="17"/>
      <c r="J558" s="17"/>
      <c r="S558" s="4" t="str">
        <f t="shared" si="20"/>
        <v/>
      </c>
    </row>
    <row r="559" spans="1:19" s="3" customFormat="1" ht="13.9" hidden="1" x14ac:dyDescent="0.4">
      <c r="A559" s="5" t="str">
        <f t="shared" si="19"/>
        <v/>
      </c>
      <c r="F559" s="16"/>
      <c r="G559" s="17"/>
      <c r="H559" s="17"/>
      <c r="I559" s="17"/>
      <c r="J559" s="17"/>
      <c r="S559" s="4" t="str">
        <f t="shared" si="20"/>
        <v/>
      </c>
    </row>
    <row r="560" spans="1:19" s="3" customFormat="1" ht="13.9" hidden="1" x14ac:dyDescent="0.4">
      <c r="A560" s="5" t="str">
        <f t="shared" si="19"/>
        <v/>
      </c>
      <c r="F560" s="16"/>
      <c r="G560" s="17"/>
      <c r="H560" s="17"/>
      <c r="I560" s="17"/>
      <c r="J560" s="17"/>
      <c r="S560" s="4" t="str">
        <f t="shared" si="20"/>
        <v/>
      </c>
    </row>
    <row r="561" spans="1:19" s="3" customFormat="1" ht="13.9" hidden="1" x14ac:dyDescent="0.4">
      <c r="A561" s="5" t="str">
        <f t="shared" si="19"/>
        <v/>
      </c>
      <c r="F561" s="16"/>
      <c r="G561" s="17"/>
      <c r="H561" s="17"/>
      <c r="I561" s="17"/>
      <c r="J561" s="17"/>
      <c r="S561" s="4" t="str">
        <f t="shared" si="20"/>
        <v/>
      </c>
    </row>
    <row r="562" spans="1:19" s="3" customFormat="1" ht="13.9" hidden="1" x14ac:dyDescent="0.4">
      <c r="A562" s="5" t="str">
        <f t="shared" si="19"/>
        <v/>
      </c>
      <c r="F562" s="16"/>
      <c r="G562" s="17"/>
      <c r="H562" s="17"/>
      <c r="I562" s="17"/>
      <c r="J562" s="17"/>
      <c r="S562" s="4" t="str">
        <f t="shared" si="20"/>
        <v/>
      </c>
    </row>
    <row r="563" spans="1:19" s="3" customFormat="1" ht="13.9" hidden="1" x14ac:dyDescent="0.4">
      <c r="A563" s="5" t="str">
        <f t="shared" si="19"/>
        <v/>
      </c>
      <c r="F563" s="16"/>
      <c r="G563" s="17"/>
      <c r="H563" s="17"/>
      <c r="I563" s="17"/>
      <c r="J563" s="17"/>
      <c r="S563" s="4" t="str">
        <f t="shared" si="20"/>
        <v/>
      </c>
    </row>
    <row r="564" spans="1:19" s="3" customFormat="1" ht="13.9" hidden="1" x14ac:dyDescent="0.4">
      <c r="A564" s="5" t="str">
        <f t="shared" si="19"/>
        <v/>
      </c>
      <c r="F564" s="16"/>
      <c r="G564" s="17"/>
      <c r="H564" s="17"/>
      <c r="I564" s="17"/>
      <c r="J564" s="17"/>
      <c r="S564" s="4" t="str">
        <f t="shared" si="20"/>
        <v/>
      </c>
    </row>
    <row r="565" spans="1:19" s="3" customFormat="1" ht="13.9" hidden="1" x14ac:dyDescent="0.4">
      <c r="A565" s="5" t="str">
        <f t="shared" si="19"/>
        <v/>
      </c>
      <c r="F565" s="16"/>
      <c r="G565" s="17"/>
      <c r="H565" s="17"/>
      <c r="I565" s="17"/>
      <c r="J565" s="17"/>
      <c r="S565" s="4" t="str">
        <f t="shared" si="20"/>
        <v/>
      </c>
    </row>
    <row r="566" spans="1:19" s="3" customFormat="1" ht="13.9" hidden="1" x14ac:dyDescent="0.4">
      <c r="A566" s="5" t="str">
        <f t="shared" si="19"/>
        <v/>
      </c>
      <c r="F566" s="16"/>
      <c r="G566" s="17"/>
      <c r="H566" s="17"/>
      <c r="I566" s="17"/>
      <c r="J566" s="17"/>
      <c r="S566" s="4" t="str">
        <f t="shared" si="20"/>
        <v/>
      </c>
    </row>
    <row r="567" spans="1:19" s="3" customFormat="1" ht="13.9" hidden="1" x14ac:dyDescent="0.4">
      <c r="A567" s="5" t="str">
        <f t="shared" si="19"/>
        <v/>
      </c>
      <c r="F567" s="16"/>
      <c r="G567" s="17"/>
      <c r="H567" s="17"/>
      <c r="I567" s="17"/>
      <c r="J567" s="17"/>
      <c r="S567" s="4" t="str">
        <f t="shared" si="20"/>
        <v/>
      </c>
    </row>
    <row r="568" spans="1:19" s="3" customFormat="1" ht="13.9" hidden="1" x14ac:dyDescent="0.4">
      <c r="A568" s="5" t="str">
        <f t="shared" si="19"/>
        <v/>
      </c>
      <c r="F568" s="16"/>
      <c r="G568" s="17"/>
      <c r="H568" s="17"/>
      <c r="I568" s="17"/>
      <c r="J568" s="17"/>
      <c r="S568" s="4" t="str">
        <f t="shared" si="20"/>
        <v/>
      </c>
    </row>
    <row r="569" spans="1:19" s="3" customFormat="1" ht="13.9" hidden="1" x14ac:dyDescent="0.4">
      <c r="A569" s="5" t="str">
        <f t="shared" si="19"/>
        <v/>
      </c>
      <c r="F569" s="16"/>
      <c r="G569" s="17"/>
      <c r="H569" s="17"/>
      <c r="I569" s="17"/>
      <c r="J569" s="17"/>
      <c r="S569" s="4" t="str">
        <f t="shared" si="20"/>
        <v/>
      </c>
    </row>
    <row r="570" spans="1:19" s="3" customFormat="1" ht="13.9" hidden="1" x14ac:dyDescent="0.4">
      <c r="A570" s="5" t="str">
        <f t="shared" si="19"/>
        <v/>
      </c>
      <c r="F570" s="16"/>
      <c r="G570" s="17"/>
      <c r="H570" s="17"/>
      <c r="I570" s="17"/>
      <c r="J570" s="17"/>
      <c r="S570" s="4" t="str">
        <f t="shared" si="20"/>
        <v/>
      </c>
    </row>
    <row r="571" spans="1:19" s="3" customFormat="1" ht="13.9" hidden="1" x14ac:dyDescent="0.4">
      <c r="A571" s="5" t="str">
        <f t="shared" ref="A571:A634" si="21">IF(S571 ="visible",IF(B571 = "Total","",A570+1),"")</f>
        <v/>
      </c>
      <c r="F571" s="16"/>
      <c r="G571" s="17"/>
      <c r="H571" s="17"/>
      <c r="I571" s="17"/>
      <c r="J571" s="17"/>
      <c r="S571" s="4" t="str">
        <f t="shared" si="20"/>
        <v/>
      </c>
    </row>
    <row r="572" spans="1:19" s="3" customFormat="1" ht="13.9" hidden="1" x14ac:dyDescent="0.4">
      <c r="A572" s="5" t="str">
        <f t="shared" si="21"/>
        <v/>
      </c>
      <c r="F572" s="16"/>
      <c r="G572" s="17"/>
      <c r="H572" s="17"/>
      <c r="I572" s="17"/>
      <c r="J572" s="17"/>
      <c r="S572" s="4" t="str">
        <f t="shared" si="20"/>
        <v/>
      </c>
    </row>
    <row r="573" spans="1:19" s="3" customFormat="1" ht="13.9" hidden="1" x14ac:dyDescent="0.4">
      <c r="A573" s="5" t="str">
        <f t="shared" si="21"/>
        <v/>
      </c>
      <c r="F573" s="16"/>
      <c r="G573" s="17"/>
      <c r="H573" s="17"/>
      <c r="I573" s="17"/>
      <c r="J573" s="17"/>
      <c r="S573" s="4" t="str">
        <f t="shared" si="20"/>
        <v/>
      </c>
    </row>
    <row r="574" spans="1:19" s="3" customFormat="1" ht="13.9" hidden="1" x14ac:dyDescent="0.4">
      <c r="A574" s="5" t="str">
        <f t="shared" si="21"/>
        <v/>
      </c>
      <c r="F574" s="16"/>
      <c r="G574" s="17"/>
      <c r="H574" s="17"/>
      <c r="I574" s="17"/>
      <c r="J574" s="17"/>
      <c r="S574" s="4" t="str">
        <f t="shared" si="20"/>
        <v/>
      </c>
    </row>
    <row r="575" spans="1:19" s="3" customFormat="1" ht="13.9" hidden="1" x14ac:dyDescent="0.4">
      <c r="A575" s="5" t="str">
        <f t="shared" si="21"/>
        <v/>
      </c>
      <c r="F575" s="16"/>
      <c r="G575" s="17"/>
      <c r="H575" s="17"/>
      <c r="I575" s="17"/>
      <c r="J575" s="17"/>
      <c r="S575" s="4" t="str">
        <f t="shared" si="20"/>
        <v/>
      </c>
    </row>
    <row r="576" spans="1:19" s="3" customFormat="1" ht="13.9" hidden="1" x14ac:dyDescent="0.4">
      <c r="A576" s="5" t="str">
        <f t="shared" si="21"/>
        <v/>
      </c>
      <c r="F576" s="16"/>
      <c r="G576" s="17"/>
      <c r="H576" s="17"/>
      <c r="I576" s="17"/>
      <c r="J576" s="17"/>
      <c r="S576" s="4" t="str">
        <f t="shared" si="20"/>
        <v/>
      </c>
    </row>
    <row r="577" spans="1:19" s="3" customFormat="1" ht="13.9" hidden="1" x14ac:dyDescent="0.4">
      <c r="A577" s="5" t="str">
        <f t="shared" si="21"/>
        <v/>
      </c>
      <c r="F577" s="16"/>
      <c r="G577" s="17"/>
      <c r="H577" s="17"/>
      <c r="I577" s="17"/>
      <c r="J577" s="17"/>
      <c r="S577" s="4" t="str">
        <f t="shared" si="20"/>
        <v/>
      </c>
    </row>
    <row r="578" spans="1:19" s="3" customFormat="1" ht="13.9" hidden="1" x14ac:dyDescent="0.4">
      <c r="A578" s="5" t="str">
        <f t="shared" si="21"/>
        <v/>
      </c>
      <c r="F578" s="16"/>
      <c r="G578" s="17"/>
      <c r="H578" s="17"/>
      <c r="I578" s="17"/>
      <c r="J578" s="17"/>
      <c r="S578" s="4" t="str">
        <f t="shared" si="20"/>
        <v/>
      </c>
    </row>
    <row r="579" spans="1:19" s="3" customFormat="1" ht="13.9" hidden="1" x14ac:dyDescent="0.4">
      <c r="A579" s="5" t="str">
        <f t="shared" si="21"/>
        <v/>
      </c>
      <c r="F579" s="16"/>
      <c r="G579" s="17"/>
      <c r="H579" s="17"/>
      <c r="I579" s="17"/>
      <c r="J579" s="17"/>
      <c r="S579" s="4" t="str">
        <f t="shared" si="20"/>
        <v/>
      </c>
    </row>
    <row r="580" spans="1:19" s="3" customFormat="1" ht="13.9" hidden="1" x14ac:dyDescent="0.4">
      <c r="A580" s="5" t="str">
        <f t="shared" si="21"/>
        <v/>
      </c>
      <c r="F580" s="16"/>
      <c r="G580" s="17"/>
      <c r="H580" s="17"/>
      <c r="I580" s="17"/>
      <c r="J580" s="17"/>
      <c r="S580" s="4" t="str">
        <f t="shared" si="20"/>
        <v/>
      </c>
    </row>
    <row r="581" spans="1:19" s="3" customFormat="1" ht="13.9" hidden="1" x14ac:dyDescent="0.4">
      <c r="A581" s="5" t="str">
        <f t="shared" si="21"/>
        <v/>
      </c>
      <c r="F581" s="16"/>
      <c r="G581" s="17"/>
      <c r="H581" s="17"/>
      <c r="I581" s="17"/>
      <c r="J581" s="17"/>
      <c r="S581" s="4" t="str">
        <f t="shared" ref="S581:S644" si="22">IF(B581&lt;&gt;"","visible","")</f>
        <v/>
      </c>
    </row>
    <row r="582" spans="1:19" s="3" customFormat="1" ht="13.9" hidden="1" x14ac:dyDescent="0.4">
      <c r="A582" s="5" t="str">
        <f t="shared" si="21"/>
        <v/>
      </c>
      <c r="F582" s="16"/>
      <c r="G582" s="17"/>
      <c r="H582" s="17"/>
      <c r="I582" s="17"/>
      <c r="J582" s="17"/>
      <c r="S582" s="4" t="str">
        <f t="shared" si="22"/>
        <v/>
      </c>
    </row>
    <row r="583" spans="1:19" s="3" customFormat="1" ht="13.9" hidden="1" x14ac:dyDescent="0.4">
      <c r="A583" s="5" t="str">
        <f t="shared" si="21"/>
        <v/>
      </c>
      <c r="F583" s="16"/>
      <c r="G583" s="17"/>
      <c r="H583" s="17"/>
      <c r="I583" s="17"/>
      <c r="J583" s="17"/>
      <c r="S583" s="4" t="str">
        <f t="shared" si="22"/>
        <v/>
      </c>
    </row>
    <row r="584" spans="1:19" s="3" customFormat="1" ht="13.9" hidden="1" x14ac:dyDescent="0.4">
      <c r="A584" s="5" t="str">
        <f t="shared" si="21"/>
        <v/>
      </c>
      <c r="F584" s="16"/>
      <c r="G584" s="17"/>
      <c r="H584" s="17"/>
      <c r="I584" s="17"/>
      <c r="J584" s="17"/>
      <c r="S584" s="4" t="str">
        <f t="shared" si="22"/>
        <v/>
      </c>
    </row>
    <row r="585" spans="1:19" s="3" customFormat="1" ht="13.9" hidden="1" x14ac:dyDescent="0.4">
      <c r="A585" s="5" t="str">
        <f t="shared" si="21"/>
        <v/>
      </c>
      <c r="F585" s="16"/>
      <c r="G585" s="17"/>
      <c r="H585" s="17"/>
      <c r="I585" s="17"/>
      <c r="J585" s="17"/>
      <c r="S585" s="4" t="str">
        <f t="shared" si="22"/>
        <v/>
      </c>
    </row>
    <row r="586" spans="1:19" s="3" customFormat="1" ht="13.9" hidden="1" x14ac:dyDescent="0.4">
      <c r="A586" s="5" t="str">
        <f t="shared" si="21"/>
        <v/>
      </c>
      <c r="F586" s="16"/>
      <c r="G586" s="17"/>
      <c r="H586" s="17"/>
      <c r="I586" s="17"/>
      <c r="J586" s="17"/>
      <c r="S586" s="4" t="str">
        <f t="shared" si="22"/>
        <v/>
      </c>
    </row>
    <row r="587" spans="1:19" s="3" customFormat="1" ht="13.9" hidden="1" x14ac:dyDescent="0.4">
      <c r="A587" s="5" t="str">
        <f t="shared" si="21"/>
        <v/>
      </c>
      <c r="F587" s="16"/>
      <c r="G587" s="17"/>
      <c r="H587" s="17"/>
      <c r="I587" s="17"/>
      <c r="J587" s="17"/>
      <c r="S587" s="4" t="str">
        <f t="shared" si="22"/>
        <v/>
      </c>
    </row>
    <row r="588" spans="1:19" s="3" customFormat="1" ht="13.9" hidden="1" x14ac:dyDescent="0.4">
      <c r="A588" s="5" t="str">
        <f t="shared" si="21"/>
        <v/>
      </c>
      <c r="F588" s="16"/>
      <c r="G588" s="17"/>
      <c r="H588" s="17"/>
      <c r="I588" s="17"/>
      <c r="J588" s="17"/>
      <c r="S588" s="4" t="str">
        <f t="shared" si="22"/>
        <v/>
      </c>
    </row>
    <row r="589" spans="1:19" s="3" customFormat="1" ht="13.9" hidden="1" x14ac:dyDescent="0.4">
      <c r="A589" s="5" t="str">
        <f t="shared" si="21"/>
        <v/>
      </c>
      <c r="F589" s="16"/>
      <c r="G589" s="17"/>
      <c r="H589" s="17"/>
      <c r="I589" s="17"/>
      <c r="J589" s="17"/>
      <c r="S589" s="4" t="str">
        <f t="shared" si="22"/>
        <v/>
      </c>
    </row>
    <row r="590" spans="1:19" s="3" customFormat="1" ht="13.9" hidden="1" x14ac:dyDescent="0.4">
      <c r="A590" s="5" t="str">
        <f t="shared" si="21"/>
        <v/>
      </c>
      <c r="F590" s="16"/>
      <c r="G590" s="17"/>
      <c r="H590" s="17"/>
      <c r="I590" s="17"/>
      <c r="J590" s="17"/>
      <c r="S590" s="4" t="str">
        <f t="shared" si="22"/>
        <v/>
      </c>
    </row>
    <row r="591" spans="1:19" s="3" customFormat="1" ht="13.9" hidden="1" x14ac:dyDescent="0.4">
      <c r="A591" s="5" t="str">
        <f t="shared" si="21"/>
        <v/>
      </c>
      <c r="F591" s="16"/>
      <c r="G591" s="17"/>
      <c r="H591" s="17"/>
      <c r="I591" s="17"/>
      <c r="J591" s="17"/>
      <c r="S591" s="4" t="str">
        <f t="shared" si="22"/>
        <v/>
      </c>
    </row>
    <row r="592" spans="1:19" s="3" customFormat="1" ht="13.9" hidden="1" x14ac:dyDescent="0.4">
      <c r="A592" s="5" t="str">
        <f t="shared" si="21"/>
        <v/>
      </c>
      <c r="F592" s="16"/>
      <c r="G592" s="17"/>
      <c r="H592" s="17"/>
      <c r="I592" s="17"/>
      <c r="J592" s="17"/>
      <c r="S592" s="4" t="str">
        <f t="shared" si="22"/>
        <v/>
      </c>
    </row>
    <row r="593" spans="1:19" s="3" customFormat="1" ht="13.9" hidden="1" x14ac:dyDescent="0.4">
      <c r="A593" s="5" t="str">
        <f t="shared" si="21"/>
        <v/>
      </c>
      <c r="F593" s="16"/>
      <c r="G593" s="17"/>
      <c r="H593" s="17"/>
      <c r="I593" s="17"/>
      <c r="J593" s="17"/>
      <c r="S593" s="4" t="str">
        <f t="shared" si="22"/>
        <v/>
      </c>
    </row>
    <row r="594" spans="1:19" s="3" customFormat="1" ht="13.9" hidden="1" x14ac:dyDescent="0.4">
      <c r="A594" s="5" t="str">
        <f t="shared" si="21"/>
        <v/>
      </c>
      <c r="F594" s="16"/>
      <c r="G594" s="17"/>
      <c r="H594" s="17"/>
      <c r="I594" s="17"/>
      <c r="J594" s="17"/>
      <c r="S594" s="4" t="str">
        <f t="shared" si="22"/>
        <v/>
      </c>
    </row>
    <row r="595" spans="1:19" s="3" customFormat="1" ht="13.9" hidden="1" x14ac:dyDescent="0.4">
      <c r="A595" s="5" t="str">
        <f t="shared" si="21"/>
        <v/>
      </c>
      <c r="F595" s="16"/>
      <c r="G595" s="17"/>
      <c r="H595" s="17"/>
      <c r="I595" s="17"/>
      <c r="J595" s="17"/>
      <c r="S595" s="4" t="str">
        <f t="shared" si="22"/>
        <v/>
      </c>
    </row>
    <row r="596" spans="1:19" s="3" customFormat="1" ht="13.9" hidden="1" x14ac:dyDescent="0.4">
      <c r="A596" s="5" t="str">
        <f t="shared" si="21"/>
        <v/>
      </c>
      <c r="F596" s="16"/>
      <c r="G596" s="17"/>
      <c r="H596" s="17"/>
      <c r="I596" s="17"/>
      <c r="J596" s="17"/>
      <c r="S596" s="4" t="str">
        <f t="shared" si="22"/>
        <v/>
      </c>
    </row>
    <row r="597" spans="1:19" s="3" customFormat="1" ht="13.9" hidden="1" x14ac:dyDescent="0.4">
      <c r="A597" s="5" t="str">
        <f t="shared" si="21"/>
        <v/>
      </c>
      <c r="F597" s="16"/>
      <c r="G597" s="17"/>
      <c r="H597" s="17"/>
      <c r="I597" s="17"/>
      <c r="J597" s="17"/>
      <c r="S597" s="4" t="str">
        <f t="shared" si="22"/>
        <v/>
      </c>
    </row>
    <row r="598" spans="1:19" s="3" customFormat="1" ht="13.9" hidden="1" x14ac:dyDescent="0.4">
      <c r="A598" s="5" t="str">
        <f t="shared" si="21"/>
        <v/>
      </c>
      <c r="F598" s="16"/>
      <c r="G598" s="17"/>
      <c r="H598" s="17"/>
      <c r="I598" s="17"/>
      <c r="J598" s="17"/>
      <c r="S598" s="4" t="str">
        <f t="shared" si="22"/>
        <v/>
      </c>
    </row>
    <row r="599" spans="1:19" s="3" customFormat="1" ht="13.9" hidden="1" x14ac:dyDescent="0.4">
      <c r="A599" s="5" t="str">
        <f t="shared" si="21"/>
        <v/>
      </c>
      <c r="F599" s="16"/>
      <c r="G599" s="17"/>
      <c r="H599" s="17"/>
      <c r="I599" s="17"/>
      <c r="J599" s="17"/>
      <c r="S599" s="4" t="str">
        <f t="shared" si="22"/>
        <v/>
      </c>
    </row>
    <row r="600" spans="1:19" s="3" customFormat="1" ht="13.9" hidden="1" x14ac:dyDescent="0.4">
      <c r="A600" s="5" t="str">
        <f t="shared" si="21"/>
        <v/>
      </c>
      <c r="F600" s="16"/>
      <c r="G600" s="17"/>
      <c r="H600" s="17"/>
      <c r="I600" s="17"/>
      <c r="J600" s="17"/>
      <c r="S600" s="4" t="str">
        <f t="shared" si="22"/>
        <v/>
      </c>
    </row>
    <row r="601" spans="1:19" s="3" customFormat="1" ht="13.9" hidden="1" x14ac:dyDescent="0.4">
      <c r="A601" s="5" t="str">
        <f t="shared" si="21"/>
        <v/>
      </c>
      <c r="F601" s="16"/>
      <c r="G601" s="17"/>
      <c r="H601" s="17"/>
      <c r="I601" s="17"/>
      <c r="J601" s="17"/>
      <c r="S601" s="4" t="str">
        <f t="shared" si="22"/>
        <v/>
      </c>
    </row>
    <row r="602" spans="1:19" s="3" customFormat="1" ht="13.9" hidden="1" x14ac:dyDescent="0.4">
      <c r="A602" s="5" t="str">
        <f t="shared" si="21"/>
        <v/>
      </c>
      <c r="F602" s="16"/>
      <c r="G602" s="17"/>
      <c r="H602" s="17"/>
      <c r="I602" s="17"/>
      <c r="J602" s="17"/>
      <c r="S602" s="4" t="str">
        <f t="shared" si="22"/>
        <v/>
      </c>
    </row>
    <row r="603" spans="1:19" s="3" customFormat="1" ht="13.9" hidden="1" x14ac:dyDescent="0.4">
      <c r="A603" s="5" t="str">
        <f t="shared" si="21"/>
        <v/>
      </c>
      <c r="F603" s="16"/>
      <c r="G603" s="17"/>
      <c r="H603" s="17"/>
      <c r="I603" s="17"/>
      <c r="J603" s="17"/>
      <c r="S603" s="4" t="str">
        <f t="shared" si="22"/>
        <v/>
      </c>
    </row>
    <row r="604" spans="1:19" s="3" customFormat="1" ht="13.9" hidden="1" x14ac:dyDescent="0.4">
      <c r="A604" s="5" t="str">
        <f t="shared" si="21"/>
        <v/>
      </c>
      <c r="F604" s="16"/>
      <c r="G604" s="17"/>
      <c r="H604" s="17"/>
      <c r="I604" s="17"/>
      <c r="J604" s="17"/>
      <c r="S604" s="4" t="str">
        <f t="shared" si="22"/>
        <v/>
      </c>
    </row>
    <row r="605" spans="1:19" s="3" customFormat="1" ht="13.9" hidden="1" x14ac:dyDescent="0.4">
      <c r="A605" s="5" t="str">
        <f t="shared" si="21"/>
        <v/>
      </c>
      <c r="F605" s="16"/>
      <c r="G605" s="17"/>
      <c r="H605" s="17"/>
      <c r="I605" s="17"/>
      <c r="J605" s="17"/>
      <c r="S605" s="4" t="str">
        <f t="shared" si="22"/>
        <v/>
      </c>
    </row>
    <row r="606" spans="1:19" s="3" customFormat="1" ht="13.9" hidden="1" x14ac:dyDescent="0.4">
      <c r="A606" s="5" t="str">
        <f t="shared" si="21"/>
        <v/>
      </c>
      <c r="F606" s="16"/>
      <c r="G606" s="17"/>
      <c r="H606" s="17"/>
      <c r="I606" s="17"/>
      <c r="J606" s="17"/>
      <c r="S606" s="4" t="str">
        <f t="shared" si="22"/>
        <v/>
      </c>
    </row>
    <row r="607" spans="1:19" s="3" customFormat="1" ht="13.9" hidden="1" x14ac:dyDescent="0.4">
      <c r="A607" s="5" t="str">
        <f t="shared" si="21"/>
        <v/>
      </c>
      <c r="F607" s="16"/>
      <c r="G607" s="17"/>
      <c r="H607" s="17"/>
      <c r="I607" s="17"/>
      <c r="J607" s="17"/>
      <c r="S607" s="4" t="str">
        <f t="shared" si="22"/>
        <v/>
      </c>
    </row>
    <row r="608" spans="1:19" s="3" customFormat="1" ht="13.9" hidden="1" x14ac:dyDescent="0.4">
      <c r="A608" s="5" t="str">
        <f t="shared" si="21"/>
        <v/>
      </c>
      <c r="F608" s="16"/>
      <c r="G608" s="17"/>
      <c r="H608" s="17"/>
      <c r="I608" s="17"/>
      <c r="J608" s="17"/>
      <c r="S608" s="4" t="str">
        <f t="shared" si="22"/>
        <v/>
      </c>
    </row>
    <row r="609" spans="1:19" s="3" customFormat="1" ht="13.9" hidden="1" x14ac:dyDescent="0.4">
      <c r="A609" s="5" t="str">
        <f t="shared" si="21"/>
        <v/>
      </c>
      <c r="F609" s="16"/>
      <c r="G609" s="17"/>
      <c r="H609" s="17"/>
      <c r="I609" s="17"/>
      <c r="J609" s="17"/>
      <c r="S609" s="4" t="str">
        <f t="shared" si="22"/>
        <v/>
      </c>
    </row>
    <row r="610" spans="1:19" s="3" customFormat="1" ht="13.9" hidden="1" x14ac:dyDescent="0.4">
      <c r="A610" s="5" t="str">
        <f t="shared" si="21"/>
        <v/>
      </c>
      <c r="F610" s="16"/>
      <c r="G610" s="17"/>
      <c r="H610" s="17"/>
      <c r="I610" s="17"/>
      <c r="J610" s="17"/>
      <c r="S610" s="4" t="str">
        <f t="shared" si="22"/>
        <v/>
      </c>
    </row>
    <row r="611" spans="1:19" s="3" customFormat="1" ht="13.9" hidden="1" x14ac:dyDescent="0.4">
      <c r="A611" s="5" t="str">
        <f t="shared" si="21"/>
        <v/>
      </c>
      <c r="F611" s="16"/>
      <c r="G611" s="17"/>
      <c r="H611" s="17"/>
      <c r="I611" s="17"/>
      <c r="J611" s="17"/>
      <c r="S611" s="4" t="str">
        <f t="shared" si="22"/>
        <v/>
      </c>
    </row>
    <row r="612" spans="1:19" s="3" customFormat="1" ht="13.9" hidden="1" x14ac:dyDescent="0.4">
      <c r="A612" s="5" t="str">
        <f t="shared" si="21"/>
        <v/>
      </c>
      <c r="F612" s="16"/>
      <c r="G612" s="17"/>
      <c r="H612" s="17"/>
      <c r="I612" s="17"/>
      <c r="J612" s="17"/>
      <c r="S612" s="4" t="str">
        <f t="shared" si="22"/>
        <v/>
      </c>
    </row>
    <row r="613" spans="1:19" s="3" customFormat="1" ht="13.9" hidden="1" x14ac:dyDescent="0.4">
      <c r="A613" s="5" t="str">
        <f t="shared" si="21"/>
        <v/>
      </c>
      <c r="F613" s="16"/>
      <c r="G613" s="17"/>
      <c r="H613" s="17"/>
      <c r="I613" s="17"/>
      <c r="J613" s="17"/>
      <c r="S613" s="4" t="str">
        <f t="shared" si="22"/>
        <v/>
      </c>
    </row>
    <row r="614" spans="1:19" s="3" customFormat="1" ht="13.9" hidden="1" x14ac:dyDescent="0.4">
      <c r="A614" s="5" t="str">
        <f t="shared" si="21"/>
        <v/>
      </c>
      <c r="F614" s="16"/>
      <c r="G614" s="17"/>
      <c r="H614" s="17"/>
      <c r="I614" s="17"/>
      <c r="J614" s="17"/>
      <c r="S614" s="4" t="str">
        <f t="shared" si="22"/>
        <v/>
      </c>
    </row>
    <row r="615" spans="1:19" s="3" customFormat="1" ht="13.9" hidden="1" x14ac:dyDescent="0.4">
      <c r="A615" s="5" t="str">
        <f t="shared" si="21"/>
        <v/>
      </c>
      <c r="F615" s="16"/>
      <c r="G615" s="17"/>
      <c r="H615" s="17"/>
      <c r="I615" s="17"/>
      <c r="J615" s="17"/>
      <c r="S615" s="4" t="str">
        <f t="shared" si="22"/>
        <v/>
      </c>
    </row>
    <row r="616" spans="1:19" s="3" customFormat="1" ht="13.9" hidden="1" x14ac:dyDescent="0.4">
      <c r="A616" s="5" t="str">
        <f t="shared" si="21"/>
        <v/>
      </c>
      <c r="F616" s="16"/>
      <c r="G616" s="17"/>
      <c r="H616" s="17"/>
      <c r="I616" s="17"/>
      <c r="J616" s="17"/>
      <c r="S616" s="4" t="str">
        <f t="shared" si="22"/>
        <v/>
      </c>
    </row>
    <row r="617" spans="1:19" s="3" customFormat="1" ht="13.9" hidden="1" x14ac:dyDescent="0.4">
      <c r="A617" s="5" t="str">
        <f t="shared" si="21"/>
        <v/>
      </c>
      <c r="F617" s="16"/>
      <c r="G617" s="17"/>
      <c r="H617" s="17"/>
      <c r="I617" s="17"/>
      <c r="J617" s="17"/>
      <c r="S617" s="4" t="str">
        <f t="shared" si="22"/>
        <v/>
      </c>
    </row>
    <row r="618" spans="1:19" s="3" customFormat="1" ht="13.9" hidden="1" x14ac:dyDescent="0.4">
      <c r="A618" s="5" t="str">
        <f t="shared" si="21"/>
        <v/>
      </c>
      <c r="F618" s="16"/>
      <c r="G618" s="17"/>
      <c r="H618" s="17"/>
      <c r="I618" s="17"/>
      <c r="J618" s="17"/>
      <c r="S618" s="4" t="str">
        <f t="shared" si="22"/>
        <v/>
      </c>
    </row>
    <row r="619" spans="1:19" s="3" customFormat="1" ht="13.9" hidden="1" x14ac:dyDescent="0.4">
      <c r="A619" s="5" t="str">
        <f t="shared" si="21"/>
        <v/>
      </c>
      <c r="F619" s="16"/>
      <c r="G619" s="17"/>
      <c r="H619" s="17"/>
      <c r="I619" s="17"/>
      <c r="J619" s="17"/>
      <c r="S619" s="4" t="str">
        <f t="shared" si="22"/>
        <v/>
      </c>
    </row>
    <row r="620" spans="1:19" s="3" customFormat="1" ht="13.9" hidden="1" x14ac:dyDescent="0.4">
      <c r="A620" s="5" t="str">
        <f t="shared" si="21"/>
        <v/>
      </c>
      <c r="F620" s="16"/>
      <c r="G620" s="17"/>
      <c r="H620" s="17"/>
      <c r="I620" s="17"/>
      <c r="J620" s="17"/>
      <c r="S620" s="4" t="str">
        <f t="shared" si="22"/>
        <v/>
      </c>
    </row>
    <row r="621" spans="1:19" s="3" customFormat="1" ht="13.9" hidden="1" x14ac:dyDescent="0.4">
      <c r="A621" s="5" t="str">
        <f t="shared" si="21"/>
        <v/>
      </c>
      <c r="F621" s="16"/>
      <c r="G621" s="17"/>
      <c r="H621" s="17"/>
      <c r="I621" s="17"/>
      <c r="J621" s="17"/>
      <c r="S621" s="4" t="str">
        <f t="shared" si="22"/>
        <v/>
      </c>
    </row>
    <row r="622" spans="1:19" s="3" customFormat="1" ht="13.9" hidden="1" x14ac:dyDescent="0.4">
      <c r="A622" s="5" t="str">
        <f t="shared" si="21"/>
        <v/>
      </c>
      <c r="F622" s="16"/>
      <c r="G622" s="17"/>
      <c r="H622" s="17"/>
      <c r="I622" s="17"/>
      <c r="J622" s="17"/>
      <c r="S622" s="4" t="str">
        <f t="shared" si="22"/>
        <v/>
      </c>
    </row>
    <row r="623" spans="1:19" s="3" customFormat="1" ht="13.9" hidden="1" x14ac:dyDescent="0.4">
      <c r="A623" s="5" t="str">
        <f t="shared" si="21"/>
        <v/>
      </c>
      <c r="F623" s="16"/>
      <c r="G623" s="17"/>
      <c r="H623" s="17"/>
      <c r="I623" s="17"/>
      <c r="J623" s="17"/>
      <c r="S623" s="4" t="str">
        <f t="shared" si="22"/>
        <v/>
      </c>
    </row>
    <row r="624" spans="1:19" s="3" customFormat="1" ht="13.9" hidden="1" x14ac:dyDescent="0.4">
      <c r="A624" s="5" t="str">
        <f t="shared" si="21"/>
        <v/>
      </c>
      <c r="F624" s="16"/>
      <c r="G624" s="17"/>
      <c r="H624" s="17"/>
      <c r="I624" s="17"/>
      <c r="J624" s="17"/>
      <c r="S624" s="4" t="str">
        <f t="shared" si="22"/>
        <v/>
      </c>
    </row>
    <row r="625" spans="1:19" s="3" customFormat="1" ht="13.9" hidden="1" x14ac:dyDescent="0.4">
      <c r="A625" s="5" t="str">
        <f t="shared" si="21"/>
        <v/>
      </c>
      <c r="F625" s="16"/>
      <c r="G625" s="17"/>
      <c r="H625" s="17"/>
      <c r="I625" s="17"/>
      <c r="J625" s="17"/>
      <c r="S625" s="4" t="str">
        <f t="shared" si="22"/>
        <v/>
      </c>
    </row>
    <row r="626" spans="1:19" s="3" customFormat="1" ht="13.9" hidden="1" x14ac:dyDescent="0.4">
      <c r="A626" s="5" t="str">
        <f t="shared" si="21"/>
        <v/>
      </c>
      <c r="F626" s="16"/>
      <c r="G626" s="17"/>
      <c r="H626" s="17"/>
      <c r="I626" s="17"/>
      <c r="J626" s="17"/>
      <c r="S626" s="4" t="str">
        <f t="shared" si="22"/>
        <v/>
      </c>
    </row>
    <row r="627" spans="1:19" s="3" customFormat="1" ht="13.9" hidden="1" x14ac:dyDescent="0.4">
      <c r="A627" s="5" t="str">
        <f t="shared" si="21"/>
        <v/>
      </c>
      <c r="F627" s="16"/>
      <c r="G627" s="17"/>
      <c r="H627" s="17"/>
      <c r="I627" s="17"/>
      <c r="J627" s="17"/>
      <c r="S627" s="4" t="str">
        <f t="shared" si="22"/>
        <v/>
      </c>
    </row>
    <row r="628" spans="1:19" s="3" customFormat="1" ht="13.9" hidden="1" x14ac:dyDescent="0.4">
      <c r="A628" s="5" t="str">
        <f t="shared" si="21"/>
        <v/>
      </c>
      <c r="F628" s="16"/>
      <c r="G628" s="17"/>
      <c r="H628" s="17"/>
      <c r="I628" s="17"/>
      <c r="J628" s="17"/>
      <c r="S628" s="4" t="str">
        <f t="shared" si="22"/>
        <v/>
      </c>
    </row>
    <row r="629" spans="1:19" s="3" customFormat="1" ht="13.9" hidden="1" x14ac:dyDescent="0.4">
      <c r="A629" s="5" t="str">
        <f t="shared" si="21"/>
        <v/>
      </c>
      <c r="F629" s="16"/>
      <c r="G629" s="17"/>
      <c r="H629" s="17"/>
      <c r="I629" s="17"/>
      <c r="J629" s="17"/>
      <c r="S629" s="4" t="str">
        <f t="shared" si="22"/>
        <v/>
      </c>
    </row>
    <row r="630" spans="1:19" s="3" customFormat="1" ht="13.9" hidden="1" x14ac:dyDescent="0.4">
      <c r="A630" s="5" t="str">
        <f t="shared" si="21"/>
        <v/>
      </c>
      <c r="F630" s="16"/>
      <c r="G630" s="17"/>
      <c r="H630" s="17"/>
      <c r="I630" s="17"/>
      <c r="J630" s="17"/>
      <c r="S630" s="4" t="str">
        <f t="shared" si="22"/>
        <v/>
      </c>
    </row>
    <row r="631" spans="1:19" s="3" customFormat="1" ht="13.9" hidden="1" x14ac:dyDescent="0.4">
      <c r="A631" s="5" t="str">
        <f t="shared" si="21"/>
        <v/>
      </c>
      <c r="F631" s="16"/>
      <c r="G631" s="17"/>
      <c r="H631" s="17"/>
      <c r="I631" s="17"/>
      <c r="J631" s="17"/>
      <c r="S631" s="4" t="str">
        <f t="shared" si="22"/>
        <v/>
      </c>
    </row>
    <row r="632" spans="1:19" s="3" customFormat="1" ht="13.9" hidden="1" x14ac:dyDescent="0.4">
      <c r="A632" s="5" t="str">
        <f t="shared" si="21"/>
        <v/>
      </c>
      <c r="F632" s="16"/>
      <c r="G632" s="17"/>
      <c r="H632" s="17"/>
      <c r="I632" s="17"/>
      <c r="J632" s="17"/>
      <c r="S632" s="4" t="str">
        <f t="shared" si="22"/>
        <v/>
      </c>
    </row>
    <row r="633" spans="1:19" s="3" customFormat="1" ht="13.9" hidden="1" x14ac:dyDescent="0.4">
      <c r="A633" s="5" t="str">
        <f t="shared" si="21"/>
        <v/>
      </c>
      <c r="F633" s="16"/>
      <c r="G633" s="17"/>
      <c r="H633" s="17"/>
      <c r="I633" s="17"/>
      <c r="J633" s="17"/>
      <c r="S633" s="4" t="str">
        <f t="shared" si="22"/>
        <v/>
      </c>
    </row>
    <row r="634" spans="1:19" s="3" customFormat="1" ht="13.9" hidden="1" x14ac:dyDescent="0.4">
      <c r="A634" s="5" t="str">
        <f t="shared" si="21"/>
        <v/>
      </c>
      <c r="F634" s="16"/>
      <c r="G634" s="17"/>
      <c r="H634" s="17"/>
      <c r="I634" s="17"/>
      <c r="J634" s="17"/>
      <c r="S634" s="4" t="str">
        <f t="shared" si="22"/>
        <v/>
      </c>
    </row>
    <row r="635" spans="1:19" s="3" customFormat="1" ht="13.9" hidden="1" x14ac:dyDescent="0.4">
      <c r="A635" s="5" t="str">
        <f t="shared" ref="A635:A667" si="23">IF(S635 ="visible",IF(B635 = "Total","",A634+1),"")</f>
        <v/>
      </c>
      <c r="F635" s="16"/>
      <c r="G635" s="17"/>
      <c r="H635" s="17"/>
      <c r="I635" s="17"/>
      <c r="J635" s="17"/>
      <c r="S635" s="4" t="str">
        <f t="shared" si="22"/>
        <v/>
      </c>
    </row>
    <row r="636" spans="1:19" s="3" customFormat="1" ht="13.9" hidden="1" x14ac:dyDescent="0.4">
      <c r="A636" s="5" t="str">
        <f t="shared" si="23"/>
        <v/>
      </c>
      <c r="F636" s="16"/>
      <c r="G636" s="17"/>
      <c r="H636" s="17"/>
      <c r="I636" s="17"/>
      <c r="J636" s="17"/>
      <c r="S636" s="4" t="str">
        <f t="shared" si="22"/>
        <v/>
      </c>
    </row>
    <row r="637" spans="1:19" s="3" customFormat="1" ht="13.9" hidden="1" x14ac:dyDescent="0.4">
      <c r="A637" s="5" t="str">
        <f t="shared" si="23"/>
        <v/>
      </c>
      <c r="F637" s="16"/>
      <c r="G637" s="17"/>
      <c r="H637" s="17"/>
      <c r="I637" s="17"/>
      <c r="J637" s="17"/>
      <c r="S637" s="4" t="str">
        <f t="shared" si="22"/>
        <v/>
      </c>
    </row>
    <row r="638" spans="1:19" s="3" customFormat="1" ht="13.9" hidden="1" x14ac:dyDescent="0.4">
      <c r="A638" s="5" t="str">
        <f t="shared" si="23"/>
        <v/>
      </c>
      <c r="F638" s="16"/>
      <c r="G638" s="17"/>
      <c r="H638" s="17"/>
      <c r="I638" s="17"/>
      <c r="J638" s="17"/>
      <c r="S638" s="4" t="str">
        <f t="shared" si="22"/>
        <v/>
      </c>
    </row>
    <row r="639" spans="1:19" s="3" customFormat="1" ht="13.9" hidden="1" x14ac:dyDescent="0.4">
      <c r="A639" s="5" t="str">
        <f t="shared" si="23"/>
        <v/>
      </c>
      <c r="F639" s="16"/>
      <c r="G639" s="17"/>
      <c r="H639" s="17"/>
      <c r="I639" s="17"/>
      <c r="J639" s="17"/>
      <c r="S639" s="4" t="str">
        <f t="shared" si="22"/>
        <v/>
      </c>
    </row>
    <row r="640" spans="1:19" s="3" customFormat="1" ht="13.9" hidden="1" x14ac:dyDescent="0.4">
      <c r="A640" s="5" t="str">
        <f t="shared" si="23"/>
        <v/>
      </c>
      <c r="F640" s="16"/>
      <c r="G640" s="17"/>
      <c r="H640" s="17"/>
      <c r="I640" s="17"/>
      <c r="J640" s="17"/>
      <c r="S640" s="4" t="str">
        <f t="shared" si="22"/>
        <v/>
      </c>
    </row>
    <row r="641" spans="1:19" s="3" customFormat="1" ht="13.9" hidden="1" x14ac:dyDescent="0.4">
      <c r="A641" s="5" t="str">
        <f t="shared" si="23"/>
        <v/>
      </c>
      <c r="F641" s="16"/>
      <c r="G641" s="17"/>
      <c r="H641" s="17"/>
      <c r="I641" s="17"/>
      <c r="J641" s="17"/>
      <c r="S641" s="4" t="str">
        <f t="shared" si="22"/>
        <v/>
      </c>
    </row>
    <row r="642" spans="1:19" s="3" customFormat="1" ht="13.9" hidden="1" x14ac:dyDescent="0.4">
      <c r="A642" s="5" t="str">
        <f t="shared" si="23"/>
        <v/>
      </c>
      <c r="F642" s="16"/>
      <c r="G642" s="17"/>
      <c r="H642" s="17"/>
      <c r="I642" s="17"/>
      <c r="J642" s="17"/>
      <c r="S642" s="4" t="str">
        <f t="shared" si="22"/>
        <v/>
      </c>
    </row>
    <row r="643" spans="1:19" s="3" customFormat="1" ht="13.9" hidden="1" x14ac:dyDescent="0.4">
      <c r="A643" s="5" t="str">
        <f t="shared" si="23"/>
        <v/>
      </c>
      <c r="F643" s="16"/>
      <c r="G643" s="17"/>
      <c r="H643" s="17"/>
      <c r="I643" s="17"/>
      <c r="J643" s="17"/>
      <c r="S643" s="4" t="str">
        <f t="shared" si="22"/>
        <v/>
      </c>
    </row>
    <row r="644" spans="1:19" s="3" customFormat="1" ht="13.9" hidden="1" x14ac:dyDescent="0.4">
      <c r="A644" s="5" t="str">
        <f t="shared" si="23"/>
        <v/>
      </c>
      <c r="F644" s="16"/>
      <c r="G644" s="17"/>
      <c r="H644" s="17"/>
      <c r="I644" s="17"/>
      <c r="J644" s="17"/>
      <c r="S644" s="4" t="str">
        <f t="shared" si="22"/>
        <v/>
      </c>
    </row>
    <row r="645" spans="1:19" s="3" customFormat="1" ht="13.9" hidden="1" x14ac:dyDescent="0.4">
      <c r="A645" s="5" t="str">
        <f t="shared" si="23"/>
        <v/>
      </c>
      <c r="F645" s="16"/>
      <c r="G645" s="17"/>
      <c r="H645" s="17"/>
      <c r="I645" s="17"/>
      <c r="J645" s="17"/>
      <c r="S645" s="4" t="str">
        <f t="shared" ref="S645:S708" si="24">IF(B645&lt;&gt;"","visible","")</f>
        <v/>
      </c>
    </row>
    <row r="646" spans="1:19" s="3" customFormat="1" ht="13.9" hidden="1" x14ac:dyDescent="0.4">
      <c r="A646" s="5" t="str">
        <f t="shared" si="23"/>
        <v/>
      </c>
      <c r="F646" s="16"/>
      <c r="G646" s="17"/>
      <c r="H646" s="17"/>
      <c r="I646" s="17"/>
      <c r="J646" s="17"/>
      <c r="S646" s="4" t="str">
        <f t="shared" si="24"/>
        <v/>
      </c>
    </row>
    <row r="647" spans="1:19" s="3" customFormat="1" ht="13.9" hidden="1" x14ac:dyDescent="0.4">
      <c r="A647" s="5" t="str">
        <f t="shared" si="23"/>
        <v/>
      </c>
      <c r="F647" s="16"/>
      <c r="G647" s="17"/>
      <c r="H647" s="17"/>
      <c r="I647" s="17"/>
      <c r="J647" s="17"/>
      <c r="S647" s="4" t="str">
        <f t="shared" si="24"/>
        <v/>
      </c>
    </row>
    <row r="648" spans="1:19" s="3" customFormat="1" ht="13.9" hidden="1" x14ac:dyDescent="0.4">
      <c r="A648" s="5" t="str">
        <f t="shared" si="23"/>
        <v/>
      </c>
      <c r="F648" s="16"/>
      <c r="G648" s="17"/>
      <c r="H648" s="17"/>
      <c r="I648" s="17"/>
      <c r="J648" s="17"/>
      <c r="S648" s="4" t="str">
        <f t="shared" si="24"/>
        <v/>
      </c>
    </row>
    <row r="649" spans="1:19" s="3" customFormat="1" ht="13.9" hidden="1" x14ac:dyDescent="0.4">
      <c r="A649" s="5" t="str">
        <f t="shared" si="23"/>
        <v/>
      </c>
      <c r="F649" s="16"/>
      <c r="G649" s="17"/>
      <c r="H649" s="17"/>
      <c r="I649" s="17"/>
      <c r="J649" s="17"/>
      <c r="S649" s="4" t="str">
        <f t="shared" si="24"/>
        <v/>
      </c>
    </row>
    <row r="650" spans="1:19" s="3" customFormat="1" ht="13.9" hidden="1" x14ac:dyDescent="0.4">
      <c r="A650" s="5" t="str">
        <f t="shared" si="23"/>
        <v/>
      </c>
      <c r="F650" s="16"/>
      <c r="G650" s="17"/>
      <c r="H650" s="17"/>
      <c r="I650" s="17"/>
      <c r="J650" s="17"/>
      <c r="S650" s="4" t="str">
        <f t="shared" si="24"/>
        <v/>
      </c>
    </row>
    <row r="651" spans="1:19" s="3" customFormat="1" ht="13.9" hidden="1" x14ac:dyDescent="0.4">
      <c r="A651" s="5" t="str">
        <f t="shared" si="23"/>
        <v/>
      </c>
      <c r="F651" s="16"/>
      <c r="G651" s="17"/>
      <c r="H651" s="17"/>
      <c r="I651" s="17"/>
      <c r="J651" s="17"/>
      <c r="S651" s="4" t="str">
        <f t="shared" si="24"/>
        <v/>
      </c>
    </row>
    <row r="652" spans="1:19" s="3" customFormat="1" ht="13.9" hidden="1" x14ac:dyDescent="0.4">
      <c r="A652" s="5" t="str">
        <f t="shared" si="23"/>
        <v/>
      </c>
      <c r="F652" s="16"/>
      <c r="G652" s="17"/>
      <c r="H652" s="17"/>
      <c r="I652" s="17"/>
      <c r="J652" s="17"/>
      <c r="S652" s="4" t="str">
        <f t="shared" si="24"/>
        <v/>
      </c>
    </row>
    <row r="653" spans="1:19" s="3" customFormat="1" ht="13.9" hidden="1" x14ac:dyDescent="0.4">
      <c r="A653" s="5" t="str">
        <f t="shared" si="23"/>
        <v/>
      </c>
      <c r="F653" s="16"/>
      <c r="G653" s="17"/>
      <c r="H653" s="17"/>
      <c r="I653" s="17"/>
      <c r="J653" s="17"/>
      <c r="S653" s="4" t="str">
        <f t="shared" si="24"/>
        <v/>
      </c>
    </row>
    <row r="654" spans="1:19" s="3" customFormat="1" ht="13.9" hidden="1" x14ac:dyDescent="0.4">
      <c r="A654" s="5" t="str">
        <f t="shared" si="23"/>
        <v/>
      </c>
      <c r="F654" s="16"/>
      <c r="G654" s="17"/>
      <c r="H654" s="17"/>
      <c r="I654" s="17"/>
      <c r="J654" s="17"/>
      <c r="S654" s="4" t="str">
        <f t="shared" si="24"/>
        <v/>
      </c>
    </row>
    <row r="655" spans="1:19" s="3" customFormat="1" ht="13.9" hidden="1" x14ac:dyDescent="0.4">
      <c r="A655" s="5" t="str">
        <f t="shared" si="23"/>
        <v/>
      </c>
      <c r="F655" s="16"/>
      <c r="G655" s="17"/>
      <c r="H655" s="17"/>
      <c r="I655" s="17"/>
      <c r="J655" s="17"/>
      <c r="S655" s="4" t="str">
        <f t="shared" si="24"/>
        <v/>
      </c>
    </row>
    <row r="656" spans="1:19" s="3" customFormat="1" ht="13.9" hidden="1" x14ac:dyDescent="0.4">
      <c r="A656" s="5" t="str">
        <f t="shared" si="23"/>
        <v/>
      </c>
      <c r="F656" s="16"/>
      <c r="G656" s="17"/>
      <c r="H656" s="17"/>
      <c r="I656" s="17"/>
      <c r="J656" s="17"/>
      <c r="S656" s="4" t="str">
        <f t="shared" si="24"/>
        <v/>
      </c>
    </row>
    <row r="657" spans="1:19" s="3" customFormat="1" ht="13.9" hidden="1" x14ac:dyDescent="0.4">
      <c r="A657" s="5" t="str">
        <f t="shared" si="23"/>
        <v/>
      </c>
      <c r="F657" s="16"/>
      <c r="G657" s="17"/>
      <c r="H657" s="17"/>
      <c r="I657" s="17"/>
      <c r="J657" s="17"/>
      <c r="S657" s="4" t="str">
        <f t="shared" si="24"/>
        <v/>
      </c>
    </row>
    <row r="658" spans="1:19" s="3" customFormat="1" ht="13.9" hidden="1" x14ac:dyDescent="0.4">
      <c r="A658" s="5" t="str">
        <f t="shared" si="23"/>
        <v/>
      </c>
      <c r="F658" s="16"/>
      <c r="G658" s="17"/>
      <c r="H658" s="17"/>
      <c r="I658" s="17"/>
      <c r="J658" s="17"/>
      <c r="S658" s="4" t="str">
        <f t="shared" si="24"/>
        <v/>
      </c>
    </row>
    <row r="659" spans="1:19" s="3" customFormat="1" ht="13.9" hidden="1" x14ac:dyDescent="0.4">
      <c r="A659" s="5" t="str">
        <f t="shared" si="23"/>
        <v/>
      </c>
      <c r="F659" s="16"/>
      <c r="G659" s="17"/>
      <c r="H659" s="17"/>
      <c r="I659" s="17"/>
      <c r="J659" s="17"/>
      <c r="S659" s="4" t="str">
        <f t="shared" si="24"/>
        <v/>
      </c>
    </row>
    <row r="660" spans="1:19" s="3" customFormat="1" ht="13.9" hidden="1" x14ac:dyDescent="0.4">
      <c r="A660" s="5" t="str">
        <f t="shared" si="23"/>
        <v/>
      </c>
      <c r="F660" s="16"/>
      <c r="G660" s="17"/>
      <c r="H660" s="17"/>
      <c r="I660" s="17"/>
      <c r="J660" s="17"/>
      <c r="S660" s="4" t="str">
        <f t="shared" si="24"/>
        <v/>
      </c>
    </row>
    <row r="661" spans="1:19" s="3" customFormat="1" ht="13.9" hidden="1" x14ac:dyDescent="0.4">
      <c r="A661" s="5" t="str">
        <f t="shared" si="23"/>
        <v/>
      </c>
      <c r="F661" s="16"/>
      <c r="G661" s="17"/>
      <c r="H661" s="17"/>
      <c r="I661" s="17"/>
      <c r="J661" s="17"/>
      <c r="S661" s="4" t="str">
        <f t="shared" si="24"/>
        <v/>
      </c>
    </row>
    <row r="662" spans="1:19" s="3" customFormat="1" ht="13.9" hidden="1" x14ac:dyDescent="0.4">
      <c r="A662" s="5" t="str">
        <f t="shared" si="23"/>
        <v/>
      </c>
      <c r="F662" s="16"/>
      <c r="G662" s="17"/>
      <c r="H662" s="17"/>
      <c r="I662" s="17"/>
      <c r="J662" s="17"/>
      <c r="S662" s="4" t="str">
        <f t="shared" si="24"/>
        <v/>
      </c>
    </row>
    <row r="663" spans="1:19" s="3" customFormat="1" ht="13.9" hidden="1" x14ac:dyDescent="0.4">
      <c r="A663" s="5" t="str">
        <f t="shared" si="23"/>
        <v/>
      </c>
      <c r="F663" s="16"/>
      <c r="G663" s="17"/>
      <c r="H663" s="17"/>
      <c r="I663" s="17"/>
      <c r="J663" s="17"/>
      <c r="S663" s="4" t="str">
        <f t="shared" si="24"/>
        <v/>
      </c>
    </row>
    <row r="664" spans="1:19" s="3" customFormat="1" ht="13.9" hidden="1" x14ac:dyDescent="0.4">
      <c r="A664" s="5" t="str">
        <f t="shared" si="23"/>
        <v/>
      </c>
      <c r="F664" s="16"/>
      <c r="G664" s="17"/>
      <c r="H664" s="17"/>
      <c r="I664" s="17"/>
      <c r="J664" s="17"/>
      <c r="S664" s="4" t="str">
        <f t="shared" si="24"/>
        <v/>
      </c>
    </row>
    <row r="665" spans="1:19" s="3" customFormat="1" ht="13.9" hidden="1" x14ac:dyDescent="0.4">
      <c r="A665" s="5" t="str">
        <f t="shared" si="23"/>
        <v/>
      </c>
      <c r="F665" s="16"/>
      <c r="G665" s="17"/>
      <c r="H665" s="17"/>
      <c r="I665" s="17"/>
      <c r="J665" s="17"/>
      <c r="S665" s="4" t="str">
        <f t="shared" si="24"/>
        <v/>
      </c>
    </row>
    <row r="666" spans="1:19" s="3" customFormat="1" ht="13.9" hidden="1" x14ac:dyDescent="0.4">
      <c r="A666" s="5" t="str">
        <f t="shared" si="23"/>
        <v/>
      </c>
      <c r="F666" s="16"/>
      <c r="G666" s="17"/>
      <c r="H666" s="17"/>
      <c r="I666" s="17"/>
      <c r="J666" s="17"/>
      <c r="S666" s="4" t="str">
        <f t="shared" si="24"/>
        <v/>
      </c>
    </row>
    <row r="667" spans="1:19" s="3" customFormat="1" ht="13.9" hidden="1" x14ac:dyDescent="0.4">
      <c r="A667" s="5" t="str">
        <f t="shared" si="23"/>
        <v/>
      </c>
      <c r="F667" s="16"/>
      <c r="G667" s="17"/>
      <c r="H667" s="17"/>
      <c r="I667" s="17"/>
      <c r="J667" s="17"/>
      <c r="S667" s="4" t="str">
        <f t="shared" si="24"/>
        <v/>
      </c>
    </row>
    <row r="668" spans="1:19" s="3" customFormat="1" ht="13.9" hidden="1" x14ac:dyDescent="0.4">
      <c r="A668" s="5"/>
      <c r="F668" s="16"/>
      <c r="G668" s="17"/>
      <c r="H668" s="17"/>
      <c r="I668" s="17"/>
      <c r="J668" s="17"/>
      <c r="S668" s="4" t="str">
        <f t="shared" si="24"/>
        <v/>
      </c>
    </row>
    <row r="669" spans="1:19" s="3" customFormat="1" ht="13.9" hidden="1" x14ac:dyDescent="0.4">
      <c r="A669" s="5"/>
      <c r="F669" s="16"/>
      <c r="G669" s="17"/>
      <c r="H669" s="17"/>
      <c r="I669" s="17"/>
      <c r="J669" s="17"/>
      <c r="S669" s="4" t="str">
        <f t="shared" si="24"/>
        <v/>
      </c>
    </row>
    <row r="670" spans="1:19" s="3" customFormat="1" ht="13.9" hidden="1" x14ac:dyDescent="0.4">
      <c r="A670" s="5"/>
      <c r="F670" s="16"/>
      <c r="G670" s="17"/>
      <c r="H670" s="17"/>
      <c r="I670" s="17"/>
      <c r="J670" s="17"/>
      <c r="S670" s="4" t="str">
        <f t="shared" si="24"/>
        <v/>
      </c>
    </row>
    <row r="671" spans="1:19" s="3" customFormat="1" ht="13.9" hidden="1" x14ac:dyDescent="0.4">
      <c r="A671" s="5"/>
      <c r="F671" s="16"/>
      <c r="G671" s="17"/>
      <c r="H671" s="17"/>
      <c r="I671" s="17"/>
      <c r="J671" s="17"/>
      <c r="S671" s="4" t="str">
        <f t="shared" si="24"/>
        <v/>
      </c>
    </row>
    <row r="672" spans="1:19" s="3" customFormat="1" ht="13.9" hidden="1" x14ac:dyDescent="0.4">
      <c r="A672" s="5"/>
      <c r="F672" s="16"/>
      <c r="G672" s="17"/>
      <c r="H672" s="17"/>
      <c r="I672" s="17"/>
      <c r="J672" s="17"/>
      <c r="S672" s="4" t="str">
        <f t="shared" si="24"/>
        <v/>
      </c>
    </row>
    <row r="673" spans="1:19" s="3" customFormat="1" ht="13.9" hidden="1" x14ac:dyDescent="0.4">
      <c r="A673" s="5"/>
      <c r="F673" s="16"/>
      <c r="G673" s="17"/>
      <c r="H673" s="17"/>
      <c r="I673" s="17"/>
      <c r="J673" s="17"/>
      <c r="S673" s="4" t="str">
        <f t="shared" si="24"/>
        <v/>
      </c>
    </row>
    <row r="674" spans="1:19" s="3" customFormat="1" ht="13.9" hidden="1" x14ac:dyDescent="0.4">
      <c r="A674" s="5"/>
      <c r="F674" s="16"/>
      <c r="G674" s="17"/>
      <c r="H674" s="17"/>
      <c r="I674" s="17"/>
      <c r="J674" s="17"/>
      <c r="S674" s="4" t="str">
        <f t="shared" si="24"/>
        <v/>
      </c>
    </row>
    <row r="675" spans="1:19" s="3" customFormat="1" ht="13.9" hidden="1" x14ac:dyDescent="0.4">
      <c r="A675" s="5"/>
      <c r="F675" s="16"/>
      <c r="G675" s="17"/>
      <c r="H675" s="17"/>
      <c r="I675" s="17"/>
      <c r="J675" s="17"/>
      <c r="S675" s="4" t="str">
        <f t="shared" si="24"/>
        <v/>
      </c>
    </row>
    <row r="676" spans="1:19" s="3" customFormat="1" ht="13.9" hidden="1" x14ac:dyDescent="0.4">
      <c r="A676" s="5"/>
      <c r="F676" s="16"/>
      <c r="G676" s="17"/>
      <c r="H676" s="17"/>
      <c r="I676" s="17"/>
      <c r="J676" s="17"/>
      <c r="S676" s="4" t="str">
        <f t="shared" si="24"/>
        <v/>
      </c>
    </row>
    <row r="677" spans="1:19" s="3" customFormat="1" ht="13.9" hidden="1" x14ac:dyDescent="0.4">
      <c r="A677" s="5"/>
      <c r="F677" s="16"/>
      <c r="G677" s="17"/>
      <c r="H677" s="17"/>
      <c r="I677" s="17"/>
      <c r="J677" s="17"/>
      <c r="S677" s="4" t="str">
        <f t="shared" si="24"/>
        <v/>
      </c>
    </row>
    <row r="678" spans="1:19" s="3" customFormat="1" ht="13.9" hidden="1" x14ac:dyDescent="0.4">
      <c r="A678" s="5"/>
      <c r="F678" s="16"/>
      <c r="G678" s="17"/>
      <c r="H678" s="17"/>
      <c r="I678" s="17"/>
      <c r="J678" s="17"/>
      <c r="S678" s="4" t="str">
        <f t="shared" si="24"/>
        <v/>
      </c>
    </row>
    <row r="679" spans="1:19" s="3" customFormat="1" ht="13.9" hidden="1" x14ac:dyDescent="0.4">
      <c r="A679" s="5"/>
      <c r="F679" s="16"/>
      <c r="G679" s="17"/>
      <c r="H679" s="17"/>
      <c r="I679" s="17"/>
      <c r="J679" s="17"/>
      <c r="S679" s="4" t="str">
        <f t="shared" si="24"/>
        <v/>
      </c>
    </row>
    <row r="680" spans="1:19" s="3" customFormat="1" ht="13.9" hidden="1" x14ac:dyDescent="0.4">
      <c r="A680" s="5"/>
      <c r="F680" s="16"/>
      <c r="G680" s="17"/>
      <c r="H680" s="17"/>
      <c r="I680" s="17"/>
      <c r="J680" s="17"/>
      <c r="S680" s="4" t="str">
        <f t="shared" si="24"/>
        <v/>
      </c>
    </row>
    <row r="681" spans="1:19" s="3" customFormat="1" ht="13.9" hidden="1" x14ac:dyDescent="0.4">
      <c r="A681" s="5"/>
      <c r="F681" s="16"/>
      <c r="G681" s="17"/>
      <c r="H681" s="17"/>
      <c r="I681" s="17"/>
      <c r="J681" s="17"/>
      <c r="S681" s="4" t="str">
        <f t="shared" si="24"/>
        <v/>
      </c>
    </row>
    <row r="682" spans="1:19" s="3" customFormat="1" ht="13.9" hidden="1" x14ac:dyDescent="0.4">
      <c r="A682" s="5"/>
      <c r="F682" s="16"/>
      <c r="G682" s="17"/>
      <c r="H682" s="17"/>
      <c r="I682" s="17"/>
      <c r="J682" s="17"/>
      <c r="S682" s="4" t="str">
        <f t="shared" si="24"/>
        <v/>
      </c>
    </row>
    <row r="683" spans="1:19" s="3" customFormat="1" ht="13.9" hidden="1" x14ac:dyDescent="0.4">
      <c r="A683" s="5"/>
      <c r="F683" s="16"/>
      <c r="G683" s="17"/>
      <c r="H683" s="17"/>
      <c r="I683" s="17"/>
      <c r="J683" s="17"/>
      <c r="S683" s="4" t="str">
        <f t="shared" si="24"/>
        <v/>
      </c>
    </row>
    <row r="684" spans="1:19" s="3" customFormat="1" ht="13.9" hidden="1" x14ac:dyDescent="0.4">
      <c r="A684" s="5"/>
      <c r="F684" s="16"/>
      <c r="G684" s="17"/>
      <c r="H684" s="17"/>
      <c r="I684" s="17"/>
      <c r="J684" s="17"/>
      <c r="S684" s="4" t="str">
        <f t="shared" si="24"/>
        <v/>
      </c>
    </row>
    <row r="685" spans="1:19" s="3" customFormat="1" ht="13.9" hidden="1" x14ac:dyDescent="0.4">
      <c r="A685" s="5"/>
      <c r="F685" s="16"/>
      <c r="G685" s="17"/>
      <c r="H685" s="17"/>
      <c r="I685" s="17"/>
      <c r="J685" s="17"/>
      <c r="S685" s="4" t="str">
        <f t="shared" si="24"/>
        <v/>
      </c>
    </row>
    <row r="686" spans="1:19" s="3" customFormat="1" ht="13.9" hidden="1" x14ac:dyDescent="0.4">
      <c r="A686" s="5"/>
      <c r="F686" s="16"/>
      <c r="G686" s="17"/>
      <c r="H686" s="17"/>
      <c r="I686" s="17"/>
      <c r="J686" s="17"/>
      <c r="S686" s="4" t="str">
        <f t="shared" si="24"/>
        <v/>
      </c>
    </row>
    <row r="687" spans="1:19" s="3" customFormat="1" ht="13.9" hidden="1" x14ac:dyDescent="0.4">
      <c r="A687" s="5"/>
      <c r="F687" s="16"/>
      <c r="G687" s="17"/>
      <c r="H687" s="17"/>
      <c r="I687" s="17"/>
      <c r="J687" s="17"/>
      <c r="S687" s="4" t="str">
        <f t="shared" si="24"/>
        <v/>
      </c>
    </row>
    <row r="688" spans="1:19" s="3" customFormat="1" ht="13.9" hidden="1" x14ac:dyDescent="0.4">
      <c r="A688" s="5"/>
      <c r="F688" s="16"/>
      <c r="G688" s="17"/>
      <c r="H688" s="17"/>
      <c r="I688" s="17"/>
      <c r="J688" s="17"/>
      <c r="S688" s="4" t="str">
        <f t="shared" si="24"/>
        <v/>
      </c>
    </row>
    <row r="689" spans="1:19" s="3" customFormat="1" ht="13.9" hidden="1" x14ac:dyDescent="0.4">
      <c r="A689" s="5"/>
      <c r="F689" s="16"/>
      <c r="G689" s="17"/>
      <c r="H689" s="17"/>
      <c r="I689" s="17"/>
      <c r="J689" s="17"/>
      <c r="S689" s="4" t="str">
        <f t="shared" si="24"/>
        <v/>
      </c>
    </row>
    <row r="690" spans="1:19" s="3" customFormat="1" ht="13.9" hidden="1" x14ac:dyDescent="0.4">
      <c r="A690" s="5"/>
      <c r="F690" s="16"/>
      <c r="G690" s="17"/>
      <c r="H690" s="17"/>
      <c r="I690" s="17"/>
      <c r="J690" s="17"/>
      <c r="S690" s="4" t="str">
        <f t="shared" si="24"/>
        <v/>
      </c>
    </row>
    <row r="691" spans="1:19" s="3" customFormat="1" ht="13.9" hidden="1" x14ac:dyDescent="0.4">
      <c r="A691" s="5"/>
      <c r="F691" s="16"/>
      <c r="G691" s="17"/>
      <c r="H691" s="17"/>
      <c r="I691" s="17"/>
      <c r="J691" s="17"/>
      <c r="S691" s="4" t="str">
        <f t="shared" si="24"/>
        <v/>
      </c>
    </row>
    <row r="692" spans="1:19" s="3" customFormat="1" ht="13.9" hidden="1" x14ac:dyDescent="0.4">
      <c r="A692" s="5"/>
      <c r="F692" s="16"/>
      <c r="G692" s="17"/>
      <c r="H692" s="17"/>
      <c r="I692" s="17"/>
      <c r="J692" s="17"/>
      <c r="S692" s="4" t="str">
        <f t="shared" si="24"/>
        <v/>
      </c>
    </row>
    <row r="693" spans="1:19" s="3" customFormat="1" ht="13.9" hidden="1" x14ac:dyDescent="0.4">
      <c r="A693" s="5"/>
      <c r="F693" s="16"/>
      <c r="G693" s="17"/>
      <c r="H693" s="17"/>
      <c r="I693" s="17"/>
      <c r="J693" s="17"/>
      <c r="S693" s="4" t="str">
        <f t="shared" si="24"/>
        <v/>
      </c>
    </row>
    <row r="694" spans="1:19" s="3" customFormat="1" ht="13.9" hidden="1" x14ac:dyDescent="0.4">
      <c r="A694" s="5"/>
      <c r="F694" s="16"/>
      <c r="G694" s="17"/>
      <c r="H694" s="17"/>
      <c r="I694" s="17"/>
      <c r="J694" s="17"/>
      <c r="S694" s="4" t="str">
        <f t="shared" si="24"/>
        <v/>
      </c>
    </row>
    <row r="695" spans="1:19" s="3" customFormat="1" ht="13.9" hidden="1" x14ac:dyDescent="0.4">
      <c r="A695" s="5"/>
      <c r="F695" s="16"/>
      <c r="G695" s="17"/>
      <c r="H695" s="17"/>
      <c r="I695" s="17"/>
      <c r="J695" s="17"/>
      <c r="S695" s="4" t="str">
        <f t="shared" si="24"/>
        <v/>
      </c>
    </row>
    <row r="696" spans="1:19" s="3" customFormat="1" ht="13.9" hidden="1" x14ac:dyDescent="0.4">
      <c r="A696" s="5"/>
      <c r="F696" s="16"/>
      <c r="G696" s="17"/>
      <c r="H696" s="17"/>
      <c r="I696" s="17"/>
      <c r="J696" s="17"/>
      <c r="S696" s="4" t="str">
        <f t="shared" si="24"/>
        <v/>
      </c>
    </row>
    <row r="697" spans="1:19" s="3" customFormat="1" ht="13.9" hidden="1" x14ac:dyDescent="0.4">
      <c r="A697" s="5"/>
      <c r="F697" s="16"/>
      <c r="G697" s="17"/>
      <c r="H697" s="17"/>
      <c r="I697" s="17"/>
      <c r="J697" s="17"/>
      <c r="S697" s="4" t="str">
        <f t="shared" si="24"/>
        <v/>
      </c>
    </row>
    <row r="698" spans="1:19" s="3" customFormat="1" ht="13.9" hidden="1" x14ac:dyDescent="0.4">
      <c r="A698" s="5"/>
      <c r="F698" s="16"/>
      <c r="G698" s="17"/>
      <c r="H698" s="17"/>
      <c r="I698" s="17"/>
      <c r="J698" s="17"/>
      <c r="S698" s="4" t="str">
        <f t="shared" si="24"/>
        <v/>
      </c>
    </row>
    <row r="699" spans="1:19" s="3" customFormat="1" ht="13.9" hidden="1" x14ac:dyDescent="0.4">
      <c r="A699" s="5"/>
      <c r="F699" s="16"/>
      <c r="G699" s="17"/>
      <c r="H699" s="17"/>
      <c r="I699" s="17"/>
      <c r="J699" s="17"/>
      <c r="S699" s="4" t="str">
        <f t="shared" si="24"/>
        <v/>
      </c>
    </row>
    <row r="700" spans="1:19" s="3" customFormat="1" ht="13.9" hidden="1" x14ac:dyDescent="0.4">
      <c r="A700" s="5"/>
      <c r="F700" s="16"/>
      <c r="G700" s="17"/>
      <c r="H700" s="17"/>
      <c r="I700" s="17"/>
      <c r="J700" s="17"/>
      <c r="S700" s="4" t="str">
        <f t="shared" si="24"/>
        <v/>
      </c>
    </row>
    <row r="701" spans="1:19" s="3" customFormat="1" ht="13.9" hidden="1" x14ac:dyDescent="0.4">
      <c r="A701" s="5"/>
      <c r="F701" s="16"/>
      <c r="G701" s="17"/>
      <c r="H701" s="17"/>
      <c r="I701" s="17"/>
      <c r="J701" s="17"/>
      <c r="S701" s="4" t="str">
        <f t="shared" si="24"/>
        <v/>
      </c>
    </row>
    <row r="702" spans="1:19" s="3" customFormat="1" ht="13.9" hidden="1" x14ac:dyDescent="0.4">
      <c r="A702" s="5"/>
      <c r="F702" s="16"/>
      <c r="G702" s="17"/>
      <c r="H702" s="17"/>
      <c r="I702" s="17"/>
      <c r="J702" s="17"/>
      <c r="S702" s="4" t="str">
        <f t="shared" si="24"/>
        <v/>
      </c>
    </row>
    <row r="703" spans="1:19" s="3" customFormat="1" ht="13.9" hidden="1" x14ac:dyDescent="0.4">
      <c r="A703" s="5"/>
      <c r="F703" s="16"/>
      <c r="G703" s="17"/>
      <c r="H703" s="17"/>
      <c r="I703" s="17"/>
      <c r="J703" s="17"/>
      <c r="S703" s="4" t="str">
        <f t="shared" si="24"/>
        <v/>
      </c>
    </row>
    <row r="704" spans="1:19" s="3" customFormat="1" ht="13.9" hidden="1" x14ac:dyDescent="0.4">
      <c r="A704" s="5"/>
      <c r="F704" s="16"/>
      <c r="G704" s="17"/>
      <c r="H704" s="17"/>
      <c r="I704" s="17"/>
      <c r="J704" s="17"/>
      <c r="S704" s="4" t="str">
        <f t="shared" si="24"/>
        <v/>
      </c>
    </row>
    <row r="705" spans="1:19" s="3" customFormat="1" ht="13.9" hidden="1" x14ac:dyDescent="0.4">
      <c r="A705" s="5"/>
      <c r="F705" s="16"/>
      <c r="G705" s="17"/>
      <c r="H705" s="17"/>
      <c r="I705" s="17"/>
      <c r="J705" s="17"/>
      <c r="S705" s="4" t="str">
        <f t="shared" si="24"/>
        <v/>
      </c>
    </row>
    <row r="706" spans="1:19" s="3" customFormat="1" ht="13.9" hidden="1" x14ac:dyDescent="0.4">
      <c r="A706" s="5"/>
      <c r="F706" s="16"/>
      <c r="G706" s="17"/>
      <c r="H706" s="17"/>
      <c r="I706" s="17"/>
      <c r="J706" s="17"/>
      <c r="S706" s="4" t="str">
        <f t="shared" si="24"/>
        <v/>
      </c>
    </row>
    <row r="707" spans="1:19" s="3" customFormat="1" ht="13.9" hidden="1" x14ac:dyDescent="0.4">
      <c r="A707" s="5"/>
      <c r="F707" s="16"/>
      <c r="G707" s="17"/>
      <c r="H707" s="17"/>
      <c r="I707" s="17"/>
      <c r="J707" s="17"/>
      <c r="S707" s="4" t="str">
        <f t="shared" si="24"/>
        <v/>
      </c>
    </row>
    <row r="708" spans="1:19" s="3" customFormat="1" ht="13.9" hidden="1" x14ac:dyDescent="0.4">
      <c r="A708" s="5"/>
      <c r="F708" s="16"/>
      <c r="G708" s="17"/>
      <c r="H708" s="17"/>
      <c r="I708" s="17"/>
      <c r="J708" s="17"/>
      <c r="S708" s="4" t="str">
        <f t="shared" si="24"/>
        <v/>
      </c>
    </row>
    <row r="709" spans="1:19" s="3" customFormat="1" ht="13.9" hidden="1" x14ac:dyDescent="0.4">
      <c r="A709" s="5"/>
      <c r="F709" s="16"/>
      <c r="G709" s="17"/>
      <c r="H709" s="17"/>
      <c r="I709" s="17"/>
      <c r="J709" s="17"/>
      <c r="S709" s="4" t="str">
        <f t="shared" ref="S709:S772" si="25">IF(B709&lt;&gt;"","visible","")</f>
        <v/>
      </c>
    </row>
    <row r="710" spans="1:19" s="3" customFormat="1" ht="13.9" hidden="1" x14ac:dyDescent="0.4">
      <c r="A710" s="5"/>
      <c r="F710" s="16"/>
      <c r="G710" s="17"/>
      <c r="H710" s="17"/>
      <c r="I710" s="17"/>
      <c r="J710" s="17"/>
      <c r="S710" s="4" t="str">
        <f t="shared" si="25"/>
        <v/>
      </c>
    </row>
    <row r="711" spans="1:19" s="3" customFormat="1" ht="13.9" hidden="1" x14ac:dyDescent="0.4">
      <c r="A711" s="5"/>
      <c r="F711" s="16"/>
      <c r="G711" s="17"/>
      <c r="H711" s="17"/>
      <c r="I711" s="17"/>
      <c r="J711" s="17"/>
      <c r="S711" s="4" t="str">
        <f t="shared" si="25"/>
        <v/>
      </c>
    </row>
    <row r="712" spans="1:19" s="3" customFormat="1" ht="13.9" hidden="1" x14ac:dyDescent="0.4">
      <c r="A712" s="5"/>
      <c r="F712" s="16"/>
      <c r="G712" s="17"/>
      <c r="H712" s="17"/>
      <c r="I712" s="17"/>
      <c r="J712" s="17"/>
      <c r="S712" s="4" t="str">
        <f t="shared" si="25"/>
        <v/>
      </c>
    </row>
    <row r="713" spans="1:19" s="3" customFormat="1" ht="13.9" hidden="1" x14ac:dyDescent="0.4">
      <c r="A713" s="5"/>
      <c r="F713" s="16"/>
      <c r="G713" s="17"/>
      <c r="H713" s="17"/>
      <c r="I713" s="17"/>
      <c r="J713" s="17"/>
      <c r="S713" s="4" t="str">
        <f t="shared" si="25"/>
        <v/>
      </c>
    </row>
    <row r="714" spans="1:19" s="3" customFormat="1" ht="13.9" hidden="1" x14ac:dyDescent="0.4">
      <c r="A714" s="5"/>
      <c r="F714" s="16"/>
      <c r="G714" s="17"/>
      <c r="H714" s="17"/>
      <c r="I714" s="17"/>
      <c r="J714" s="17"/>
      <c r="S714" s="4" t="str">
        <f t="shared" si="25"/>
        <v/>
      </c>
    </row>
    <row r="715" spans="1:19" s="3" customFormat="1" ht="13.9" hidden="1" x14ac:dyDescent="0.4">
      <c r="A715" s="5"/>
      <c r="F715" s="16"/>
      <c r="G715" s="17"/>
      <c r="H715" s="17"/>
      <c r="I715" s="17"/>
      <c r="J715" s="17"/>
      <c r="S715" s="4" t="str">
        <f t="shared" si="25"/>
        <v/>
      </c>
    </row>
    <row r="716" spans="1:19" s="3" customFormat="1" ht="13.9" hidden="1" x14ac:dyDescent="0.4">
      <c r="A716" s="5"/>
      <c r="F716" s="16"/>
      <c r="G716" s="17"/>
      <c r="H716" s="17"/>
      <c r="I716" s="17"/>
      <c r="J716" s="17"/>
      <c r="S716" s="4" t="str">
        <f t="shared" si="25"/>
        <v/>
      </c>
    </row>
    <row r="717" spans="1:19" s="3" customFormat="1" ht="13.9" hidden="1" x14ac:dyDescent="0.4">
      <c r="A717" s="5"/>
      <c r="F717" s="16"/>
      <c r="G717" s="17"/>
      <c r="H717" s="17"/>
      <c r="I717" s="17"/>
      <c r="J717" s="17"/>
      <c r="S717" s="4" t="str">
        <f t="shared" si="25"/>
        <v/>
      </c>
    </row>
    <row r="718" spans="1:19" s="3" customFormat="1" ht="13.9" hidden="1" x14ac:dyDescent="0.4">
      <c r="A718" s="5"/>
      <c r="F718" s="16"/>
      <c r="G718" s="17"/>
      <c r="H718" s="17"/>
      <c r="I718" s="17"/>
      <c r="J718" s="17"/>
      <c r="S718" s="4" t="str">
        <f t="shared" si="25"/>
        <v/>
      </c>
    </row>
    <row r="719" spans="1:19" s="3" customFormat="1" ht="13.9" hidden="1" x14ac:dyDescent="0.4">
      <c r="A719" s="5"/>
      <c r="F719" s="16"/>
      <c r="G719" s="17"/>
      <c r="H719" s="17"/>
      <c r="I719" s="17"/>
      <c r="J719" s="17"/>
      <c r="S719" s="4" t="str">
        <f t="shared" si="25"/>
        <v/>
      </c>
    </row>
    <row r="720" spans="1:19" s="3" customFormat="1" ht="13.9" hidden="1" x14ac:dyDescent="0.4">
      <c r="A720" s="5"/>
      <c r="F720" s="16"/>
      <c r="G720" s="17"/>
      <c r="H720" s="17"/>
      <c r="I720" s="17"/>
      <c r="J720" s="17"/>
      <c r="S720" s="4" t="str">
        <f t="shared" si="25"/>
        <v/>
      </c>
    </row>
    <row r="721" spans="1:19" s="3" customFormat="1" ht="13.9" hidden="1" x14ac:dyDescent="0.4">
      <c r="A721" s="5"/>
      <c r="F721" s="16"/>
      <c r="G721" s="17"/>
      <c r="H721" s="17"/>
      <c r="I721" s="17"/>
      <c r="J721" s="17"/>
      <c r="S721" s="4" t="str">
        <f t="shared" si="25"/>
        <v/>
      </c>
    </row>
    <row r="722" spans="1:19" s="3" customFormat="1" ht="13.9" hidden="1" x14ac:dyDescent="0.4">
      <c r="A722" s="5"/>
      <c r="F722" s="16"/>
      <c r="G722" s="17"/>
      <c r="H722" s="17"/>
      <c r="I722" s="17"/>
      <c r="J722" s="17"/>
      <c r="S722" s="4" t="str">
        <f t="shared" si="25"/>
        <v/>
      </c>
    </row>
    <row r="723" spans="1:19" s="3" customFormat="1" ht="13.9" hidden="1" x14ac:dyDescent="0.4">
      <c r="A723" s="5"/>
      <c r="F723" s="16"/>
      <c r="G723" s="17"/>
      <c r="H723" s="17"/>
      <c r="I723" s="17"/>
      <c r="J723" s="17"/>
      <c r="S723" s="4" t="str">
        <f t="shared" si="25"/>
        <v/>
      </c>
    </row>
    <row r="724" spans="1:19" s="3" customFormat="1" ht="13.9" hidden="1" x14ac:dyDescent="0.4">
      <c r="A724" s="5"/>
      <c r="F724" s="16"/>
      <c r="G724" s="17"/>
      <c r="H724" s="17"/>
      <c r="I724" s="17"/>
      <c r="J724" s="17"/>
      <c r="S724" s="4" t="str">
        <f t="shared" si="25"/>
        <v/>
      </c>
    </row>
    <row r="725" spans="1:19" s="3" customFormat="1" ht="13.9" hidden="1" x14ac:dyDescent="0.4">
      <c r="A725" s="5"/>
      <c r="F725" s="16"/>
      <c r="G725" s="17"/>
      <c r="H725" s="17"/>
      <c r="I725" s="17"/>
      <c r="J725" s="17"/>
      <c r="S725" s="4" t="str">
        <f t="shared" si="25"/>
        <v/>
      </c>
    </row>
    <row r="726" spans="1:19" s="3" customFormat="1" ht="13.9" hidden="1" x14ac:dyDescent="0.4">
      <c r="A726" s="5"/>
      <c r="F726" s="16"/>
      <c r="G726" s="17"/>
      <c r="H726" s="17"/>
      <c r="I726" s="17"/>
      <c r="J726" s="17"/>
      <c r="S726" s="4" t="str">
        <f t="shared" si="25"/>
        <v/>
      </c>
    </row>
    <row r="727" spans="1:19" s="3" customFormat="1" ht="13.9" hidden="1" x14ac:dyDescent="0.4">
      <c r="A727" s="5"/>
      <c r="F727" s="16"/>
      <c r="G727" s="17"/>
      <c r="H727" s="17"/>
      <c r="I727" s="17"/>
      <c r="J727" s="17"/>
      <c r="S727" s="4" t="str">
        <f t="shared" si="25"/>
        <v/>
      </c>
    </row>
    <row r="728" spans="1:19" s="3" customFormat="1" ht="13.9" hidden="1" x14ac:dyDescent="0.4">
      <c r="A728" s="5"/>
      <c r="F728" s="16"/>
      <c r="G728" s="17"/>
      <c r="H728" s="17"/>
      <c r="I728" s="17"/>
      <c r="J728" s="17"/>
      <c r="S728" s="4" t="str">
        <f t="shared" si="25"/>
        <v/>
      </c>
    </row>
    <row r="729" spans="1:19" s="3" customFormat="1" ht="13.9" hidden="1" x14ac:dyDescent="0.4">
      <c r="A729" s="5"/>
      <c r="F729" s="16"/>
      <c r="G729" s="17"/>
      <c r="H729" s="17"/>
      <c r="I729" s="17"/>
      <c r="J729" s="17"/>
      <c r="S729" s="4" t="str">
        <f t="shared" si="25"/>
        <v/>
      </c>
    </row>
    <row r="730" spans="1:19" s="3" customFormat="1" ht="13.9" hidden="1" x14ac:dyDescent="0.4">
      <c r="A730" s="5"/>
      <c r="F730" s="16"/>
      <c r="G730" s="17"/>
      <c r="H730" s="17"/>
      <c r="I730" s="17"/>
      <c r="J730" s="17"/>
      <c r="S730" s="4" t="str">
        <f t="shared" si="25"/>
        <v/>
      </c>
    </row>
    <row r="731" spans="1:19" s="3" customFormat="1" ht="13.9" hidden="1" x14ac:dyDescent="0.4">
      <c r="A731" s="5"/>
      <c r="F731" s="16"/>
      <c r="G731" s="17"/>
      <c r="H731" s="17"/>
      <c r="I731" s="17"/>
      <c r="J731" s="17"/>
      <c r="S731" s="4" t="str">
        <f t="shared" si="25"/>
        <v/>
      </c>
    </row>
    <row r="732" spans="1:19" s="3" customFormat="1" ht="13.9" hidden="1" x14ac:dyDescent="0.4">
      <c r="A732" s="5"/>
      <c r="F732" s="16"/>
      <c r="G732" s="17"/>
      <c r="H732" s="17"/>
      <c r="I732" s="17"/>
      <c r="J732" s="17"/>
      <c r="S732" s="4" t="str">
        <f t="shared" si="25"/>
        <v/>
      </c>
    </row>
    <row r="733" spans="1:19" s="3" customFormat="1" ht="13.9" hidden="1" x14ac:dyDescent="0.4">
      <c r="A733" s="5"/>
      <c r="F733" s="16"/>
      <c r="G733" s="17"/>
      <c r="H733" s="17"/>
      <c r="I733" s="17"/>
      <c r="J733" s="17"/>
      <c r="S733" s="4" t="str">
        <f t="shared" si="25"/>
        <v/>
      </c>
    </row>
    <row r="734" spans="1:19" s="3" customFormat="1" ht="13.9" hidden="1" x14ac:dyDescent="0.4">
      <c r="A734" s="5"/>
      <c r="F734" s="16"/>
      <c r="G734" s="17"/>
      <c r="H734" s="17"/>
      <c r="I734" s="17"/>
      <c r="J734" s="17"/>
      <c r="S734" s="4" t="str">
        <f t="shared" si="25"/>
        <v/>
      </c>
    </row>
    <row r="735" spans="1:19" s="3" customFormat="1" ht="13.9" hidden="1" x14ac:dyDescent="0.4">
      <c r="A735" s="5"/>
      <c r="F735" s="16"/>
      <c r="G735" s="17"/>
      <c r="H735" s="17"/>
      <c r="I735" s="17"/>
      <c r="J735" s="17"/>
      <c r="S735" s="4" t="str">
        <f t="shared" si="25"/>
        <v/>
      </c>
    </row>
    <row r="736" spans="1:19" s="3" customFormat="1" ht="13.9" hidden="1" x14ac:dyDescent="0.4">
      <c r="A736" s="5"/>
      <c r="F736" s="16"/>
      <c r="G736" s="17"/>
      <c r="H736" s="17"/>
      <c r="I736" s="17"/>
      <c r="J736" s="17"/>
      <c r="S736" s="4" t="str">
        <f t="shared" si="25"/>
        <v/>
      </c>
    </row>
    <row r="737" spans="1:19" s="3" customFormat="1" ht="13.9" hidden="1" x14ac:dyDescent="0.4">
      <c r="A737" s="5"/>
      <c r="F737" s="16"/>
      <c r="G737" s="17"/>
      <c r="H737" s="17"/>
      <c r="I737" s="17"/>
      <c r="J737" s="17"/>
      <c r="S737" s="4" t="str">
        <f t="shared" si="25"/>
        <v/>
      </c>
    </row>
    <row r="738" spans="1:19" s="3" customFormat="1" ht="13.9" hidden="1" x14ac:dyDescent="0.4">
      <c r="A738" s="5"/>
      <c r="F738" s="16"/>
      <c r="G738" s="17"/>
      <c r="H738" s="17"/>
      <c r="I738" s="17"/>
      <c r="J738" s="17"/>
      <c r="S738" s="4" t="str">
        <f t="shared" si="25"/>
        <v/>
      </c>
    </row>
    <row r="739" spans="1:19" s="3" customFormat="1" ht="13.9" hidden="1" x14ac:dyDescent="0.4">
      <c r="A739" s="5"/>
      <c r="F739" s="16"/>
      <c r="G739" s="17"/>
      <c r="H739" s="17"/>
      <c r="I739" s="17"/>
      <c r="J739" s="17"/>
      <c r="S739" s="4" t="str">
        <f t="shared" si="25"/>
        <v/>
      </c>
    </row>
    <row r="740" spans="1:19" s="3" customFormat="1" ht="13.9" hidden="1" x14ac:dyDescent="0.4">
      <c r="A740" s="5"/>
      <c r="F740" s="16"/>
      <c r="G740" s="17"/>
      <c r="H740" s="17"/>
      <c r="I740" s="17"/>
      <c r="J740" s="17"/>
      <c r="S740" s="4" t="str">
        <f t="shared" si="25"/>
        <v/>
      </c>
    </row>
    <row r="741" spans="1:19" s="3" customFormat="1" ht="13.9" hidden="1" x14ac:dyDescent="0.4">
      <c r="A741" s="5"/>
      <c r="F741" s="16"/>
      <c r="G741" s="17"/>
      <c r="H741" s="17"/>
      <c r="I741" s="17"/>
      <c r="J741" s="17"/>
      <c r="S741" s="4" t="str">
        <f t="shared" si="25"/>
        <v/>
      </c>
    </row>
    <row r="742" spans="1:19" s="3" customFormat="1" ht="13.9" hidden="1" x14ac:dyDescent="0.4">
      <c r="A742" s="5"/>
      <c r="F742" s="16"/>
      <c r="G742" s="17"/>
      <c r="H742" s="17"/>
      <c r="I742" s="17"/>
      <c r="J742" s="17"/>
      <c r="S742" s="4" t="str">
        <f t="shared" si="25"/>
        <v/>
      </c>
    </row>
    <row r="743" spans="1:19" s="3" customFormat="1" ht="13.9" hidden="1" x14ac:dyDescent="0.4">
      <c r="A743" s="5"/>
      <c r="F743" s="16"/>
      <c r="G743" s="17"/>
      <c r="H743" s="17"/>
      <c r="I743" s="17"/>
      <c r="J743" s="17"/>
      <c r="S743" s="4" t="str">
        <f t="shared" si="25"/>
        <v/>
      </c>
    </row>
    <row r="744" spans="1:19" s="3" customFormat="1" ht="13.9" hidden="1" x14ac:dyDescent="0.4">
      <c r="A744" s="5"/>
      <c r="F744" s="16"/>
      <c r="G744" s="17"/>
      <c r="H744" s="17"/>
      <c r="I744" s="17"/>
      <c r="J744" s="17"/>
      <c r="S744" s="4" t="str">
        <f t="shared" si="25"/>
        <v/>
      </c>
    </row>
    <row r="745" spans="1:19" s="3" customFormat="1" ht="13.9" hidden="1" x14ac:dyDescent="0.4">
      <c r="A745" s="5"/>
      <c r="F745" s="16"/>
      <c r="G745" s="17"/>
      <c r="H745" s="17"/>
      <c r="I745" s="17"/>
      <c r="J745" s="17"/>
      <c r="S745" s="4" t="str">
        <f t="shared" si="25"/>
        <v/>
      </c>
    </row>
    <row r="746" spans="1:19" s="3" customFormat="1" ht="13.9" hidden="1" x14ac:dyDescent="0.4">
      <c r="A746" s="5"/>
      <c r="F746" s="16"/>
      <c r="G746" s="17"/>
      <c r="H746" s="17"/>
      <c r="I746" s="17"/>
      <c r="J746" s="17"/>
      <c r="S746" s="4" t="str">
        <f t="shared" si="25"/>
        <v/>
      </c>
    </row>
    <row r="747" spans="1:19" s="3" customFormat="1" ht="13.9" hidden="1" x14ac:dyDescent="0.4">
      <c r="A747" s="5"/>
      <c r="F747" s="16"/>
      <c r="G747" s="17"/>
      <c r="H747" s="17"/>
      <c r="I747" s="17"/>
      <c r="J747" s="17"/>
      <c r="S747" s="4" t="str">
        <f t="shared" si="25"/>
        <v/>
      </c>
    </row>
    <row r="748" spans="1:19" s="3" customFormat="1" ht="13.9" hidden="1" x14ac:dyDescent="0.4">
      <c r="A748" s="5"/>
      <c r="F748" s="16"/>
      <c r="G748" s="17"/>
      <c r="H748" s="17"/>
      <c r="I748" s="17"/>
      <c r="J748" s="17"/>
      <c r="S748" s="4" t="str">
        <f t="shared" si="25"/>
        <v/>
      </c>
    </row>
    <row r="749" spans="1:19" s="3" customFormat="1" ht="13.9" hidden="1" x14ac:dyDescent="0.4">
      <c r="A749" s="5"/>
      <c r="F749" s="16"/>
      <c r="G749" s="17"/>
      <c r="H749" s="17"/>
      <c r="I749" s="17"/>
      <c r="J749" s="17"/>
      <c r="S749" s="4" t="str">
        <f t="shared" si="25"/>
        <v/>
      </c>
    </row>
    <row r="750" spans="1:19" s="3" customFormat="1" ht="13.9" hidden="1" x14ac:dyDescent="0.4">
      <c r="A750" s="5"/>
      <c r="F750" s="16"/>
      <c r="G750" s="17"/>
      <c r="H750" s="17"/>
      <c r="I750" s="17"/>
      <c r="J750" s="17"/>
      <c r="S750" s="4" t="str">
        <f t="shared" si="25"/>
        <v/>
      </c>
    </row>
    <row r="751" spans="1:19" s="3" customFormat="1" ht="13.9" hidden="1" x14ac:dyDescent="0.4">
      <c r="A751" s="5"/>
      <c r="F751" s="16"/>
      <c r="G751" s="17"/>
      <c r="H751" s="17"/>
      <c r="I751" s="17"/>
      <c r="J751" s="17"/>
      <c r="S751" s="4" t="str">
        <f t="shared" si="25"/>
        <v/>
      </c>
    </row>
    <row r="752" spans="1:19" s="3" customFormat="1" ht="13.9" hidden="1" x14ac:dyDescent="0.4">
      <c r="A752" s="5"/>
      <c r="F752" s="16"/>
      <c r="G752" s="17"/>
      <c r="H752" s="17"/>
      <c r="I752" s="17"/>
      <c r="J752" s="17"/>
      <c r="S752" s="4" t="str">
        <f t="shared" si="25"/>
        <v/>
      </c>
    </row>
    <row r="753" spans="1:19" s="3" customFormat="1" ht="13.9" hidden="1" x14ac:dyDescent="0.4">
      <c r="A753" s="5"/>
      <c r="F753" s="16"/>
      <c r="G753" s="17"/>
      <c r="H753" s="17"/>
      <c r="I753" s="17"/>
      <c r="J753" s="17"/>
      <c r="S753" s="4" t="str">
        <f t="shared" si="25"/>
        <v/>
      </c>
    </row>
    <row r="754" spans="1:19" s="3" customFormat="1" ht="13.9" hidden="1" x14ac:dyDescent="0.4">
      <c r="A754" s="5"/>
      <c r="F754" s="16"/>
      <c r="G754" s="17"/>
      <c r="H754" s="17"/>
      <c r="I754" s="17"/>
      <c r="J754" s="17"/>
      <c r="S754" s="4" t="str">
        <f t="shared" si="25"/>
        <v/>
      </c>
    </row>
    <row r="755" spans="1:19" s="3" customFormat="1" ht="13.9" hidden="1" x14ac:dyDescent="0.4">
      <c r="A755" s="5"/>
      <c r="F755" s="16"/>
      <c r="G755" s="17"/>
      <c r="H755" s="17"/>
      <c r="I755" s="17"/>
      <c r="J755" s="17"/>
      <c r="S755" s="4" t="str">
        <f t="shared" si="25"/>
        <v/>
      </c>
    </row>
    <row r="756" spans="1:19" s="3" customFormat="1" ht="13.9" hidden="1" x14ac:dyDescent="0.4">
      <c r="A756" s="5"/>
      <c r="F756" s="16"/>
      <c r="G756" s="17"/>
      <c r="H756" s="17"/>
      <c r="I756" s="17"/>
      <c r="J756" s="17"/>
      <c r="S756" s="4" t="str">
        <f t="shared" si="25"/>
        <v/>
      </c>
    </row>
    <row r="757" spans="1:19" s="3" customFormat="1" ht="13.9" hidden="1" x14ac:dyDescent="0.4">
      <c r="A757" s="5"/>
      <c r="F757" s="16"/>
      <c r="G757" s="17"/>
      <c r="H757" s="17"/>
      <c r="I757" s="17"/>
      <c r="J757" s="17"/>
      <c r="S757" s="4" t="str">
        <f t="shared" si="25"/>
        <v/>
      </c>
    </row>
    <row r="758" spans="1:19" s="3" customFormat="1" ht="13.9" hidden="1" x14ac:dyDescent="0.4">
      <c r="A758" s="5"/>
      <c r="F758" s="16"/>
      <c r="G758" s="17"/>
      <c r="H758" s="17"/>
      <c r="I758" s="17"/>
      <c r="J758" s="17"/>
      <c r="S758" s="4" t="str">
        <f t="shared" si="25"/>
        <v/>
      </c>
    </row>
    <row r="759" spans="1:19" s="3" customFormat="1" ht="13.9" hidden="1" x14ac:dyDescent="0.4">
      <c r="A759" s="5"/>
      <c r="F759" s="16"/>
      <c r="G759" s="17"/>
      <c r="H759" s="17"/>
      <c r="I759" s="17"/>
      <c r="J759" s="17"/>
      <c r="S759" s="4" t="str">
        <f t="shared" si="25"/>
        <v/>
      </c>
    </row>
    <row r="760" spans="1:19" s="3" customFormat="1" ht="13.9" hidden="1" x14ac:dyDescent="0.4">
      <c r="A760" s="5"/>
      <c r="F760" s="16"/>
      <c r="G760" s="17"/>
      <c r="H760" s="17"/>
      <c r="I760" s="17"/>
      <c r="J760" s="17"/>
      <c r="S760" s="4" t="str">
        <f t="shared" si="25"/>
        <v/>
      </c>
    </row>
    <row r="761" spans="1:19" s="3" customFormat="1" ht="13.9" hidden="1" x14ac:dyDescent="0.4">
      <c r="A761" s="5"/>
      <c r="F761" s="16"/>
      <c r="G761" s="17"/>
      <c r="H761" s="17"/>
      <c r="I761" s="17"/>
      <c r="J761" s="17"/>
      <c r="S761" s="4" t="str">
        <f t="shared" si="25"/>
        <v/>
      </c>
    </row>
    <row r="762" spans="1:19" s="3" customFormat="1" ht="13.9" hidden="1" x14ac:dyDescent="0.4">
      <c r="A762" s="5"/>
      <c r="F762" s="16"/>
      <c r="G762" s="17"/>
      <c r="H762" s="17"/>
      <c r="I762" s="17"/>
      <c r="J762" s="17"/>
      <c r="S762" s="4" t="str">
        <f t="shared" si="25"/>
        <v/>
      </c>
    </row>
    <row r="763" spans="1:19" s="3" customFormat="1" ht="13.9" hidden="1" x14ac:dyDescent="0.4">
      <c r="A763" s="5"/>
      <c r="F763" s="16"/>
      <c r="G763" s="17"/>
      <c r="H763" s="17"/>
      <c r="I763" s="17"/>
      <c r="J763" s="17"/>
      <c r="S763" s="4" t="str">
        <f t="shared" si="25"/>
        <v/>
      </c>
    </row>
    <row r="764" spans="1:19" s="3" customFormat="1" ht="13.9" hidden="1" x14ac:dyDescent="0.4">
      <c r="A764" s="5"/>
      <c r="F764" s="16"/>
      <c r="G764" s="17"/>
      <c r="H764" s="17"/>
      <c r="I764" s="17"/>
      <c r="J764" s="17"/>
      <c r="S764" s="4" t="str">
        <f t="shared" si="25"/>
        <v/>
      </c>
    </row>
    <row r="765" spans="1:19" s="3" customFormat="1" ht="13.9" hidden="1" x14ac:dyDescent="0.4">
      <c r="A765" s="5"/>
      <c r="F765" s="16"/>
      <c r="G765" s="17"/>
      <c r="H765" s="17"/>
      <c r="I765" s="17"/>
      <c r="J765" s="17"/>
      <c r="S765" s="4" t="str">
        <f t="shared" si="25"/>
        <v/>
      </c>
    </row>
    <row r="766" spans="1:19" s="3" customFormat="1" ht="13.9" hidden="1" x14ac:dyDescent="0.4">
      <c r="A766" s="5"/>
      <c r="F766" s="16"/>
      <c r="G766" s="17"/>
      <c r="H766" s="17"/>
      <c r="I766" s="17"/>
      <c r="J766" s="17"/>
      <c r="S766" s="4" t="str">
        <f t="shared" si="25"/>
        <v/>
      </c>
    </row>
    <row r="767" spans="1:19" s="3" customFormat="1" ht="13.9" hidden="1" x14ac:dyDescent="0.4">
      <c r="A767" s="5"/>
      <c r="F767" s="16"/>
      <c r="G767" s="17"/>
      <c r="H767" s="17"/>
      <c r="I767" s="17"/>
      <c r="J767" s="17"/>
      <c r="S767" s="4" t="str">
        <f t="shared" si="25"/>
        <v/>
      </c>
    </row>
    <row r="768" spans="1:19" s="3" customFormat="1" ht="13.9" hidden="1" x14ac:dyDescent="0.4">
      <c r="A768" s="5"/>
      <c r="F768" s="16"/>
      <c r="G768" s="17"/>
      <c r="H768" s="17"/>
      <c r="I768" s="17"/>
      <c r="J768" s="17"/>
      <c r="S768" s="4" t="str">
        <f t="shared" si="25"/>
        <v/>
      </c>
    </row>
    <row r="769" spans="1:19" s="3" customFormat="1" ht="13.9" hidden="1" x14ac:dyDescent="0.4">
      <c r="A769" s="5"/>
      <c r="F769" s="16"/>
      <c r="G769" s="17"/>
      <c r="H769" s="17"/>
      <c r="I769" s="17"/>
      <c r="J769" s="17"/>
      <c r="S769" s="4" t="str">
        <f t="shared" si="25"/>
        <v/>
      </c>
    </row>
    <row r="770" spans="1:19" s="3" customFormat="1" ht="13.9" hidden="1" x14ac:dyDescent="0.4">
      <c r="A770" s="5"/>
      <c r="F770" s="16"/>
      <c r="G770" s="17"/>
      <c r="H770" s="17"/>
      <c r="I770" s="17"/>
      <c r="J770" s="17"/>
      <c r="S770" s="4" t="str">
        <f t="shared" si="25"/>
        <v/>
      </c>
    </row>
    <row r="771" spans="1:19" s="3" customFormat="1" ht="13.9" hidden="1" x14ac:dyDescent="0.4">
      <c r="A771" s="5"/>
      <c r="F771" s="16"/>
      <c r="G771" s="17"/>
      <c r="H771" s="17"/>
      <c r="I771" s="17"/>
      <c r="J771" s="17"/>
      <c r="S771" s="4" t="str">
        <f t="shared" si="25"/>
        <v/>
      </c>
    </row>
    <row r="772" spans="1:19" s="3" customFormat="1" ht="13.9" hidden="1" x14ac:dyDescent="0.4">
      <c r="A772" s="5"/>
      <c r="F772" s="16"/>
      <c r="G772" s="17"/>
      <c r="H772" s="17"/>
      <c r="I772" s="17"/>
      <c r="J772" s="17"/>
      <c r="S772" s="4" t="str">
        <f t="shared" si="25"/>
        <v/>
      </c>
    </row>
    <row r="773" spans="1:19" s="3" customFormat="1" ht="13.9" hidden="1" x14ac:dyDescent="0.4">
      <c r="A773" s="5"/>
      <c r="F773" s="16"/>
      <c r="G773" s="17"/>
      <c r="H773" s="17"/>
      <c r="I773" s="17"/>
      <c r="J773" s="17"/>
      <c r="S773" s="4" t="str">
        <f t="shared" ref="S773:S836" si="26">IF(B773&lt;&gt;"","visible","")</f>
        <v/>
      </c>
    </row>
    <row r="774" spans="1:19" s="3" customFormat="1" ht="13.9" hidden="1" x14ac:dyDescent="0.4">
      <c r="A774" s="5"/>
      <c r="F774" s="16"/>
      <c r="G774" s="17"/>
      <c r="H774" s="17"/>
      <c r="I774" s="17"/>
      <c r="J774" s="17"/>
      <c r="S774" s="4" t="str">
        <f t="shared" si="26"/>
        <v/>
      </c>
    </row>
    <row r="775" spans="1:19" s="3" customFormat="1" ht="13.9" hidden="1" x14ac:dyDescent="0.4">
      <c r="A775" s="5"/>
      <c r="F775" s="16"/>
      <c r="G775" s="17"/>
      <c r="H775" s="17"/>
      <c r="I775" s="17"/>
      <c r="J775" s="17"/>
      <c r="S775" s="4" t="str">
        <f t="shared" si="26"/>
        <v/>
      </c>
    </row>
    <row r="776" spans="1:19" s="3" customFormat="1" ht="13.9" hidden="1" x14ac:dyDescent="0.4">
      <c r="A776" s="5"/>
      <c r="F776" s="16"/>
      <c r="G776" s="17"/>
      <c r="H776" s="17"/>
      <c r="I776" s="17"/>
      <c r="J776" s="17"/>
      <c r="S776" s="4" t="str">
        <f t="shared" si="26"/>
        <v/>
      </c>
    </row>
    <row r="777" spans="1:19" s="3" customFormat="1" ht="13.9" hidden="1" x14ac:dyDescent="0.4">
      <c r="A777" s="5"/>
      <c r="F777" s="16"/>
      <c r="G777" s="17"/>
      <c r="H777" s="17"/>
      <c r="I777" s="17"/>
      <c r="J777" s="17"/>
      <c r="S777" s="4" t="str">
        <f t="shared" si="26"/>
        <v/>
      </c>
    </row>
    <row r="778" spans="1:19" s="3" customFormat="1" ht="13.9" hidden="1" x14ac:dyDescent="0.4">
      <c r="A778" s="5"/>
      <c r="F778" s="16"/>
      <c r="G778" s="17"/>
      <c r="H778" s="17"/>
      <c r="I778" s="17"/>
      <c r="J778" s="17"/>
      <c r="S778" s="4" t="str">
        <f t="shared" si="26"/>
        <v/>
      </c>
    </row>
    <row r="779" spans="1:19" s="3" customFormat="1" ht="13.9" hidden="1" x14ac:dyDescent="0.4">
      <c r="A779" s="5"/>
      <c r="F779" s="16"/>
      <c r="G779" s="17"/>
      <c r="H779" s="17"/>
      <c r="I779" s="17"/>
      <c r="J779" s="17"/>
      <c r="S779" s="4" t="str">
        <f t="shared" si="26"/>
        <v/>
      </c>
    </row>
    <row r="780" spans="1:19" s="3" customFormat="1" ht="13.9" hidden="1" x14ac:dyDescent="0.4">
      <c r="A780" s="5"/>
      <c r="F780" s="16"/>
      <c r="G780" s="17"/>
      <c r="H780" s="17"/>
      <c r="I780" s="17"/>
      <c r="J780" s="17"/>
      <c r="S780" s="4" t="str">
        <f t="shared" si="26"/>
        <v/>
      </c>
    </row>
    <row r="781" spans="1:19" s="3" customFormat="1" ht="13.9" hidden="1" x14ac:dyDescent="0.4">
      <c r="A781" s="5"/>
      <c r="F781" s="16"/>
      <c r="G781" s="17"/>
      <c r="H781" s="17"/>
      <c r="I781" s="17"/>
      <c r="J781" s="17"/>
      <c r="S781" s="4" t="str">
        <f t="shared" si="26"/>
        <v/>
      </c>
    </row>
    <row r="782" spans="1:19" s="3" customFormat="1" ht="13.9" hidden="1" x14ac:dyDescent="0.4">
      <c r="A782" s="5"/>
      <c r="F782" s="16"/>
      <c r="G782" s="17"/>
      <c r="H782" s="17"/>
      <c r="I782" s="17"/>
      <c r="J782" s="17"/>
      <c r="S782" s="4" t="str">
        <f t="shared" si="26"/>
        <v/>
      </c>
    </row>
    <row r="783" spans="1:19" s="3" customFormat="1" ht="13.9" hidden="1" x14ac:dyDescent="0.4">
      <c r="A783" s="5"/>
      <c r="F783" s="16"/>
      <c r="G783" s="17"/>
      <c r="H783" s="17"/>
      <c r="I783" s="17"/>
      <c r="J783" s="17"/>
      <c r="S783" s="4" t="str">
        <f t="shared" si="26"/>
        <v/>
      </c>
    </row>
    <row r="784" spans="1:19" s="3" customFormat="1" ht="13.9" hidden="1" x14ac:dyDescent="0.4">
      <c r="A784" s="5"/>
      <c r="F784" s="16"/>
      <c r="G784" s="17"/>
      <c r="H784" s="17"/>
      <c r="I784" s="17"/>
      <c r="J784" s="17"/>
      <c r="S784" s="4" t="str">
        <f t="shared" si="26"/>
        <v/>
      </c>
    </row>
    <row r="785" spans="1:19" s="3" customFormat="1" ht="13.9" hidden="1" x14ac:dyDescent="0.4">
      <c r="A785" s="5"/>
      <c r="F785" s="16"/>
      <c r="G785" s="17"/>
      <c r="H785" s="17"/>
      <c r="I785" s="17"/>
      <c r="J785" s="17"/>
      <c r="S785" s="4" t="str">
        <f t="shared" si="26"/>
        <v/>
      </c>
    </row>
    <row r="786" spans="1:19" s="3" customFormat="1" ht="13.9" hidden="1" x14ac:dyDescent="0.4">
      <c r="A786" s="5"/>
      <c r="F786" s="16"/>
      <c r="G786" s="17"/>
      <c r="H786" s="17"/>
      <c r="I786" s="17"/>
      <c r="J786" s="17"/>
      <c r="S786" s="4" t="str">
        <f t="shared" si="26"/>
        <v/>
      </c>
    </row>
    <row r="787" spans="1:19" s="3" customFormat="1" ht="13.9" hidden="1" x14ac:dyDescent="0.4">
      <c r="A787" s="5"/>
      <c r="F787" s="16"/>
      <c r="G787" s="17"/>
      <c r="H787" s="17"/>
      <c r="I787" s="17"/>
      <c r="J787" s="17"/>
      <c r="S787" s="4" t="str">
        <f t="shared" si="26"/>
        <v/>
      </c>
    </row>
    <row r="788" spans="1:19" s="3" customFormat="1" ht="13.9" hidden="1" x14ac:dyDescent="0.4">
      <c r="A788" s="5"/>
      <c r="F788" s="16"/>
      <c r="G788" s="17"/>
      <c r="H788" s="17"/>
      <c r="I788" s="17"/>
      <c r="J788" s="17"/>
      <c r="S788" s="4" t="str">
        <f t="shared" si="26"/>
        <v/>
      </c>
    </row>
    <row r="789" spans="1:19" s="3" customFormat="1" ht="13.9" hidden="1" x14ac:dyDescent="0.4">
      <c r="A789" s="5"/>
      <c r="F789" s="16"/>
      <c r="G789" s="17"/>
      <c r="H789" s="17"/>
      <c r="I789" s="17"/>
      <c r="J789" s="17"/>
      <c r="S789" s="4" t="str">
        <f t="shared" si="26"/>
        <v/>
      </c>
    </row>
    <row r="790" spans="1:19" s="3" customFormat="1" ht="13.9" hidden="1" x14ac:dyDescent="0.4">
      <c r="A790" s="5"/>
      <c r="F790" s="16"/>
      <c r="G790" s="17"/>
      <c r="H790" s="17"/>
      <c r="I790" s="17"/>
      <c r="J790" s="17"/>
      <c r="S790" s="4" t="str">
        <f t="shared" si="26"/>
        <v/>
      </c>
    </row>
    <row r="791" spans="1:19" s="3" customFormat="1" ht="13.9" hidden="1" x14ac:dyDescent="0.4">
      <c r="A791" s="5"/>
      <c r="F791" s="16"/>
      <c r="G791" s="17"/>
      <c r="H791" s="17"/>
      <c r="I791" s="17"/>
      <c r="J791" s="17"/>
      <c r="S791" s="4" t="str">
        <f t="shared" si="26"/>
        <v/>
      </c>
    </row>
    <row r="792" spans="1:19" s="3" customFormat="1" ht="13.9" hidden="1" x14ac:dyDescent="0.4">
      <c r="A792" s="5"/>
      <c r="F792" s="16"/>
      <c r="G792" s="17"/>
      <c r="H792" s="17"/>
      <c r="I792" s="17"/>
      <c r="J792" s="17"/>
      <c r="S792" s="4" t="str">
        <f t="shared" si="26"/>
        <v/>
      </c>
    </row>
    <row r="793" spans="1:19" s="3" customFormat="1" ht="13.9" hidden="1" x14ac:dyDescent="0.4">
      <c r="A793" s="5"/>
      <c r="F793" s="16"/>
      <c r="G793" s="17"/>
      <c r="H793" s="17"/>
      <c r="I793" s="17"/>
      <c r="J793" s="17"/>
      <c r="S793" s="4" t="str">
        <f t="shared" si="26"/>
        <v/>
      </c>
    </row>
    <row r="794" spans="1:19" s="3" customFormat="1" ht="13.9" hidden="1" x14ac:dyDescent="0.4">
      <c r="A794" s="5"/>
      <c r="F794" s="16"/>
      <c r="G794" s="17"/>
      <c r="H794" s="17"/>
      <c r="I794" s="17"/>
      <c r="J794" s="17"/>
      <c r="S794" s="4" t="str">
        <f t="shared" si="26"/>
        <v/>
      </c>
    </row>
    <row r="795" spans="1:19" s="3" customFormat="1" ht="13.9" hidden="1" x14ac:dyDescent="0.4">
      <c r="A795" s="5"/>
      <c r="F795" s="16"/>
      <c r="G795" s="17"/>
      <c r="H795" s="17"/>
      <c r="I795" s="17"/>
      <c r="J795" s="17"/>
      <c r="S795" s="4" t="str">
        <f t="shared" si="26"/>
        <v/>
      </c>
    </row>
    <row r="796" spans="1:19" s="3" customFormat="1" ht="13.9" hidden="1" x14ac:dyDescent="0.4">
      <c r="A796" s="5"/>
      <c r="F796" s="16"/>
      <c r="G796" s="17"/>
      <c r="H796" s="17"/>
      <c r="I796" s="17"/>
      <c r="J796" s="17"/>
      <c r="S796" s="4" t="str">
        <f t="shared" si="26"/>
        <v/>
      </c>
    </row>
    <row r="797" spans="1:19" s="3" customFormat="1" ht="13.9" hidden="1" x14ac:dyDescent="0.4">
      <c r="A797" s="5"/>
      <c r="F797" s="16"/>
      <c r="G797" s="17"/>
      <c r="H797" s="17"/>
      <c r="I797" s="17"/>
      <c r="J797" s="17"/>
      <c r="S797" s="4" t="str">
        <f t="shared" si="26"/>
        <v/>
      </c>
    </row>
    <row r="798" spans="1:19" s="3" customFormat="1" ht="13.9" hidden="1" x14ac:dyDescent="0.4">
      <c r="A798" s="5"/>
      <c r="F798" s="16"/>
      <c r="G798" s="17"/>
      <c r="H798" s="17"/>
      <c r="I798" s="17"/>
      <c r="J798" s="17"/>
      <c r="S798" s="4" t="str">
        <f t="shared" si="26"/>
        <v/>
      </c>
    </row>
    <row r="799" spans="1:19" s="3" customFormat="1" ht="13.9" hidden="1" x14ac:dyDescent="0.4">
      <c r="A799" s="5"/>
      <c r="F799" s="16"/>
      <c r="G799" s="17"/>
      <c r="H799" s="17"/>
      <c r="I799" s="17"/>
      <c r="J799" s="17"/>
      <c r="S799" s="4" t="str">
        <f t="shared" si="26"/>
        <v/>
      </c>
    </row>
    <row r="800" spans="1:19" s="3" customFormat="1" ht="13.9" hidden="1" x14ac:dyDescent="0.4">
      <c r="A800" s="5"/>
      <c r="F800" s="16"/>
      <c r="G800" s="17"/>
      <c r="H800" s="17"/>
      <c r="I800" s="17"/>
      <c r="J800" s="17"/>
      <c r="S800" s="4" t="str">
        <f t="shared" si="26"/>
        <v/>
      </c>
    </row>
    <row r="801" spans="1:19" s="3" customFormat="1" ht="13.9" hidden="1" x14ac:dyDescent="0.4">
      <c r="A801" s="5"/>
      <c r="F801" s="16"/>
      <c r="G801" s="17"/>
      <c r="H801" s="17"/>
      <c r="I801" s="17"/>
      <c r="J801" s="17"/>
      <c r="S801" s="4" t="str">
        <f t="shared" si="26"/>
        <v/>
      </c>
    </row>
    <row r="802" spans="1:19" s="3" customFormat="1" ht="13.9" hidden="1" x14ac:dyDescent="0.4">
      <c r="A802" s="5"/>
      <c r="F802" s="16"/>
      <c r="G802" s="17"/>
      <c r="H802" s="17"/>
      <c r="I802" s="17"/>
      <c r="J802" s="17"/>
      <c r="S802" s="4" t="str">
        <f t="shared" si="26"/>
        <v/>
      </c>
    </row>
    <row r="803" spans="1:19" s="3" customFormat="1" ht="13.9" hidden="1" x14ac:dyDescent="0.4">
      <c r="A803" s="5"/>
      <c r="F803" s="16"/>
      <c r="G803" s="17"/>
      <c r="H803" s="17"/>
      <c r="I803" s="17"/>
      <c r="J803" s="17"/>
      <c r="S803" s="4" t="str">
        <f t="shared" si="26"/>
        <v/>
      </c>
    </row>
    <row r="804" spans="1:19" s="3" customFormat="1" ht="13.9" hidden="1" x14ac:dyDescent="0.4">
      <c r="A804" s="5"/>
      <c r="F804" s="16"/>
      <c r="G804" s="17"/>
      <c r="H804" s="17"/>
      <c r="I804" s="17"/>
      <c r="J804" s="17"/>
      <c r="S804" s="4" t="str">
        <f t="shared" si="26"/>
        <v/>
      </c>
    </row>
    <row r="805" spans="1:19" s="3" customFormat="1" ht="13.9" hidden="1" x14ac:dyDescent="0.4">
      <c r="A805" s="5"/>
      <c r="F805" s="16"/>
      <c r="G805" s="17"/>
      <c r="H805" s="17"/>
      <c r="I805" s="17"/>
      <c r="J805" s="17"/>
      <c r="S805" s="4" t="str">
        <f t="shared" si="26"/>
        <v/>
      </c>
    </row>
    <row r="806" spans="1:19" s="3" customFormat="1" ht="13.9" hidden="1" x14ac:dyDescent="0.4">
      <c r="A806" s="5"/>
      <c r="F806" s="16"/>
      <c r="G806" s="17"/>
      <c r="H806" s="17"/>
      <c r="I806" s="17"/>
      <c r="J806" s="17"/>
      <c r="S806" s="4" t="str">
        <f t="shared" si="26"/>
        <v/>
      </c>
    </row>
    <row r="807" spans="1:19" s="3" customFormat="1" ht="13.9" hidden="1" x14ac:dyDescent="0.4">
      <c r="A807" s="5"/>
      <c r="F807" s="16"/>
      <c r="G807" s="17"/>
      <c r="H807" s="17"/>
      <c r="I807" s="17"/>
      <c r="J807" s="17"/>
      <c r="S807" s="4" t="str">
        <f t="shared" si="26"/>
        <v/>
      </c>
    </row>
    <row r="808" spans="1:19" s="3" customFormat="1" ht="13.9" hidden="1" x14ac:dyDescent="0.4">
      <c r="A808" s="5"/>
      <c r="F808" s="16"/>
      <c r="G808" s="17"/>
      <c r="H808" s="17"/>
      <c r="I808" s="17"/>
      <c r="J808" s="17"/>
      <c r="S808" s="4" t="str">
        <f t="shared" si="26"/>
        <v/>
      </c>
    </row>
    <row r="809" spans="1:19" s="3" customFormat="1" ht="13.9" hidden="1" x14ac:dyDescent="0.4">
      <c r="A809" s="5"/>
      <c r="F809" s="16"/>
      <c r="G809" s="17"/>
      <c r="H809" s="17"/>
      <c r="I809" s="17"/>
      <c r="J809" s="17"/>
      <c r="S809" s="4" t="str">
        <f t="shared" si="26"/>
        <v/>
      </c>
    </row>
    <row r="810" spans="1:19" s="3" customFormat="1" ht="13.9" hidden="1" x14ac:dyDescent="0.4">
      <c r="A810" s="5"/>
      <c r="F810" s="16"/>
      <c r="G810" s="17"/>
      <c r="H810" s="17"/>
      <c r="I810" s="17"/>
      <c r="J810" s="17"/>
      <c r="S810" s="4" t="str">
        <f t="shared" si="26"/>
        <v/>
      </c>
    </row>
    <row r="811" spans="1:19" s="3" customFormat="1" ht="13.9" hidden="1" x14ac:dyDescent="0.4">
      <c r="A811" s="5"/>
      <c r="F811" s="16"/>
      <c r="G811" s="17"/>
      <c r="H811" s="17"/>
      <c r="I811" s="17"/>
      <c r="J811" s="17"/>
      <c r="S811" s="4" t="str">
        <f t="shared" si="26"/>
        <v/>
      </c>
    </row>
    <row r="812" spans="1:19" s="3" customFormat="1" ht="13.9" hidden="1" x14ac:dyDescent="0.4">
      <c r="A812" s="5"/>
      <c r="F812" s="16"/>
      <c r="G812" s="17"/>
      <c r="H812" s="17"/>
      <c r="I812" s="17"/>
      <c r="J812" s="17"/>
      <c r="S812" s="4" t="str">
        <f t="shared" si="26"/>
        <v/>
      </c>
    </row>
    <row r="813" spans="1:19" s="3" customFormat="1" ht="13.9" hidden="1" x14ac:dyDescent="0.4">
      <c r="A813" s="5"/>
      <c r="F813" s="16"/>
      <c r="G813" s="17"/>
      <c r="H813" s="17"/>
      <c r="I813" s="17"/>
      <c r="J813" s="17"/>
      <c r="S813" s="4" t="str">
        <f t="shared" si="26"/>
        <v/>
      </c>
    </row>
    <row r="814" spans="1:19" s="3" customFormat="1" ht="13.9" hidden="1" x14ac:dyDescent="0.4">
      <c r="A814" s="5"/>
      <c r="F814" s="16"/>
      <c r="G814" s="17"/>
      <c r="H814" s="17"/>
      <c r="I814" s="17"/>
      <c r="J814" s="17"/>
      <c r="S814" s="4" t="str">
        <f t="shared" si="26"/>
        <v/>
      </c>
    </row>
    <row r="815" spans="1:19" s="3" customFormat="1" ht="13.9" hidden="1" x14ac:dyDescent="0.4">
      <c r="A815" s="5"/>
      <c r="F815" s="16"/>
      <c r="G815" s="17"/>
      <c r="H815" s="17"/>
      <c r="I815" s="17"/>
      <c r="J815" s="17"/>
      <c r="S815" s="4" t="str">
        <f t="shared" si="26"/>
        <v/>
      </c>
    </row>
    <row r="816" spans="1:19" s="3" customFormat="1" ht="13.9" hidden="1" x14ac:dyDescent="0.4">
      <c r="A816" s="5"/>
      <c r="F816" s="16"/>
      <c r="G816" s="17"/>
      <c r="H816" s="17"/>
      <c r="I816" s="17"/>
      <c r="J816" s="17"/>
      <c r="S816" s="4" t="str">
        <f t="shared" si="26"/>
        <v/>
      </c>
    </row>
    <row r="817" spans="1:19" s="3" customFormat="1" ht="13.9" hidden="1" x14ac:dyDescent="0.4">
      <c r="A817" s="5"/>
      <c r="F817" s="16"/>
      <c r="G817" s="17"/>
      <c r="H817" s="17"/>
      <c r="I817" s="17"/>
      <c r="J817" s="17"/>
      <c r="S817" s="4" t="str">
        <f t="shared" si="26"/>
        <v/>
      </c>
    </row>
    <row r="818" spans="1:19" s="3" customFormat="1" ht="13.9" hidden="1" x14ac:dyDescent="0.4">
      <c r="A818" s="5"/>
      <c r="F818" s="16"/>
      <c r="G818" s="17"/>
      <c r="H818" s="17"/>
      <c r="I818" s="17"/>
      <c r="J818" s="17"/>
      <c r="S818" s="4" t="str">
        <f t="shared" si="26"/>
        <v/>
      </c>
    </row>
    <row r="819" spans="1:19" s="3" customFormat="1" ht="13.9" hidden="1" x14ac:dyDescent="0.4">
      <c r="A819" s="5"/>
      <c r="F819" s="16"/>
      <c r="G819" s="17"/>
      <c r="H819" s="17"/>
      <c r="I819" s="17"/>
      <c r="J819" s="17"/>
      <c r="S819" s="4" t="str">
        <f t="shared" si="26"/>
        <v/>
      </c>
    </row>
    <row r="820" spans="1:19" s="3" customFormat="1" ht="13.9" hidden="1" x14ac:dyDescent="0.4">
      <c r="A820" s="5"/>
      <c r="F820" s="16"/>
      <c r="G820" s="17"/>
      <c r="H820" s="17"/>
      <c r="I820" s="17"/>
      <c r="J820" s="17"/>
      <c r="S820" s="4" t="str">
        <f t="shared" si="26"/>
        <v/>
      </c>
    </row>
    <row r="821" spans="1:19" s="3" customFormat="1" ht="13.9" hidden="1" x14ac:dyDescent="0.4">
      <c r="A821" s="5"/>
      <c r="F821" s="16"/>
      <c r="G821" s="17"/>
      <c r="H821" s="17"/>
      <c r="I821" s="17"/>
      <c r="J821" s="17"/>
      <c r="S821" s="4" t="str">
        <f t="shared" si="26"/>
        <v/>
      </c>
    </row>
    <row r="822" spans="1:19" s="3" customFormat="1" ht="13.9" hidden="1" x14ac:dyDescent="0.4">
      <c r="A822" s="5"/>
      <c r="F822" s="16"/>
      <c r="G822" s="17"/>
      <c r="H822" s="17"/>
      <c r="I822" s="17"/>
      <c r="J822" s="17"/>
      <c r="S822" s="4" t="str">
        <f t="shared" si="26"/>
        <v/>
      </c>
    </row>
    <row r="823" spans="1:19" s="3" customFormat="1" ht="13.9" hidden="1" x14ac:dyDescent="0.4">
      <c r="A823" s="5"/>
      <c r="F823" s="16"/>
      <c r="G823" s="17"/>
      <c r="H823" s="17"/>
      <c r="I823" s="17"/>
      <c r="J823" s="17"/>
      <c r="S823" s="4" t="str">
        <f t="shared" si="26"/>
        <v/>
      </c>
    </row>
    <row r="824" spans="1:19" s="3" customFormat="1" ht="13.9" hidden="1" x14ac:dyDescent="0.4">
      <c r="A824" s="5"/>
      <c r="F824" s="16"/>
      <c r="G824" s="17"/>
      <c r="H824" s="17"/>
      <c r="I824" s="17"/>
      <c r="J824" s="17"/>
      <c r="S824" s="4" t="str">
        <f t="shared" si="26"/>
        <v/>
      </c>
    </row>
    <row r="825" spans="1:19" s="3" customFormat="1" ht="13.9" hidden="1" x14ac:dyDescent="0.4">
      <c r="A825" s="5"/>
      <c r="F825" s="16"/>
      <c r="G825" s="17"/>
      <c r="H825" s="17"/>
      <c r="I825" s="17"/>
      <c r="J825" s="17"/>
      <c r="S825" s="4" t="str">
        <f t="shared" si="26"/>
        <v/>
      </c>
    </row>
    <row r="826" spans="1:19" s="3" customFormat="1" ht="13.9" hidden="1" x14ac:dyDescent="0.4">
      <c r="A826" s="5"/>
      <c r="F826" s="16"/>
      <c r="G826" s="17"/>
      <c r="H826" s="17"/>
      <c r="I826" s="17"/>
      <c r="J826" s="17"/>
      <c r="S826" s="4" t="str">
        <f t="shared" si="26"/>
        <v/>
      </c>
    </row>
    <row r="827" spans="1:19" s="3" customFormat="1" ht="13.9" hidden="1" x14ac:dyDescent="0.4">
      <c r="A827" s="5"/>
      <c r="F827" s="16"/>
      <c r="G827" s="17"/>
      <c r="H827" s="17"/>
      <c r="I827" s="17"/>
      <c r="J827" s="17"/>
      <c r="S827" s="4" t="str">
        <f t="shared" si="26"/>
        <v/>
      </c>
    </row>
    <row r="828" spans="1:19" s="3" customFormat="1" ht="13.9" hidden="1" x14ac:dyDescent="0.4">
      <c r="A828" s="5"/>
      <c r="F828" s="16"/>
      <c r="G828" s="17"/>
      <c r="H828" s="17"/>
      <c r="I828" s="17"/>
      <c r="J828" s="17"/>
      <c r="S828" s="4" t="str">
        <f t="shared" si="26"/>
        <v/>
      </c>
    </row>
    <row r="829" spans="1:19" s="3" customFormat="1" ht="13.9" hidden="1" x14ac:dyDescent="0.4">
      <c r="A829" s="5"/>
      <c r="F829" s="16"/>
      <c r="G829" s="17"/>
      <c r="H829" s="17"/>
      <c r="I829" s="17"/>
      <c r="J829" s="17"/>
      <c r="S829" s="4" t="str">
        <f t="shared" si="26"/>
        <v/>
      </c>
    </row>
    <row r="830" spans="1:19" s="3" customFormat="1" ht="13.9" hidden="1" x14ac:dyDescent="0.4">
      <c r="A830" s="5"/>
      <c r="F830" s="16"/>
      <c r="G830" s="17"/>
      <c r="H830" s="17"/>
      <c r="I830" s="17"/>
      <c r="J830" s="17"/>
      <c r="S830" s="4" t="str">
        <f t="shared" si="26"/>
        <v/>
      </c>
    </row>
    <row r="831" spans="1:19" s="3" customFormat="1" ht="13.9" hidden="1" x14ac:dyDescent="0.4">
      <c r="A831" s="5"/>
      <c r="F831" s="16"/>
      <c r="G831" s="17"/>
      <c r="H831" s="17"/>
      <c r="I831" s="17"/>
      <c r="J831" s="17"/>
      <c r="S831" s="4" t="str">
        <f t="shared" si="26"/>
        <v/>
      </c>
    </row>
    <row r="832" spans="1:19" s="3" customFormat="1" ht="13.9" hidden="1" x14ac:dyDescent="0.4">
      <c r="A832" s="5"/>
      <c r="F832" s="16"/>
      <c r="G832" s="17"/>
      <c r="H832" s="17"/>
      <c r="I832" s="17"/>
      <c r="J832" s="17"/>
      <c r="S832" s="4" t="str">
        <f t="shared" si="26"/>
        <v/>
      </c>
    </row>
    <row r="833" spans="1:19" s="3" customFormat="1" ht="13.9" hidden="1" x14ac:dyDescent="0.4">
      <c r="A833" s="5"/>
      <c r="F833" s="16"/>
      <c r="G833" s="17"/>
      <c r="H833" s="17"/>
      <c r="I833" s="17"/>
      <c r="J833" s="17"/>
      <c r="S833" s="4" t="str">
        <f t="shared" si="26"/>
        <v/>
      </c>
    </row>
    <row r="834" spans="1:19" s="3" customFormat="1" ht="13.9" hidden="1" x14ac:dyDescent="0.4">
      <c r="A834" s="5"/>
      <c r="F834" s="16"/>
      <c r="G834" s="17"/>
      <c r="H834" s="17"/>
      <c r="I834" s="17"/>
      <c r="J834" s="17"/>
      <c r="S834" s="4" t="str">
        <f t="shared" si="26"/>
        <v/>
      </c>
    </row>
    <row r="835" spans="1:19" s="3" customFormat="1" ht="13.9" hidden="1" x14ac:dyDescent="0.4">
      <c r="A835" s="5"/>
      <c r="F835" s="16"/>
      <c r="G835" s="17"/>
      <c r="H835" s="17"/>
      <c r="I835" s="17"/>
      <c r="J835" s="17"/>
      <c r="S835" s="4" t="str">
        <f t="shared" si="26"/>
        <v/>
      </c>
    </row>
    <row r="836" spans="1:19" s="3" customFormat="1" ht="13.9" hidden="1" x14ac:dyDescent="0.4">
      <c r="A836" s="5"/>
      <c r="F836" s="16"/>
      <c r="G836" s="17"/>
      <c r="H836" s="17"/>
      <c r="I836" s="17"/>
      <c r="J836" s="17"/>
      <c r="S836" s="4" t="str">
        <f t="shared" si="26"/>
        <v/>
      </c>
    </row>
    <row r="837" spans="1:19" s="3" customFormat="1" ht="13.9" hidden="1" x14ac:dyDescent="0.4">
      <c r="A837" s="5"/>
      <c r="F837" s="16"/>
      <c r="G837" s="17"/>
      <c r="H837" s="17"/>
      <c r="I837" s="17"/>
      <c r="J837" s="17"/>
      <c r="S837" s="4" t="str">
        <f t="shared" ref="S837:S900" si="27">IF(B837&lt;&gt;"","visible","")</f>
        <v/>
      </c>
    </row>
    <row r="838" spans="1:19" s="3" customFormat="1" ht="13.9" hidden="1" x14ac:dyDescent="0.4">
      <c r="A838" s="5"/>
      <c r="F838" s="16"/>
      <c r="G838" s="17"/>
      <c r="H838" s="17"/>
      <c r="I838" s="17"/>
      <c r="J838" s="17"/>
      <c r="S838" s="4" t="str">
        <f t="shared" si="27"/>
        <v/>
      </c>
    </row>
    <row r="839" spans="1:19" s="3" customFormat="1" ht="13.9" hidden="1" x14ac:dyDescent="0.4">
      <c r="A839" s="5"/>
      <c r="F839" s="16"/>
      <c r="G839" s="17"/>
      <c r="H839" s="17"/>
      <c r="I839" s="17"/>
      <c r="J839" s="17"/>
      <c r="S839" s="4" t="str">
        <f t="shared" si="27"/>
        <v/>
      </c>
    </row>
    <row r="840" spans="1:19" s="3" customFormat="1" ht="13.9" hidden="1" x14ac:dyDescent="0.4">
      <c r="A840" s="5"/>
      <c r="F840" s="16"/>
      <c r="G840" s="17"/>
      <c r="H840" s="17"/>
      <c r="I840" s="17"/>
      <c r="J840" s="17"/>
      <c r="S840" s="4" t="str">
        <f t="shared" si="27"/>
        <v/>
      </c>
    </row>
    <row r="841" spans="1:19" s="3" customFormat="1" ht="13.9" hidden="1" x14ac:dyDescent="0.4">
      <c r="A841" s="5"/>
      <c r="F841" s="16"/>
      <c r="G841" s="17"/>
      <c r="H841" s="17"/>
      <c r="I841" s="17"/>
      <c r="J841" s="17"/>
      <c r="S841" s="4" t="str">
        <f t="shared" si="27"/>
        <v/>
      </c>
    </row>
    <row r="842" spans="1:19" s="3" customFormat="1" ht="13.9" hidden="1" x14ac:dyDescent="0.4">
      <c r="A842" s="5"/>
      <c r="F842" s="16"/>
      <c r="G842" s="17"/>
      <c r="H842" s="17"/>
      <c r="I842" s="17"/>
      <c r="J842" s="17"/>
      <c r="S842" s="4" t="str">
        <f t="shared" si="27"/>
        <v/>
      </c>
    </row>
    <row r="843" spans="1:19" s="3" customFormat="1" ht="13.9" hidden="1" x14ac:dyDescent="0.4">
      <c r="A843" s="5"/>
      <c r="F843" s="16"/>
      <c r="G843" s="17"/>
      <c r="H843" s="17"/>
      <c r="I843" s="17"/>
      <c r="J843" s="17"/>
      <c r="S843" s="4" t="str">
        <f t="shared" si="27"/>
        <v/>
      </c>
    </row>
    <row r="844" spans="1:19" s="3" customFormat="1" ht="13.9" hidden="1" x14ac:dyDescent="0.4">
      <c r="A844" s="5"/>
      <c r="F844" s="16"/>
      <c r="G844" s="17"/>
      <c r="H844" s="17"/>
      <c r="I844" s="17"/>
      <c r="J844" s="17"/>
      <c r="S844" s="4" t="str">
        <f t="shared" si="27"/>
        <v/>
      </c>
    </row>
    <row r="845" spans="1:19" s="3" customFormat="1" ht="13.9" hidden="1" x14ac:dyDescent="0.4">
      <c r="A845" s="5"/>
      <c r="F845" s="16"/>
      <c r="G845" s="17"/>
      <c r="H845" s="17"/>
      <c r="I845" s="17"/>
      <c r="J845" s="17"/>
      <c r="S845" s="4" t="str">
        <f t="shared" si="27"/>
        <v/>
      </c>
    </row>
    <row r="846" spans="1:19" s="3" customFormat="1" ht="13.9" hidden="1" x14ac:dyDescent="0.4">
      <c r="A846" s="5"/>
      <c r="F846" s="16"/>
      <c r="G846" s="17"/>
      <c r="H846" s="17"/>
      <c r="I846" s="17"/>
      <c r="J846" s="17"/>
      <c r="S846" s="4" t="str">
        <f t="shared" si="27"/>
        <v/>
      </c>
    </row>
    <row r="847" spans="1:19" s="3" customFormat="1" ht="13.9" hidden="1" x14ac:dyDescent="0.4">
      <c r="A847" s="5"/>
      <c r="F847" s="16"/>
      <c r="G847" s="17"/>
      <c r="H847" s="17"/>
      <c r="I847" s="17"/>
      <c r="J847" s="17"/>
      <c r="S847" s="4" t="str">
        <f t="shared" si="27"/>
        <v/>
      </c>
    </row>
    <row r="848" spans="1:19" s="3" customFormat="1" ht="13.9" hidden="1" x14ac:dyDescent="0.4">
      <c r="A848" s="5"/>
      <c r="F848" s="16"/>
      <c r="G848" s="17"/>
      <c r="H848" s="17"/>
      <c r="I848" s="17"/>
      <c r="J848" s="17"/>
      <c r="S848" s="4" t="str">
        <f t="shared" si="27"/>
        <v/>
      </c>
    </row>
    <row r="849" spans="1:19" s="3" customFormat="1" ht="13.9" hidden="1" x14ac:dyDescent="0.4">
      <c r="A849" s="5"/>
      <c r="F849" s="16"/>
      <c r="G849" s="17"/>
      <c r="H849" s="17"/>
      <c r="I849" s="17"/>
      <c r="J849" s="17"/>
      <c r="S849" s="4" t="str">
        <f t="shared" si="27"/>
        <v/>
      </c>
    </row>
    <row r="850" spans="1:19" s="3" customFormat="1" ht="13.9" hidden="1" x14ac:dyDescent="0.4">
      <c r="A850" s="5"/>
      <c r="F850" s="16"/>
      <c r="G850" s="17"/>
      <c r="H850" s="17"/>
      <c r="I850" s="17"/>
      <c r="J850" s="17"/>
      <c r="S850" s="4" t="str">
        <f t="shared" si="27"/>
        <v/>
      </c>
    </row>
    <row r="851" spans="1:19" s="3" customFormat="1" ht="13.9" hidden="1" x14ac:dyDescent="0.4">
      <c r="A851" s="5"/>
      <c r="F851" s="16"/>
      <c r="G851" s="17"/>
      <c r="H851" s="17"/>
      <c r="I851" s="17"/>
      <c r="J851" s="17"/>
      <c r="S851" s="4" t="str">
        <f t="shared" si="27"/>
        <v/>
      </c>
    </row>
    <row r="852" spans="1:19" s="3" customFormat="1" ht="13.9" hidden="1" x14ac:dyDescent="0.4">
      <c r="A852" s="5"/>
      <c r="F852" s="16"/>
      <c r="G852" s="17"/>
      <c r="H852" s="17"/>
      <c r="I852" s="17"/>
      <c r="J852" s="17"/>
      <c r="S852" s="4" t="str">
        <f t="shared" si="27"/>
        <v/>
      </c>
    </row>
    <row r="853" spans="1:19" s="3" customFormat="1" ht="13.9" hidden="1" x14ac:dyDescent="0.4">
      <c r="A853" s="5"/>
      <c r="F853" s="16"/>
      <c r="G853" s="17"/>
      <c r="H853" s="17"/>
      <c r="I853" s="17"/>
      <c r="J853" s="17"/>
      <c r="S853" s="4" t="str">
        <f t="shared" si="27"/>
        <v/>
      </c>
    </row>
    <row r="854" spans="1:19" s="3" customFormat="1" ht="13.9" hidden="1" x14ac:dyDescent="0.4">
      <c r="A854" s="5"/>
      <c r="F854" s="16"/>
      <c r="G854" s="17"/>
      <c r="H854" s="17"/>
      <c r="I854" s="17"/>
      <c r="J854" s="17"/>
      <c r="S854" s="4" t="str">
        <f t="shared" si="27"/>
        <v/>
      </c>
    </row>
    <row r="855" spans="1:19" s="3" customFormat="1" ht="13.9" hidden="1" x14ac:dyDescent="0.4">
      <c r="A855" s="5"/>
      <c r="F855" s="16"/>
      <c r="G855" s="17"/>
      <c r="H855" s="17"/>
      <c r="I855" s="17"/>
      <c r="J855" s="17"/>
      <c r="S855" s="4" t="str">
        <f t="shared" si="27"/>
        <v/>
      </c>
    </row>
    <row r="856" spans="1:19" s="3" customFormat="1" ht="13.9" hidden="1" x14ac:dyDescent="0.4">
      <c r="A856" s="5"/>
      <c r="F856" s="16"/>
      <c r="G856" s="17"/>
      <c r="H856" s="17"/>
      <c r="I856" s="17"/>
      <c r="J856" s="17"/>
      <c r="S856" s="4" t="str">
        <f t="shared" si="27"/>
        <v/>
      </c>
    </row>
    <row r="857" spans="1:19" s="3" customFormat="1" ht="13.9" hidden="1" x14ac:dyDescent="0.4">
      <c r="A857" s="5"/>
      <c r="F857" s="16"/>
      <c r="G857" s="17"/>
      <c r="H857" s="17"/>
      <c r="I857" s="17"/>
      <c r="J857" s="17"/>
      <c r="S857" s="4" t="str">
        <f t="shared" si="27"/>
        <v/>
      </c>
    </row>
    <row r="858" spans="1:19" s="3" customFormat="1" ht="13.9" hidden="1" x14ac:dyDescent="0.4">
      <c r="A858" s="5"/>
      <c r="F858" s="16"/>
      <c r="G858" s="17"/>
      <c r="H858" s="17"/>
      <c r="I858" s="17"/>
      <c r="J858" s="17"/>
      <c r="S858" s="4" t="str">
        <f t="shared" si="27"/>
        <v/>
      </c>
    </row>
    <row r="859" spans="1:19" s="3" customFormat="1" ht="13.9" hidden="1" x14ac:dyDescent="0.4">
      <c r="A859" s="5"/>
      <c r="F859" s="16"/>
      <c r="G859" s="17"/>
      <c r="H859" s="17"/>
      <c r="I859" s="17"/>
      <c r="J859" s="17"/>
      <c r="S859" s="4" t="str">
        <f t="shared" si="27"/>
        <v/>
      </c>
    </row>
    <row r="860" spans="1:19" s="3" customFormat="1" ht="13.9" hidden="1" x14ac:dyDescent="0.4">
      <c r="A860" s="5"/>
      <c r="F860" s="16"/>
      <c r="G860" s="17"/>
      <c r="H860" s="17"/>
      <c r="I860" s="17"/>
      <c r="J860" s="17"/>
      <c r="S860" s="4" t="str">
        <f t="shared" si="27"/>
        <v/>
      </c>
    </row>
    <row r="861" spans="1:19" s="3" customFormat="1" ht="13.9" hidden="1" x14ac:dyDescent="0.4">
      <c r="A861" s="5"/>
      <c r="F861" s="16"/>
      <c r="G861" s="17"/>
      <c r="H861" s="17"/>
      <c r="I861" s="17"/>
      <c r="J861" s="17"/>
      <c r="S861" s="4" t="str">
        <f t="shared" si="27"/>
        <v/>
      </c>
    </row>
    <row r="862" spans="1:19" s="3" customFormat="1" ht="13.9" hidden="1" x14ac:dyDescent="0.4">
      <c r="A862" s="5"/>
      <c r="F862" s="16"/>
      <c r="G862" s="17"/>
      <c r="H862" s="17"/>
      <c r="I862" s="17"/>
      <c r="J862" s="17"/>
      <c r="S862" s="4" t="str">
        <f t="shared" si="27"/>
        <v/>
      </c>
    </row>
    <row r="863" spans="1:19" s="3" customFormat="1" ht="13.9" hidden="1" x14ac:dyDescent="0.4">
      <c r="A863" s="5"/>
      <c r="F863" s="16"/>
      <c r="G863" s="17"/>
      <c r="H863" s="17"/>
      <c r="I863" s="17"/>
      <c r="J863" s="17"/>
      <c r="S863" s="4" t="str">
        <f t="shared" si="27"/>
        <v/>
      </c>
    </row>
    <row r="864" spans="1:19" s="3" customFormat="1" ht="13.9" hidden="1" x14ac:dyDescent="0.4">
      <c r="A864" s="5"/>
      <c r="F864" s="16"/>
      <c r="G864" s="17"/>
      <c r="H864" s="17"/>
      <c r="I864" s="17"/>
      <c r="J864" s="17"/>
      <c r="S864" s="4" t="str">
        <f t="shared" si="27"/>
        <v/>
      </c>
    </row>
    <row r="865" spans="1:19" s="3" customFormat="1" ht="13.9" hidden="1" x14ac:dyDescent="0.4">
      <c r="A865" s="5"/>
      <c r="F865" s="16"/>
      <c r="G865" s="17"/>
      <c r="H865" s="17"/>
      <c r="I865" s="17"/>
      <c r="J865" s="17"/>
      <c r="S865" s="4" t="str">
        <f t="shared" si="27"/>
        <v/>
      </c>
    </row>
    <row r="866" spans="1:19" s="3" customFormat="1" ht="13.9" hidden="1" x14ac:dyDescent="0.4">
      <c r="A866" s="5"/>
      <c r="F866" s="16"/>
      <c r="G866" s="17"/>
      <c r="H866" s="17"/>
      <c r="I866" s="17"/>
      <c r="J866" s="17"/>
      <c r="S866" s="4" t="str">
        <f t="shared" si="27"/>
        <v/>
      </c>
    </row>
    <row r="867" spans="1:19" s="3" customFormat="1" ht="13.9" hidden="1" x14ac:dyDescent="0.4">
      <c r="A867" s="5"/>
      <c r="F867" s="16"/>
      <c r="G867" s="17"/>
      <c r="H867" s="17"/>
      <c r="I867" s="17"/>
      <c r="J867" s="17"/>
      <c r="S867" s="4" t="str">
        <f t="shared" si="27"/>
        <v/>
      </c>
    </row>
    <row r="868" spans="1:19" s="3" customFormat="1" ht="13.9" hidden="1" x14ac:dyDescent="0.4">
      <c r="A868" s="5"/>
      <c r="F868" s="16"/>
      <c r="G868" s="17"/>
      <c r="H868" s="17"/>
      <c r="I868" s="17"/>
      <c r="J868" s="17"/>
      <c r="S868" s="4" t="str">
        <f t="shared" si="27"/>
        <v/>
      </c>
    </row>
    <row r="869" spans="1:19" s="3" customFormat="1" ht="13.9" hidden="1" x14ac:dyDescent="0.4">
      <c r="A869" s="5"/>
      <c r="F869" s="16"/>
      <c r="G869" s="17"/>
      <c r="H869" s="17"/>
      <c r="I869" s="17"/>
      <c r="J869" s="17"/>
      <c r="S869" s="4" t="str">
        <f t="shared" si="27"/>
        <v/>
      </c>
    </row>
    <row r="870" spans="1:19" s="3" customFormat="1" ht="13.9" hidden="1" x14ac:dyDescent="0.4">
      <c r="A870" s="5"/>
      <c r="F870" s="16"/>
      <c r="G870" s="17"/>
      <c r="H870" s="17"/>
      <c r="I870" s="17"/>
      <c r="J870" s="17"/>
      <c r="S870" s="4" t="str">
        <f t="shared" si="27"/>
        <v/>
      </c>
    </row>
    <row r="871" spans="1:19" s="3" customFormat="1" ht="13.9" hidden="1" x14ac:dyDescent="0.4">
      <c r="A871" s="5"/>
      <c r="F871" s="16"/>
      <c r="G871" s="17"/>
      <c r="H871" s="17"/>
      <c r="I871" s="17"/>
      <c r="J871" s="17"/>
      <c r="S871" s="4" t="str">
        <f t="shared" si="27"/>
        <v/>
      </c>
    </row>
    <row r="872" spans="1:19" s="3" customFormat="1" ht="13.9" hidden="1" x14ac:dyDescent="0.4">
      <c r="A872" s="5"/>
      <c r="F872" s="16"/>
      <c r="G872" s="17"/>
      <c r="H872" s="17"/>
      <c r="I872" s="17"/>
      <c r="J872" s="17"/>
      <c r="S872" s="4" t="str">
        <f t="shared" si="27"/>
        <v/>
      </c>
    </row>
    <row r="873" spans="1:19" s="3" customFormat="1" ht="13.9" hidden="1" x14ac:dyDescent="0.4">
      <c r="A873" s="5"/>
      <c r="F873" s="16"/>
      <c r="G873" s="17"/>
      <c r="H873" s="17"/>
      <c r="I873" s="17"/>
      <c r="J873" s="17"/>
      <c r="S873" s="4" t="str">
        <f t="shared" si="27"/>
        <v/>
      </c>
    </row>
    <row r="874" spans="1:19" s="3" customFormat="1" ht="13.9" hidden="1" x14ac:dyDescent="0.4">
      <c r="A874" s="5"/>
      <c r="F874" s="16"/>
      <c r="G874" s="17"/>
      <c r="H874" s="17"/>
      <c r="I874" s="17"/>
      <c r="J874" s="17"/>
      <c r="S874" s="4" t="str">
        <f t="shared" si="27"/>
        <v/>
      </c>
    </row>
    <row r="875" spans="1:19" s="3" customFormat="1" ht="13.9" hidden="1" x14ac:dyDescent="0.4">
      <c r="A875" s="5"/>
      <c r="F875" s="16"/>
      <c r="G875" s="17"/>
      <c r="H875" s="17"/>
      <c r="I875" s="17"/>
      <c r="J875" s="17"/>
      <c r="S875" s="4" t="str">
        <f t="shared" si="27"/>
        <v/>
      </c>
    </row>
    <row r="876" spans="1:19" s="3" customFormat="1" ht="13.9" hidden="1" x14ac:dyDescent="0.4">
      <c r="A876" s="5"/>
      <c r="F876" s="16"/>
      <c r="G876" s="17"/>
      <c r="H876" s="17"/>
      <c r="I876" s="17"/>
      <c r="J876" s="17"/>
      <c r="S876" s="4" t="str">
        <f t="shared" si="27"/>
        <v/>
      </c>
    </row>
    <row r="877" spans="1:19" s="3" customFormat="1" ht="13.9" hidden="1" x14ac:dyDescent="0.4">
      <c r="A877" s="5"/>
      <c r="F877" s="16"/>
      <c r="G877" s="17"/>
      <c r="H877" s="17"/>
      <c r="I877" s="17"/>
      <c r="J877" s="17"/>
      <c r="S877" s="4" t="str">
        <f t="shared" si="27"/>
        <v/>
      </c>
    </row>
    <row r="878" spans="1:19" s="3" customFormat="1" ht="13.9" hidden="1" x14ac:dyDescent="0.4">
      <c r="A878" s="5"/>
      <c r="F878" s="16"/>
      <c r="G878" s="17"/>
      <c r="H878" s="17"/>
      <c r="I878" s="17"/>
      <c r="J878" s="17"/>
      <c r="S878" s="4" t="str">
        <f t="shared" si="27"/>
        <v/>
      </c>
    </row>
    <row r="879" spans="1:19" s="3" customFormat="1" ht="13.9" hidden="1" x14ac:dyDescent="0.4">
      <c r="A879" s="5"/>
      <c r="F879" s="16"/>
      <c r="G879" s="17"/>
      <c r="H879" s="17"/>
      <c r="I879" s="17"/>
      <c r="J879" s="17"/>
      <c r="S879" s="4" t="str">
        <f t="shared" si="27"/>
        <v/>
      </c>
    </row>
    <row r="880" spans="1:19" s="3" customFormat="1" ht="13.9" hidden="1" x14ac:dyDescent="0.4">
      <c r="A880" s="5"/>
      <c r="F880" s="16"/>
      <c r="G880" s="17"/>
      <c r="H880" s="17"/>
      <c r="I880" s="17"/>
      <c r="J880" s="17"/>
      <c r="S880" s="4" t="str">
        <f t="shared" si="27"/>
        <v/>
      </c>
    </row>
    <row r="881" spans="1:19" s="3" customFormat="1" ht="13.9" hidden="1" x14ac:dyDescent="0.4">
      <c r="A881" s="5"/>
      <c r="F881" s="16"/>
      <c r="G881" s="17"/>
      <c r="H881" s="17"/>
      <c r="I881" s="17"/>
      <c r="J881" s="17"/>
      <c r="S881" s="4" t="str">
        <f t="shared" si="27"/>
        <v/>
      </c>
    </row>
    <row r="882" spans="1:19" s="3" customFormat="1" ht="13.9" hidden="1" x14ac:dyDescent="0.4">
      <c r="A882" s="5"/>
      <c r="F882" s="16"/>
      <c r="G882" s="17"/>
      <c r="H882" s="17"/>
      <c r="I882" s="17"/>
      <c r="J882" s="17"/>
      <c r="S882" s="4" t="str">
        <f t="shared" si="27"/>
        <v/>
      </c>
    </row>
    <row r="883" spans="1:19" s="3" customFormat="1" ht="13.9" hidden="1" x14ac:dyDescent="0.4">
      <c r="A883" s="5"/>
      <c r="F883" s="16"/>
      <c r="G883" s="17"/>
      <c r="H883" s="17"/>
      <c r="I883" s="17"/>
      <c r="J883" s="17"/>
      <c r="S883" s="4" t="str">
        <f t="shared" si="27"/>
        <v/>
      </c>
    </row>
    <row r="884" spans="1:19" s="3" customFormat="1" ht="13.9" hidden="1" x14ac:dyDescent="0.4">
      <c r="A884" s="5"/>
      <c r="F884" s="16"/>
      <c r="G884" s="17"/>
      <c r="H884" s="17"/>
      <c r="I884" s="17"/>
      <c r="J884" s="17"/>
      <c r="S884" s="4" t="str">
        <f t="shared" si="27"/>
        <v/>
      </c>
    </row>
    <row r="885" spans="1:19" s="3" customFormat="1" ht="13.9" hidden="1" x14ac:dyDescent="0.4">
      <c r="A885" s="5"/>
      <c r="F885" s="16"/>
      <c r="G885" s="17"/>
      <c r="H885" s="17"/>
      <c r="I885" s="17"/>
      <c r="J885" s="17"/>
      <c r="S885" s="4" t="str">
        <f t="shared" si="27"/>
        <v/>
      </c>
    </row>
    <row r="886" spans="1:19" s="3" customFormat="1" ht="13.9" hidden="1" x14ac:dyDescent="0.4">
      <c r="A886" s="5"/>
      <c r="F886" s="16"/>
      <c r="G886" s="17"/>
      <c r="H886" s="17"/>
      <c r="I886" s="17"/>
      <c r="J886" s="17"/>
      <c r="S886" s="4" t="str">
        <f t="shared" si="27"/>
        <v/>
      </c>
    </row>
    <row r="887" spans="1:19" s="3" customFormat="1" ht="13.9" hidden="1" x14ac:dyDescent="0.4">
      <c r="A887" s="5"/>
      <c r="F887" s="16"/>
      <c r="G887" s="17"/>
      <c r="H887" s="17"/>
      <c r="I887" s="17"/>
      <c r="J887" s="17"/>
      <c r="S887" s="4" t="str">
        <f t="shared" si="27"/>
        <v/>
      </c>
    </row>
    <row r="888" spans="1:19" s="3" customFormat="1" ht="13.9" hidden="1" x14ac:dyDescent="0.4">
      <c r="A888" s="5"/>
      <c r="F888" s="16"/>
      <c r="G888" s="17"/>
      <c r="H888" s="17"/>
      <c r="I888" s="17"/>
      <c r="J888" s="17"/>
      <c r="S888" s="4" t="str">
        <f t="shared" si="27"/>
        <v/>
      </c>
    </row>
    <row r="889" spans="1:19" s="3" customFormat="1" ht="13.9" hidden="1" x14ac:dyDescent="0.4">
      <c r="A889" s="5"/>
      <c r="F889" s="16"/>
      <c r="G889" s="17"/>
      <c r="H889" s="17"/>
      <c r="I889" s="17"/>
      <c r="J889" s="17"/>
      <c r="S889" s="4" t="str">
        <f t="shared" si="27"/>
        <v/>
      </c>
    </row>
    <row r="890" spans="1:19" s="3" customFormat="1" ht="13.9" hidden="1" x14ac:dyDescent="0.4">
      <c r="A890" s="5"/>
      <c r="F890" s="16"/>
      <c r="G890" s="17"/>
      <c r="H890" s="17"/>
      <c r="I890" s="17"/>
      <c r="J890" s="17"/>
      <c r="S890" s="4" t="str">
        <f t="shared" si="27"/>
        <v/>
      </c>
    </row>
    <row r="891" spans="1:19" s="3" customFormat="1" ht="13.9" hidden="1" x14ac:dyDescent="0.4">
      <c r="A891" s="5"/>
      <c r="F891" s="16"/>
      <c r="G891" s="17"/>
      <c r="H891" s="17"/>
      <c r="I891" s="17"/>
      <c r="J891" s="17"/>
      <c r="S891" s="4" t="str">
        <f t="shared" si="27"/>
        <v/>
      </c>
    </row>
    <row r="892" spans="1:19" s="3" customFormat="1" ht="13.9" hidden="1" x14ac:dyDescent="0.4">
      <c r="A892" s="5"/>
      <c r="F892" s="16"/>
      <c r="G892" s="17"/>
      <c r="H892" s="17"/>
      <c r="I892" s="17"/>
      <c r="J892" s="17"/>
      <c r="S892" s="4" t="str">
        <f t="shared" si="27"/>
        <v/>
      </c>
    </row>
    <row r="893" spans="1:19" s="3" customFormat="1" ht="13.9" hidden="1" x14ac:dyDescent="0.4">
      <c r="A893" s="5"/>
      <c r="F893" s="16"/>
      <c r="G893" s="17"/>
      <c r="H893" s="17"/>
      <c r="I893" s="17"/>
      <c r="J893" s="17"/>
      <c r="S893" s="4" t="str">
        <f t="shared" si="27"/>
        <v/>
      </c>
    </row>
    <row r="894" spans="1:19" s="3" customFormat="1" ht="13.9" hidden="1" x14ac:dyDescent="0.4">
      <c r="A894" s="5"/>
      <c r="F894" s="16"/>
      <c r="G894" s="17"/>
      <c r="H894" s="17"/>
      <c r="I894" s="17"/>
      <c r="J894" s="17"/>
      <c r="S894" s="4" t="str">
        <f t="shared" si="27"/>
        <v/>
      </c>
    </row>
    <row r="895" spans="1:19" s="3" customFormat="1" ht="13.9" hidden="1" x14ac:dyDescent="0.4">
      <c r="A895" s="5"/>
      <c r="F895" s="16"/>
      <c r="G895" s="17"/>
      <c r="H895" s="17"/>
      <c r="I895" s="17"/>
      <c r="J895" s="17"/>
      <c r="S895" s="4" t="str">
        <f t="shared" si="27"/>
        <v/>
      </c>
    </row>
    <row r="896" spans="1:19" s="3" customFormat="1" ht="13.9" hidden="1" x14ac:dyDescent="0.4">
      <c r="A896" s="5"/>
      <c r="F896" s="16"/>
      <c r="G896" s="17"/>
      <c r="H896" s="17"/>
      <c r="I896" s="17"/>
      <c r="J896" s="17"/>
      <c r="S896" s="4" t="str">
        <f t="shared" si="27"/>
        <v/>
      </c>
    </row>
    <row r="897" spans="1:19" s="3" customFormat="1" ht="13.9" hidden="1" x14ac:dyDescent="0.4">
      <c r="A897" s="5"/>
      <c r="F897" s="16"/>
      <c r="G897" s="17"/>
      <c r="H897" s="17"/>
      <c r="I897" s="17"/>
      <c r="J897" s="17"/>
      <c r="S897" s="4" t="str">
        <f t="shared" si="27"/>
        <v/>
      </c>
    </row>
    <row r="898" spans="1:19" s="3" customFormat="1" ht="13.9" hidden="1" x14ac:dyDescent="0.4">
      <c r="A898" s="5"/>
      <c r="F898" s="16"/>
      <c r="G898" s="17"/>
      <c r="H898" s="17"/>
      <c r="I898" s="17"/>
      <c r="J898" s="17"/>
      <c r="S898" s="4" t="str">
        <f t="shared" si="27"/>
        <v/>
      </c>
    </row>
    <row r="899" spans="1:19" s="3" customFormat="1" ht="13.9" hidden="1" x14ac:dyDescent="0.4">
      <c r="A899" s="5"/>
      <c r="F899" s="16"/>
      <c r="G899" s="17"/>
      <c r="H899" s="17"/>
      <c r="I899" s="17"/>
      <c r="J899" s="17"/>
      <c r="S899" s="4" t="str">
        <f t="shared" si="27"/>
        <v/>
      </c>
    </row>
    <row r="900" spans="1:19" s="3" customFormat="1" ht="13.9" hidden="1" x14ac:dyDescent="0.4">
      <c r="A900" s="5"/>
      <c r="F900" s="16"/>
      <c r="G900" s="17"/>
      <c r="H900" s="17"/>
      <c r="I900" s="17"/>
      <c r="J900" s="17"/>
      <c r="S900" s="4" t="str">
        <f t="shared" si="27"/>
        <v/>
      </c>
    </row>
    <row r="901" spans="1:19" s="3" customFormat="1" ht="13.9" hidden="1" x14ac:dyDescent="0.4">
      <c r="A901" s="5"/>
      <c r="F901" s="16"/>
      <c r="G901" s="17"/>
      <c r="H901" s="17"/>
      <c r="I901" s="17"/>
      <c r="J901" s="17"/>
      <c r="S901" s="4" t="str">
        <f t="shared" ref="S901:S964" si="28">IF(B901&lt;&gt;"","visible","")</f>
        <v/>
      </c>
    </row>
    <row r="902" spans="1:19" s="3" customFormat="1" ht="13.9" hidden="1" x14ac:dyDescent="0.4">
      <c r="A902" s="5"/>
      <c r="F902" s="16"/>
      <c r="G902" s="17"/>
      <c r="H902" s="17"/>
      <c r="I902" s="17"/>
      <c r="J902" s="17"/>
      <c r="S902" s="4" t="str">
        <f t="shared" si="28"/>
        <v/>
      </c>
    </row>
    <row r="903" spans="1:19" s="3" customFormat="1" ht="13.9" hidden="1" x14ac:dyDescent="0.4">
      <c r="A903" s="5"/>
      <c r="F903" s="16"/>
      <c r="G903" s="17"/>
      <c r="H903" s="17"/>
      <c r="I903" s="17"/>
      <c r="J903" s="17"/>
      <c r="S903" s="4" t="str">
        <f t="shared" si="28"/>
        <v/>
      </c>
    </row>
    <row r="904" spans="1:19" s="3" customFormat="1" ht="13.9" hidden="1" x14ac:dyDescent="0.4">
      <c r="A904" s="5"/>
      <c r="F904" s="16"/>
      <c r="G904" s="17"/>
      <c r="H904" s="17"/>
      <c r="I904" s="17"/>
      <c r="J904" s="17"/>
      <c r="S904" s="4" t="str">
        <f t="shared" si="28"/>
        <v/>
      </c>
    </row>
    <row r="905" spans="1:19" s="3" customFormat="1" ht="13.9" hidden="1" x14ac:dyDescent="0.4">
      <c r="A905" s="5"/>
      <c r="F905" s="16"/>
      <c r="G905" s="17"/>
      <c r="H905" s="17"/>
      <c r="I905" s="17"/>
      <c r="J905" s="17"/>
      <c r="S905" s="4" t="str">
        <f t="shared" si="28"/>
        <v/>
      </c>
    </row>
    <row r="906" spans="1:19" s="3" customFormat="1" ht="13.9" hidden="1" x14ac:dyDescent="0.4">
      <c r="A906" s="5"/>
      <c r="F906" s="16"/>
      <c r="G906" s="17"/>
      <c r="H906" s="17"/>
      <c r="I906" s="17"/>
      <c r="J906" s="17"/>
      <c r="S906" s="4" t="str">
        <f t="shared" si="28"/>
        <v/>
      </c>
    </row>
    <row r="907" spans="1:19" s="3" customFormat="1" ht="13.9" hidden="1" x14ac:dyDescent="0.4">
      <c r="A907" s="5"/>
      <c r="F907" s="16"/>
      <c r="G907" s="17"/>
      <c r="H907" s="17"/>
      <c r="I907" s="17"/>
      <c r="J907" s="17"/>
      <c r="S907" s="4" t="str">
        <f t="shared" si="28"/>
        <v/>
      </c>
    </row>
    <row r="908" spans="1:19" s="3" customFormat="1" ht="13.9" hidden="1" x14ac:dyDescent="0.4">
      <c r="A908" s="5"/>
      <c r="F908" s="16"/>
      <c r="G908" s="17"/>
      <c r="H908" s="17"/>
      <c r="I908" s="17"/>
      <c r="J908" s="17"/>
      <c r="S908" s="4" t="str">
        <f t="shared" si="28"/>
        <v/>
      </c>
    </row>
    <row r="909" spans="1:19" s="3" customFormat="1" ht="13.9" hidden="1" x14ac:dyDescent="0.4">
      <c r="A909" s="5"/>
      <c r="F909" s="16"/>
      <c r="G909" s="17"/>
      <c r="H909" s="17"/>
      <c r="I909" s="17"/>
      <c r="J909" s="17"/>
      <c r="S909" s="4" t="str">
        <f t="shared" si="28"/>
        <v/>
      </c>
    </row>
    <row r="910" spans="1:19" s="3" customFormat="1" ht="13.9" hidden="1" x14ac:dyDescent="0.4">
      <c r="A910" s="5"/>
      <c r="F910" s="16"/>
      <c r="G910" s="17"/>
      <c r="H910" s="17"/>
      <c r="I910" s="17"/>
      <c r="J910" s="17"/>
      <c r="S910" s="4" t="str">
        <f t="shared" si="28"/>
        <v/>
      </c>
    </row>
    <row r="911" spans="1:19" s="3" customFormat="1" ht="13.9" hidden="1" x14ac:dyDescent="0.4">
      <c r="A911" s="5"/>
      <c r="F911" s="16"/>
      <c r="G911" s="17"/>
      <c r="H911" s="17"/>
      <c r="I911" s="17"/>
      <c r="J911" s="17"/>
      <c r="S911" s="4" t="str">
        <f t="shared" si="28"/>
        <v/>
      </c>
    </row>
    <row r="912" spans="1:19" s="3" customFormat="1" ht="13.9" hidden="1" x14ac:dyDescent="0.4">
      <c r="A912" s="5"/>
      <c r="F912" s="16"/>
      <c r="G912" s="17"/>
      <c r="H912" s="17"/>
      <c r="I912" s="17"/>
      <c r="J912" s="17"/>
      <c r="S912" s="4" t="str">
        <f t="shared" si="28"/>
        <v/>
      </c>
    </row>
    <row r="913" spans="1:19" s="3" customFormat="1" ht="13.9" hidden="1" x14ac:dyDescent="0.4">
      <c r="A913" s="5"/>
      <c r="F913" s="16"/>
      <c r="G913" s="17"/>
      <c r="H913" s="17"/>
      <c r="I913" s="17"/>
      <c r="J913" s="17"/>
      <c r="S913" s="4" t="str">
        <f t="shared" si="28"/>
        <v/>
      </c>
    </row>
    <row r="914" spans="1:19" s="3" customFormat="1" ht="13.9" hidden="1" x14ac:dyDescent="0.4">
      <c r="A914" s="5"/>
      <c r="F914" s="16"/>
      <c r="G914" s="17"/>
      <c r="H914" s="17"/>
      <c r="I914" s="17"/>
      <c r="J914" s="17"/>
      <c r="S914" s="4" t="str">
        <f t="shared" si="28"/>
        <v/>
      </c>
    </row>
    <row r="915" spans="1:19" s="3" customFormat="1" ht="13.9" hidden="1" x14ac:dyDescent="0.4">
      <c r="A915" s="5"/>
      <c r="F915" s="16"/>
      <c r="G915" s="17"/>
      <c r="H915" s="17"/>
      <c r="I915" s="17"/>
      <c r="J915" s="17"/>
      <c r="S915" s="4" t="str">
        <f t="shared" si="28"/>
        <v/>
      </c>
    </row>
    <row r="916" spans="1:19" s="3" customFormat="1" ht="13.9" hidden="1" x14ac:dyDescent="0.4">
      <c r="A916" s="5"/>
      <c r="F916" s="16"/>
      <c r="G916" s="17"/>
      <c r="H916" s="17"/>
      <c r="I916" s="17"/>
      <c r="J916" s="17"/>
      <c r="S916" s="4" t="str">
        <f t="shared" si="28"/>
        <v/>
      </c>
    </row>
    <row r="917" spans="1:19" s="3" customFormat="1" ht="13.9" hidden="1" x14ac:dyDescent="0.4">
      <c r="A917" s="5"/>
      <c r="F917" s="16"/>
      <c r="G917" s="17"/>
      <c r="H917" s="17"/>
      <c r="I917" s="17"/>
      <c r="J917" s="17"/>
      <c r="S917" s="4" t="str">
        <f t="shared" si="28"/>
        <v/>
      </c>
    </row>
    <row r="918" spans="1:19" s="3" customFormat="1" ht="13.9" hidden="1" x14ac:dyDescent="0.4">
      <c r="A918" s="5"/>
      <c r="F918" s="16"/>
      <c r="G918" s="17"/>
      <c r="H918" s="17"/>
      <c r="I918" s="17"/>
      <c r="J918" s="17"/>
      <c r="S918" s="4" t="str">
        <f t="shared" si="28"/>
        <v/>
      </c>
    </row>
    <row r="919" spans="1:19" s="3" customFormat="1" ht="13.9" hidden="1" x14ac:dyDescent="0.4">
      <c r="A919" s="5"/>
      <c r="F919" s="16"/>
      <c r="G919" s="17"/>
      <c r="H919" s="17"/>
      <c r="I919" s="17"/>
      <c r="J919" s="17"/>
      <c r="S919" s="4" t="str">
        <f t="shared" si="28"/>
        <v/>
      </c>
    </row>
    <row r="920" spans="1:19" s="3" customFormat="1" ht="13.9" hidden="1" x14ac:dyDescent="0.4">
      <c r="A920" s="5"/>
      <c r="F920" s="16"/>
      <c r="G920" s="17"/>
      <c r="H920" s="17"/>
      <c r="I920" s="17"/>
      <c r="J920" s="17"/>
      <c r="S920" s="4" t="str">
        <f t="shared" si="28"/>
        <v/>
      </c>
    </row>
    <row r="921" spans="1:19" s="3" customFormat="1" ht="13.9" hidden="1" x14ac:dyDescent="0.4">
      <c r="A921" s="5"/>
      <c r="F921" s="16"/>
      <c r="G921" s="17"/>
      <c r="H921" s="17"/>
      <c r="I921" s="17"/>
      <c r="J921" s="17"/>
      <c r="S921" s="4" t="str">
        <f t="shared" si="28"/>
        <v/>
      </c>
    </row>
    <row r="922" spans="1:19" s="3" customFormat="1" ht="13.9" hidden="1" x14ac:dyDescent="0.4">
      <c r="A922" s="5"/>
      <c r="F922" s="16"/>
      <c r="G922" s="17"/>
      <c r="H922" s="17"/>
      <c r="I922" s="17"/>
      <c r="J922" s="17"/>
      <c r="S922" s="4" t="str">
        <f t="shared" si="28"/>
        <v/>
      </c>
    </row>
    <row r="923" spans="1:19" s="3" customFormat="1" ht="13.9" hidden="1" x14ac:dyDescent="0.4">
      <c r="A923" s="5"/>
      <c r="F923" s="16"/>
      <c r="G923" s="17"/>
      <c r="H923" s="17"/>
      <c r="I923" s="17"/>
      <c r="J923" s="17"/>
      <c r="S923" s="4" t="str">
        <f t="shared" si="28"/>
        <v/>
      </c>
    </row>
    <row r="924" spans="1:19" s="3" customFormat="1" ht="13.9" hidden="1" x14ac:dyDescent="0.4">
      <c r="A924" s="5"/>
      <c r="F924" s="16"/>
      <c r="G924" s="17"/>
      <c r="H924" s="17"/>
      <c r="I924" s="17"/>
      <c r="J924" s="17"/>
      <c r="S924" s="4" t="str">
        <f t="shared" si="28"/>
        <v/>
      </c>
    </row>
    <row r="925" spans="1:19" s="3" customFormat="1" ht="13.9" hidden="1" x14ac:dyDescent="0.4">
      <c r="A925" s="5"/>
      <c r="F925" s="16"/>
      <c r="G925" s="17"/>
      <c r="H925" s="17"/>
      <c r="I925" s="17"/>
      <c r="J925" s="17"/>
      <c r="S925" s="4" t="str">
        <f t="shared" si="28"/>
        <v/>
      </c>
    </row>
    <row r="926" spans="1:19" s="3" customFormat="1" ht="13.9" hidden="1" x14ac:dyDescent="0.4">
      <c r="A926" s="5"/>
      <c r="F926" s="16"/>
      <c r="G926" s="17"/>
      <c r="H926" s="17"/>
      <c r="I926" s="17"/>
      <c r="J926" s="17"/>
      <c r="S926" s="4" t="str">
        <f t="shared" si="28"/>
        <v/>
      </c>
    </row>
    <row r="927" spans="1:19" s="3" customFormat="1" ht="13.9" hidden="1" x14ac:dyDescent="0.4">
      <c r="A927" s="5"/>
      <c r="F927" s="16"/>
      <c r="G927" s="17"/>
      <c r="H927" s="17"/>
      <c r="I927" s="17"/>
      <c r="J927" s="17"/>
      <c r="S927" s="4" t="str">
        <f t="shared" si="28"/>
        <v/>
      </c>
    </row>
    <row r="928" spans="1:19" s="3" customFormat="1" ht="13.9" hidden="1" x14ac:dyDescent="0.4">
      <c r="A928" s="5"/>
      <c r="F928" s="16"/>
      <c r="G928" s="17"/>
      <c r="H928" s="17"/>
      <c r="I928" s="17"/>
      <c r="J928" s="17"/>
      <c r="S928" s="4" t="str">
        <f t="shared" si="28"/>
        <v/>
      </c>
    </row>
    <row r="929" spans="1:19" s="3" customFormat="1" ht="13.9" hidden="1" x14ac:dyDescent="0.4">
      <c r="A929" s="5"/>
      <c r="F929" s="16"/>
      <c r="G929" s="17"/>
      <c r="H929" s="17"/>
      <c r="I929" s="17"/>
      <c r="J929" s="17"/>
      <c r="S929" s="4" t="str">
        <f t="shared" si="28"/>
        <v/>
      </c>
    </row>
    <row r="930" spans="1:19" s="3" customFormat="1" ht="13.9" hidden="1" x14ac:dyDescent="0.4">
      <c r="A930" s="5"/>
      <c r="F930" s="16"/>
      <c r="G930" s="17"/>
      <c r="H930" s="17"/>
      <c r="I930" s="17"/>
      <c r="J930" s="17"/>
      <c r="S930" s="4" t="str">
        <f t="shared" si="28"/>
        <v/>
      </c>
    </row>
    <row r="931" spans="1:19" s="3" customFormat="1" ht="13.9" hidden="1" x14ac:dyDescent="0.4">
      <c r="A931" s="5"/>
      <c r="F931" s="16"/>
      <c r="G931" s="17"/>
      <c r="H931" s="17"/>
      <c r="I931" s="17"/>
      <c r="J931" s="17"/>
      <c r="S931" s="4" t="str">
        <f t="shared" si="28"/>
        <v/>
      </c>
    </row>
    <row r="932" spans="1:19" s="3" customFormat="1" ht="13.9" hidden="1" x14ac:dyDescent="0.4">
      <c r="A932" s="5"/>
      <c r="F932" s="16"/>
      <c r="G932" s="17"/>
      <c r="H932" s="17"/>
      <c r="I932" s="17"/>
      <c r="J932" s="17"/>
      <c r="S932" s="4" t="str">
        <f t="shared" si="28"/>
        <v/>
      </c>
    </row>
    <row r="933" spans="1:19" s="3" customFormat="1" ht="13.9" hidden="1" x14ac:dyDescent="0.4">
      <c r="A933" s="5"/>
      <c r="F933" s="16"/>
      <c r="G933" s="17"/>
      <c r="H933" s="17"/>
      <c r="I933" s="17"/>
      <c r="J933" s="17"/>
      <c r="S933" s="4" t="str">
        <f t="shared" si="28"/>
        <v/>
      </c>
    </row>
    <row r="934" spans="1:19" s="3" customFormat="1" ht="13.9" hidden="1" x14ac:dyDescent="0.4">
      <c r="A934" s="5"/>
      <c r="F934" s="16"/>
      <c r="G934" s="17"/>
      <c r="H934" s="17"/>
      <c r="I934" s="17"/>
      <c r="J934" s="17"/>
      <c r="S934" s="4" t="str">
        <f t="shared" si="28"/>
        <v/>
      </c>
    </row>
    <row r="935" spans="1:19" s="3" customFormat="1" ht="13.9" hidden="1" x14ac:dyDescent="0.4">
      <c r="A935" s="5"/>
      <c r="F935" s="16"/>
      <c r="G935" s="17"/>
      <c r="H935" s="17"/>
      <c r="I935" s="17"/>
      <c r="J935" s="17"/>
      <c r="S935" s="4" t="str">
        <f t="shared" si="28"/>
        <v/>
      </c>
    </row>
    <row r="936" spans="1:19" s="3" customFormat="1" ht="13.9" hidden="1" x14ac:dyDescent="0.4">
      <c r="A936" s="5"/>
      <c r="F936" s="16"/>
      <c r="G936" s="17"/>
      <c r="H936" s="17"/>
      <c r="I936" s="17"/>
      <c r="J936" s="17"/>
      <c r="S936" s="4" t="str">
        <f t="shared" si="28"/>
        <v/>
      </c>
    </row>
    <row r="937" spans="1:19" s="3" customFormat="1" ht="13.9" hidden="1" x14ac:dyDescent="0.4">
      <c r="A937" s="5"/>
      <c r="F937" s="16"/>
      <c r="G937" s="17"/>
      <c r="H937" s="17"/>
      <c r="I937" s="17"/>
      <c r="J937" s="17"/>
      <c r="S937" s="4" t="str">
        <f t="shared" si="28"/>
        <v/>
      </c>
    </row>
    <row r="938" spans="1:19" s="3" customFormat="1" ht="13.9" hidden="1" x14ac:dyDescent="0.4">
      <c r="A938" s="5"/>
      <c r="F938" s="16"/>
      <c r="G938" s="17"/>
      <c r="H938" s="17"/>
      <c r="I938" s="17"/>
      <c r="J938" s="17"/>
      <c r="S938" s="4" t="str">
        <f t="shared" si="28"/>
        <v/>
      </c>
    </row>
    <row r="939" spans="1:19" s="3" customFormat="1" ht="13.9" hidden="1" x14ac:dyDescent="0.4">
      <c r="A939" s="5"/>
      <c r="F939" s="16"/>
      <c r="G939" s="17"/>
      <c r="H939" s="17"/>
      <c r="I939" s="17"/>
      <c r="J939" s="17"/>
      <c r="S939" s="4" t="str">
        <f t="shared" si="28"/>
        <v/>
      </c>
    </row>
    <row r="940" spans="1:19" s="3" customFormat="1" ht="13.9" hidden="1" x14ac:dyDescent="0.4">
      <c r="A940" s="5"/>
      <c r="F940" s="16"/>
      <c r="G940" s="17"/>
      <c r="H940" s="17"/>
      <c r="I940" s="17"/>
      <c r="J940" s="17"/>
      <c r="S940" s="4" t="str">
        <f t="shared" si="28"/>
        <v/>
      </c>
    </row>
    <row r="941" spans="1:19" s="3" customFormat="1" ht="13.9" hidden="1" x14ac:dyDescent="0.4">
      <c r="A941" s="5"/>
      <c r="F941" s="16"/>
      <c r="G941" s="17"/>
      <c r="H941" s="17"/>
      <c r="I941" s="17"/>
      <c r="J941" s="17"/>
      <c r="S941" s="4" t="str">
        <f t="shared" si="28"/>
        <v/>
      </c>
    </row>
    <row r="942" spans="1:19" s="3" customFormat="1" ht="13.9" hidden="1" x14ac:dyDescent="0.4">
      <c r="A942" s="5"/>
      <c r="F942" s="16"/>
      <c r="G942" s="17"/>
      <c r="H942" s="17"/>
      <c r="I942" s="17"/>
      <c r="J942" s="17"/>
      <c r="S942" s="4" t="str">
        <f t="shared" si="28"/>
        <v/>
      </c>
    </row>
    <row r="943" spans="1:19" s="3" customFormat="1" ht="13.9" hidden="1" x14ac:dyDescent="0.4">
      <c r="A943" s="5"/>
      <c r="F943" s="16"/>
      <c r="G943" s="17"/>
      <c r="H943" s="17"/>
      <c r="I943" s="17"/>
      <c r="J943" s="17"/>
      <c r="S943" s="4" t="str">
        <f t="shared" si="28"/>
        <v/>
      </c>
    </row>
    <row r="944" spans="1:19" s="3" customFormat="1" ht="13.9" hidden="1" x14ac:dyDescent="0.4">
      <c r="A944" s="5"/>
      <c r="F944" s="16"/>
      <c r="G944" s="17"/>
      <c r="H944" s="17"/>
      <c r="I944" s="17"/>
      <c r="J944" s="17"/>
      <c r="S944" s="4" t="str">
        <f t="shared" si="28"/>
        <v/>
      </c>
    </row>
    <row r="945" spans="1:19" s="3" customFormat="1" ht="13.9" hidden="1" x14ac:dyDescent="0.4">
      <c r="A945" s="5"/>
      <c r="F945" s="16"/>
      <c r="G945" s="17"/>
      <c r="H945" s="17"/>
      <c r="I945" s="17"/>
      <c r="J945" s="17"/>
      <c r="S945" s="4" t="str">
        <f t="shared" si="28"/>
        <v/>
      </c>
    </row>
    <row r="946" spans="1:19" s="3" customFormat="1" ht="13.9" hidden="1" x14ac:dyDescent="0.4">
      <c r="A946" s="5"/>
      <c r="F946" s="16"/>
      <c r="G946" s="17"/>
      <c r="H946" s="17"/>
      <c r="I946" s="17"/>
      <c r="J946" s="17"/>
      <c r="S946" s="4" t="str">
        <f t="shared" si="28"/>
        <v/>
      </c>
    </row>
    <row r="947" spans="1:19" s="3" customFormat="1" ht="13.9" hidden="1" x14ac:dyDescent="0.4">
      <c r="A947" s="5"/>
      <c r="F947" s="16"/>
      <c r="G947" s="17"/>
      <c r="H947" s="17"/>
      <c r="I947" s="17"/>
      <c r="J947" s="17"/>
      <c r="S947" s="4" t="str">
        <f t="shared" si="28"/>
        <v/>
      </c>
    </row>
    <row r="948" spans="1:19" s="3" customFormat="1" ht="13.9" hidden="1" x14ac:dyDescent="0.4">
      <c r="A948" s="5"/>
      <c r="F948" s="16"/>
      <c r="G948" s="17"/>
      <c r="H948" s="17"/>
      <c r="I948" s="17"/>
      <c r="J948" s="17"/>
      <c r="S948" s="4" t="str">
        <f t="shared" si="28"/>
        <v/>
      </c>
    </row>
    <row r="949" spans="1:19" s="3" customFormat="1" ht="13.9" hidden="1" x14ac:dyDescent="0.4">
      <c r="A949" s="5"/>
      <c r="F949" s="16"/>
      <c r="G949" s="17"/>
      <c r="H949" s="17"/>
      <c r="I949" s="17"/>
      <c r="J949" s="17"/>
      <c r="S949" s="4" t="str">
        <f t="shared" si="28"/>
        <v/>
      </c>
    </row>
    <row r="950" spans="1:19" s="3" customFormat="1" ht="13.9" hidden="1" x14ac:dyDescent="0.4">
      <c r="A950" s="5"/>
      <c r="F950" s="16"/>
      <c r="G950" s="17"/>
      <c r="H950" s="17"/>
      <c r="I950" s="17"/>
      <c r="J950" s="17"/>
      <c r="S950" s="4" t="str">
        <f t="shared" si="28"/>
        <v/>
      </c>
    </row>
    <row r="951" spans="1:19" s="3" customFormat="1" ht="13.9" hidden="1" x14ac:dyDescent="0.4">
      <c r="A951" s="5"/>
      <c r="F951" s="16"/>
      <c r="G951" s="17"/>
      <c r="H951" s="17"/>
      <c r="I951" s="17"/>
      <c r="J951" s="17"/>
      <c r="S951" s="4" t="str">
        <f t="shared" si="28"/>
        <v/>
      </c>
    </row>
    <row r="952" spans="1:19" s="3" customFormat="1" ht="13.9" hidden="1" x14ac:dyDescent="0.4">
      <c r="A952" s="5"/>
      <c r="F952" s="16"/>
      <c r="G952" s="17"/>
      <c r="H952" s="17"/>
      <c r="I952" s="17"/>
      <c r="J952" s="17"/>
      <c r="S952" s="4" t="str">
        <f t="shared" si="28"/>
        <v/>
      </c>
    </row>
    <row r="953" spans="1:19" s="3" customFormat="1" ht="13.9" hidden="1" x14ac:dyDescent="0.4">
      <c r="A953" s="5"/>
      <c r="F953" s="16"/>
      <c r="G953" s="17"/>
      <c r="H953" s="17"/>
      <c r="I953" s="17"/>
      <c r="J953" s="17"/>
      <c r="S953" s="4" t="str">
        <f t="shared" si="28"/>
        <v/>
      </c>
    </row>
    <row r="954" spans="1:19" s="3" customFormat="1" ht="13.9" hidden="1" x14ac:dyDescent="0.4">
      <c r="A954" s="5"/>
      <c r="F954" s="16"/>
      <c r="G954" s="17"/>
      <c r="H954" s="17"/>
      <c r="I954" s="17"/>
      <c r="J954" s="17"/>
      <c r="S954" s="4" t="str">
        <f t="shared" si="28"/>
        <v/>
      </c>
    </row>
    <row r="955" spans="1:19" s="3" customFormat="1" ht="13.9" hidden="1" x14ac:dyDescent="0.4">
      <c r="A955" s="5"/>
      <c r="F955" s="16"/>
      <c r="G955" s="17"/>
      <c r="H955" s="17"/>
      <c r="I955" s="17"/>
      <c r="J955" s="17"/>
      <c r="S955" s="4" t="str">
        <f t="shared" si="28"/>
        <v/>
      </c>
    </row>
    <row r="956" spans="1:19" s="3" customFormat="1" ht="13.9" hidden="1" x14ac:dyDescent="0.4">
      <c r="A956" s="5"/>
      <c r="F956" s="16"/>
      <c r="G956" s="17"/>
      <c r="H956" s="17"/>
      <c r="I956" s="17"/>
      <c r="J956" s="17"/>
      <c r="S956" s="4" t="str">
        <f t="shared" si="28"/>
        <v/>
      </c>
    </row>
    <row r="957" spans="1:19" s="3" customFormat="1" ht="13.9" hidden="1" x14ac:dyDescent="0.4">
      <c r="A957" s="5"/>
      <c r="F957" s="16"/>
      <c r="G957" s="17"/>
      <c r="H957" s="17"/>
      <c r="I957" s="17"/>
      <c r="J957" s="17"/>
      <c r="S957" s="4" t="str">
        <f t="shared" si="28"/>
        <v/>
      </c>
    </row>
    <row r="958" spans="1:19" s="3" customFormat="1" ht="13.9" hidden="1" x14ac:dyDescent="0.4">
      <c r="A958" s="5"/>
      <c r="F958" s="16"/>
      <c r="G958" s="17"/>
      <c r="H958" s="17"/>
      <c r="I958" s="17"/>
      <c r="J958" s="17"/>
      <c r="S958" s="4" t="str">
        <f t="shared" si="28"/>
        <v/>
      </c>
    </row>
    <row r="959" spans="1:19" s="3" customFormat="1" ht="13.9" hidden="1" x14ac:dyDescent="0.4">
      <c r="A959" s="5"/>
      <c r="F959" s="16"/>
      <c r="G959" s="17"/>
      <c r="H959" s="17"/>
      <c r="I959" s="17"/>
      <c r="J959" s="17"/>
      <c r="S959" s="4" t="str">
        <f t="shared" si="28"/>
        <v/>
      </c>
    </row>
    <row r="960" spans="1:19" s="3" customFormat="1" ht="13.9" hidden="1" x14ac:dyDescent="0.4">
      <c r="A960" s="5"/>
      <c r="F960" s="16"/>
      <c r="G960" s="17"/>
      <c r="H960" s="17"/>
      <c r="I960" s="17"/>
      <c r="J960" s="17"/>
      <c r="S960" s="4" t="str">
        <f t="shared" si="28"/>
        <v/>
      </c>
    </row>
    <row r="961" spans="1:19" s="3" customFormat="1" ht="13.9" hidden="1" x14ac:dyDescent="0.4">
      <c r="A961" s="5"/>
      <c r="F961" s="16"/>
      <c r="G961" s="17"/>
      <c r="H961" s="17"/>
      <c r="I961" s="17"/>
      <c r="J961" s="17"/>
      <c r="S961" s="4" t="str">
        <f t="shared" si="28"/>
        <v/>
      </c>
    </row>
    <row r="962" spans="1:19" s="3" customFormat="1" ht="13.9" hidden="1" x14ac:dyDescent="0.4">
      <c r="A962" s="5"/>
      <c r="F962" s="16"/>
      <c r="G962" s="17"/>
      <c r="H962" s="17"/>
      <c r="I962" s="17"/>
      <c r="J962" s="17"/>
      <c r="S962" s="4" t="str">
        <f t="shared" si="28"/>
        <v/>
      </c>
    </row>
    <row r="963" spans="1:19" s="3" customFormat="1" ht="13.9" hidden="1" x14ac:dyDescent="0.4">
      <c r="A963" s="5"/>
      <c r="F963" s="16"/>
      <c r="G963" s="17"/>
      <c r="H963" s="17"/>
      <c r="I963" s="17"/>
      <c r="J963" s="17"/>
      <c r="S963" s="4" t="str">
        <f t="shared" si="28"/>
        <v/>
      </c>
    </row>
    <row r="964" spans="1:19" s="3" customFormat="1" ht="13.9" hidden="1" x14ac:dyDescent="0.4">
      <c r="A964" s="5"/>
      <c r="F964" s="16"/>
      <c r="G964" s="17"/>
      <c r="H964" s="17"/>
      <c r="I964" s="17"/>
      <c r="J964" s="17"/>
      <c r="S964" s="4" t="str">
        <f t="shared" si="28"/>
        <v/>
      </c>
    </row>
    <row r="965" spans="1:19" s="3" customFormat="1" ht="13.9" hidden="1" x14ac:dyDescent="0.4">
      <c r="A965" s="5"/>
      <c r="F965" s="16"/>
      <c r="G965" s="17"/>
      <c r="H965" s="17"/>
      <c r="I965" s="17"/>
      <c r="J965" s="17"/>
      <c r="S965" s="4" t="str">
        <f t="shared" ref="S965:S1000" si="29">IF(B965&lt;&gt;"","visible","")</f>
        <v/>
      </c>
    </row>
    <row r="966" spans="1:19" s="3" customFormat="1" ht="13.9" hidden="1" x14ac:dyDescent="0.4">
      <c r="A966" s="5"/>
      <c r="F966" s="16"/>
      <c r="G966" s="17"/>
      <c r="H966" s="17"/>
      <c r="I966" s="17"/>
      <c r="J966" s="17"/>
      <c r="S966" s="4" t="str">
        <f t="shared" si="29"/>
        <v/>
      </c>
    </row>
    <row r="967" spans="1:19" s="3" customFormat="1" ht="13.9" hidden="1" x14ac:dyDescent="0.4">
      <c r="A967" s="5"/>
      <c r="F967" s="16"/>
      <c r="G967" s="17"/>
      <c r="H967" s="17"/>
      <c r="I967" s="17"/>
      <c r="J967" s="17"/>
      <c r="S967" s="4" t="str">
        <f t="shared" si="29"/>
        <v/>
      </c>
    </row>
    <row r="968" spans="1:19" s="3" customFormat="1" ht="13.9" hidden="1" x14ac:dyDescent="0.4">
      <c r="A968" s="5"/>
      <c r="F968" s="16"/>
      <c r="G968" s="17"/>
      <c r="H968" s="17"/>
      <c r="I968" s="17"/>
      <c r="J968" s="17"/>
      <c r="S968" s="4" t="str">
        <f t="shared" si="29"/>
        <v/>
      </c>
    </row>
    <row r="969" spans="1:19" s="3" customFormat="1" ht="13.9" hidden="1" x14ac:dyDescent="0.4">
      <c r="A969" s="5"/>
      <c r="F969" s="16"/>
      <c r="G969" s="17"/>
      <c r="H969" s="17"/>
      <c r="I969" s="17"/>
      <c r="J969" s="17"/>
      <c r="S969" s="4" t="str">
        <f t="shared" si="29"/>
        <v/>
      </c>
    </row>
    <row r="970" spans="1:19" s="3" customFormat="1" ht="13.9" hidden="1" x14ac:dyDescent="0.4">
      <c r="A970" s="5"/>
      <c r="F970" s="16"/>
      <c r="G970" s="17"/>
      <c r="H970" s="17"/>
      <c r="I970" s="17"/>
      <c r="J970" s="17"/>
      <c r="S970" s="4" t="str">
        <f t="shared" si="29"/>
        <v/>
      </c>
    </row>
    <row r="971" spans="1:19" s="3" customFormat="1" ht="13.9" hidden="1" x14ac:dyDescent="0.4">
      <c r="A971" s="5"/>
      <c r="F971" s="16"/>
      <c r="G971" s="17"/>
      <c r="H971" s="17"/>
      <c r="I971" s="17"/>
      <c r="J971" s="17"/>
      <c r="S971" s="4" t="str">
        <f t="shared" si="29"/>
        <v/>
      </c>
    </row>
    <row r="972" spans="1:19" s="3" customFormat="1" ht="13.9" hidden="1" x14ac:dyDescent="0.4">
      <c r="A972" s="5"/>
      <c r="F972" s="16"/>
      <c r="G972" s="17"/>
      <c r="H972" s="17"/>
      <c r="I972" s="17"/>
      <c r="J972" s="17"/>
      <c r="S972" s="4" t="str">
        <f t="shared" si="29"/>
        <v/>
      </c>
    </row>
    <row r="973" spans="1:19" s="3" customFormat="1" ht="13.9" hidden="1" x14ac:dyDescent="0.4">
      <c r="A973" s="5"/>
      <c r="F973" s="16"/>
      <c r="G973" s="17"/>
      <c r="H973" s="17"/>
      <c r="I973" s="17"/>
      <c r="J973" s="17"/>
      <c r="S973" s="4" t="str">
        <f t="shared" si="29"/>
        <v/>
      </c>
    </row>
    <row r="974" spans="1:19" s="3" customFormat="1" ht="13.9" hidden="1" x14ac:dyDescent="0.4">
      <c r="A974" s="5"/>
      <c r="F974" s="16"/>
      <c r="G974" s="17"/>
      <c r="H974" s="17"/>
      <c r="I974" s="17"/>
      <c r="J974" s="17"/>
      <c r="S974" s="4" t="str">
        <f t="shared" si="29"/>
        <v/>
      </c>
    </row>
    <row r="975" spans="1:19" s="3" customFormat="1" ht="13.9" hidden="1" x14ac:dyDescent="0.4">
      <c r="A975" s="5"/>
      <c r="F975" s="16"/>
      <c r="G975" s="17"/>
      <c r="H975" s="17"/>
      <c r="I975" s="17"/>
      <c r="J975" s="17"/>
      <c r="S975" s="4" t="str">
        <f t="shared" si="29"/>
        <v/>
      </c>
    </row>
    <row r="976" spans="1:19" s="3" customFormat="1" ht="13.9" hidden="1" x14ac:dyDescent="0.4">
      <c r="A976" s="5"/>
      <c r="F976" s="16"/>
      <c r="G976" s="17"/>
      <c r="H976" s="17"/>
      <c r="I976" s="17"/>
      <c r="J976" s="17"/>
      <c r="S976" s="4" t="str">
        <f t="shared" si="29"/>
        <v/>
      </c>
    </row>
    <row r="977" spans="1:19" s="3" customFormat="1" ht="13.9" hidden="1" x14ac:dyDescent="0.4">
      <c r="A977" s="5"/>
      <c r="F977" s="16"/>
      <c r="G977" s="17"/>
      <c r="H977" s="17"/>
      <c r="I977" s="17"/>
      <c r="J977" s="17"/>
      <c r="S977" s="4" t="str">
        <f t="shared" si="29"/>
        <v/>
      </c>
    </row>
    <row r="978" spans="1:19" s="3" customFormat="1" ht="13.9" hidden="1" x14ac:dyDescent="0.4">
      <c r="A978" s="5"/>
      <c r="F978" s="16"/>
      <c r="G978" s="17"/>
      <c r="H978" s="17"/>
      <c r="I978" s="17"/>
      <c r="J978" s="17"/>
      <c r="S978" s="4" t="str">
        <f t="shared" si="29"/>
        <v/>
      </c>
    </row>
    <row r="979" spans="1:19" s="3" customFormat="1" ht="13.9" hidden="1" x14ac:dyDescent="0.4">
      <c r="A979" s="5"/>
      <c r="F979" s="16"/>
      <c r="G979" s="17"/>
      <c r="H979" s="17"/>
      <c r="I979" s="17"/>
      <c r="J979" s="17"/>
      <c r="S979" s="4" t="str">
        <f t="shared" si="29"/>
        <v/>
      </c>
    </row>
    <row r="980" spans="1:19" s="3" customFormat="1" ht="13.9" hidden="1" x14ac:dyDescent="0.4">
      <c r="A980" s="5"/>
      <c r="F980" s="16"/>
      <c r="G980" s="17"/>
      <c r="H980" s="17"/>
      <c r="I980" s="17"/>
      <c r="J980" s="17"/>
      <c r="S980" s="4" t="str">
        <f t="shared" si="29"/>
        <v/>
      </c>
    </row>
    <row r="981" spans="1:19" s="3" customFormat="1" ht="13.9" hidden="1" x14ac:dyDescent="0.4">
      <c r="A981" s="5"/>
      <c r="F981" s="16"/>
      <c r="G981" s="17"/>
      <c r="H981" s="17"/>
      <c r="I981" s="17"/>
      <c r="J981" s="17"/>
      <c r="S981" s="4" t="str">
        <f t="shared" si="29"/>
        <v/>
      </c>
    </row>
    <row r="982" spans="1:19" s="3" customFormat="1" ht="13.9" hidden="1" x14ac:dyDescent="0.4">
      <c r="A982" s="5"/>
      <c r="F982" s="16"/>
      <c r="G982" s="17"/>
      <c r="H982" s="17"/>
      <c r="I982" s="17"/>
      <c r="J982" s="17"/>
      <c r="S982" s="4" t="str">
        <f t="shared" si="29"/>
        <v/>
      </c>
    </row>
    <row r="983" spans="1:19" s="3" customFormat="1" ht="13.9" hidden="1" x14ac:dyDescent="0.4">
      <c r="A983" s="5"/>
      <c r="F983" s="16"/>
      <c r="G983" s="17"/>
      <c r="H983" s="17"/>
      <c r="I983" s="17"/>
      <c r="J983" s="17"/>
      <c r="S983" s="4" t="str">
        <f t="shared" si="29"/>
        <v/>
      </c>
    </row>
    <row r="984" spans="1:19" s="3" customFormat="1" ht="13.9" hidden="1" x14ac:dyDescent="0.4">
      <c r="A984" s="5"/>
      <c r="F984" s="16"/>
      <c r="G984" s="17"/>
      <c r="H984" s="17"/>
      <c r="I984" s="17"/>
      <c r="J984" s="17"/>
      <c r="S984" s="4" t="str">
        <f t="shared" si="29"/>
        <v/>
      </c>
    </row>
    <row r="985" spans="1:19" s="3" customFormat="1" ht="13.9" hidden="1" x14ac:dyDescent="0.4">
      <c r="A985" s="5"/>
      <c r="F985" s="16"/>
      <c r="G985" s="17"/>
      <c r="H985" s="17"/>
      <c r="I985" s="17"/>
      <c r="J985" s="17"/>
      <c r="S985" s="4" t="str">
        <f t="shared" si="29"/>
        <v/>
      </c>
    </row>
    <row r="986" spans="1:19" s="3" customFormat="1" ht="13.9" hidden="1" x14ac:dyDescent="0.4">
      <c r="A986" s="5"/>
      <c r="F986" s="16"/>
      <c r="G986" s="17"/>
      <c r="H986" s="17"/>
      <c r="I986" s="17"/>
      <c r="J986" s="17"/>
      <c r="S986" s="4" t="str">
        <f t="shared" si="29"/>
        <v/>
      </c>
    </row>
    <row r="987" spans="1:19" s="3" customFormat="1" ht="13.9" hidden="1" x14ac:dyDescent="0.4">
      <c r="A987" s="5"/>
      <c r="F987" s="16"/>
      <c r="G987" s="17"/>
      <c r="H987" s="17"/>
      <c r="I987" s="17"/>
      <c r="J987" s="17"/>
      <c r="S987" s="4" t="str">
        <f t="shared" si="29"/>
        <v/>
      </c>
    </row>
    <row r="988" spans="1:19" s="3" customFormat="1" ht="13.9" hidden="1" x14ac:dyDescent="0.4">
      <c r="A988" s="5"/>
      <c r="F988" s="16"/>
      <c r="G988" s="17"/>
      <c r="H988" s="17"/>
      <c r="I988" s="17"/>
      <c r="J988" s="17"/>
      <c r="S988" s="4" t="str">
        <f t="shared" si="29"/>
        <v/>
      </c>
    </row>
    <row r="989" spans="1:19" s="3" customFormat="1" ht="13.9" hidden="1" x14ac:dyDescent="0.4">
      <c r="A989" s="5"/>
      <c r="F989" s="16"/>
      <c r="G989" s="17"/>
      <c r="H989" s="17"/>
      <c r="I989" s="17"/>
      <c r="J989" s="17"/>
      <c r="S989" s="4" t="str">
        <f t="shared" si="29"/>
        <v/>
      </c>
    </row>
    <row r="990" spans="1:19" s="3" customFormat="1" ht="13.9" hidden="1" x14ac:dyDescent="0.4">
      <c r="A990" s="5"/>
      <c r="F990" s="16"/>
      <c r="G990" s="17"/>
      <c r="H990" s="17"/>
      <c r="I990" s="17"/>
      <c r="J990" s="17"/>
      <c r="S990" s="4" t="str">
        <f t="shared" si="29"/>
        <v/>
      </c>
    </row>
    <row r="991" spans="1:19" s="3" customFormat="1" ht="13.9" hidden="1" x14ac:dyDescent="0.4">
      <c r="A991" s="5"/>
      <c r="S991" s="4" t="str">
        <f t="shared" si="29"/>
        <v/>
      </c>
    </row>
    <row r="992" spans="1:19" s="3" customFormat="1" ht="13.9" hidden="1" x14ac:dyDescent="0.4">
      <c r="A992" s="5"/>
      <c r="S992" s="4" t="str">
        <f t="shared" si="29"/>
        <v/>
      </c>
    </row>
    <row r="993" spans="1:19" s="3" customFormat="1" ht="13.9" hidden="1" x14ac:dyDescent="0.4">
      <c r="A993" s="5"/>
      <c r="S993" s="4" t="str">
        <f t="shared" si="29"/>
        <v/>
      </c>
    </row>
    <row r="994" spans="1:19" s="3" customFormat="1" ht="13.9" hidden="1" x14ac:dyDescent="0.4">
      <c r="A994" s="5"/>
      <c r="S994" s="4" t="str">
        <f t="shared" si="29"/>
        <v/>
      </c>
    </row>
    <row r="995" spans="1:19" s="3" customFormat="1" ht="13.9" hidden="1" x14ac:dyDescent="0.4">
      <c r="A995" s="5"/>
      <c r="S995" s="4" t="str">
        <f t="shared" si="29"/>
        <v/>
      </c>
    </row>
    <row r="996" spans="1:19" s="3" customFormat="1" ht="13.9" hidden="1" x14ac:dyDescent="0.4">
      <c r="A996" s="5"/>
      <c r="S996" s="4" t="str">
        <f t="shared" si="29"/>
        <v/>
      </c>
    </row>
    <row r="997" spans="1:19" s="3" customFormat="1" ht="13.9" hidden="1" x14ac:dyDescent="0.4">
      <c r="A997" s="5"/>
      <c r="S997" s="4" t="str">
        <f t="shared" si="29"/>
        <v/>
      </c>
    </row>
    <row r="998" spans="1:19" s="3" customFormat="1" ht="13.9" hidden="1" x14ac:dyDescent="0.4">
      <c r="A998" s="5"/>
      <c r="S998" s="4" t="str">
        <f t="shared" si="29"/>
        <v/>
      </c>
    </row>
    <row r="999" spans="1:19" hidden="1" x14ac:dyDescent="0.45">
      <c r="S999" s="4" t="str">
        <f t="shared" si="29"/>
        <v/>
      </c>
    </row>
    <row r="1000" spans="1:19" hidden="1" x14ac:dyDescent="0.45">
      <c r="S1000" s="4" t="str">
        <f t="shared" si="29"/>
        <v/>
      </c>
    </row>
  </sheetData>
  <autoFilter ref="S4:S1000" xr:uid="{00000000-0009-0000-0000-000004000000}">
    <filterColumn colId="0">
      <customFilters>
        <customFilter operator="notEqual" val=" "/>
      </customFilters>
    </filterColumn>
  </autoFilter>
  <pageMargins left="0.25" right="0.25" top="0.75" bottom="0.75" header="0.3" footer="0.3"/>
  <pageSetup paperSize="8" scale="61" orientation="landscape" r:id="rId7"/>
  <drawing r:id="rId8"/>
  <legacyDrawing r:id="rId9"/>
  <mc:AlternateContent xmlns:mc="http://schemas.openxmlformats.org/markup-compatibility/2006">
    <mc:Choice Requires="x14">
      <controls>
        <mc:AlternateContent xmlns:mc="http://schemas.openxmlformats.org/markup-compatibility/2006">
          <mc:Choice Requires="x14">
            <control shapeId="7174" r:id="rId10" name="Button 6">
              <controlPr defaultSize="0" print="0" autoFill="0" autoPict="0" macro="[0]!Update_Probability_Success">
                <anchor moveWithCells="1" sizeWithCells="1">
                  <from>
                    <xdr:col>1</xdr:col>
                    <xdr:colOff>428625</xdr:colOff>
                    <xdr:row>0</xdr:row>
                    <xdr:rowOff>66675</xdr:rowOff>
                  </from>
                  <to>
                    <xdr:col>1</xdr:col>
                    <xdr:colOff>1933575</xdr:colOff>
                    <xdr:row>3</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77"/>
  <sheetViews>
    <sheetView workbookViewId="0">
      <selection activeCell="H8" sqref="H8"/>
    </sheetView>
  </sheetViews>
  <sheetFormatPr baseColWidth="10" defaultColWidth="11.265625" defaultRowHeight="13.9" x14ac:dyDescent="0.45"/>
  <cols>
    <col min="1" max="1" width="22.1328125" style="1" customWidth="1"/>
    <col min="2" max="2" width="32.73046875" style="1" customWidth="1"/>
    <col min="3" max="3" width="31.86328125" style="2" bestFit="1" customWidth="1"/>
    <col min="4" max="4" width="36.265625" style="2" customWidth="1"/>
    <col min="5" max="5" width="53" style="2" customWidth="1"/>
    <col min="6" max="6" width="30.86328125" style="2" customWidth="1"/>
    <col min="7" max="16384" width="11.265625" style="2"/>
  </cols>
  <sheetData>
    <row r="1" spans="1:6" s="1" customFormat="1" x14ac:dyDescent="0.45">
      <c r="A1" s="1" t="s">
        <v>7</v>
      </c>
      <c r="B1" s="1" t="s">
        <v>23</v>
      </c>
      <c r="C1" s="1" t="s">
        <v>304</v>
      </c>
      <c r="D1" s="1" t="s">
        <v>303</v>
      </c>
      <c r="E1" s="1" t="s">
        <v>639</v>
      </c>
      <c r="F1" s="1" t="s">
        <v>703</v>
      </c>
    </row>
    <row r="2" spans="1:6" x14ac:dyDescent="0.45">
      <c r="A2" s="1" t="s">
        <v>1</v>
      </c>
      <c r="B2" s="1" t="s">
        <v>0</v>
      </c>
      <c r="C2" s="2" t="s">
        <v>241</v>
      </c>
      <c r="D2" s="2" t="s">
        <v>305</v>
      </c>
      <c r="E2" s="2" t="s">
        <v>641</v>
      </c>
      <c r="F2" s="2" t="s">
        <v>705</v>
      </c>
    </row>
    <row r="3" spans="1:6" x14ac:dyDescent="0.45">
      <c r="A3" s="1" t="s">
        <v>2</v>
      </c>
      <c r="B3" s="1" t="s">
        <v>96</v>
      </c>
      <c r="C3" s="2" t="s">
        <v>630</v>
      </c>
      <c r="D3" s="2" t="s">
        <v>306</v>
      </c>
      <c r="E3" s="2" t="s">
        <v>642</v>
      </c>
      <c r="F3" s="2" t="s">
        <v>704</v>
      </c>
    </row>
    <row r="4" spans="1:6" x14ac:dyDescent="0.45">
      <c r="A4" s="1" t="s">
        <v>97</v>
      </c>
      <c r="C4" s="2" t="s">
        <v>242</v>
      </c>
      <c r="D4" s="2" t="s">
        <v>307</v>
      </c>
      <c r="E4" s="2" t="s">
        <v>643</v>
      </c>
      <c r="F4" s="2" t="s">
        <v>706</v>
      </c>
    </row>
    <row r="5" spans="1:6" x14ac:dyDescent="0.45">
      <c r="C5" s="2" t="s">
        <v>243</v>
      </c>
      <c r="D5" s="2" t="s">
        <v>308</v>
      </c>
      <c r="E5" s="2" t="s">
        <v>644</v>
      </c>
      <c r="F5" s="2" t="s">
        <v>707</v>
      </c>
    </row>
    <row r="6" spans="1:6" x14ac:dyDescent="0.45">
      <c r="C6" s="2" t="s">
        <v>244</v>
      </c>
      <c r="D6" s="2" t="s">
        <v>651</v>
      </c>
      <c r="E6" s="2" t="s">
        <v>645</v>
      </c>
      <c r="F6" s="2" t="s">
        <v>708</v>
      </c>
    </row>
    <row r="7" spans="1:6" x14ac:dyDescent="0.45">
      <c r="C7" s="2" t="s">
        <v>245</v>
      </c>
      <c r="D7" s="2" t="s">
        <v>309</v>
      </c>
      <c r="E7" s="2" t="s">
        <v>666</v>
      </c>
      <c r="F7" s="2" t="s">
        <v>709</v>
      </c>
    </row>
    <row r="8" spans="1:6" x14ac:dyDescent="0.45">
      <c r="C8" s="2" t="s">
        <v>246</v>
      </c>
      <c r="E8" s="149" t="s">
        <v>667</v>
      </c>
      <c r="F8" s="2" t="s">
        <v>710</v>
      </c>
    </row>
    <row r="9" spans="1:6" x14ac:dyDescent="0.45">
      <c r="E9" s="149" t="s">
        <v>668</v>
      </c>
      <c r="F9" s="2" t="s">
        <v>711</v>
      </c>
    </row>
    <row r="10" spans="1:6" x14ac:dyDescent="0.45">
      <c r="E10" s="149" t="s">
        <v>646</v>
      </c>
    </row>
    <row r="11" spans="1:6" x14ac:dyDescent="0.45">
      <c r="E11" s="149" t="s">
        <v>669</v>
      </c>
    </row>
    <row r="12" spans="1:6" x14ac:dyDescent="0.45">
      <c r="E12" s="149" t="s">
        <v>670</v>
      </c>
    </row>
    <row r="13" spans="1:6" x14ac:dyDescent="0.45">
      <c r="E13" s="149" t="s">
        <v>648</v>
      </c>
    </row>
    <row r="14" spans="1:6" x14ac:dyDescent="0.45">
      <c r="E14" s="149" t="s">
        <v>671</v>
      </c>
    </row>
    <row r="18" spans="5:5" x14ac:dyDescent="0.45">
      <c r="E18" s="149"/>
    </row>
    <row r="19" spans="5:5" x14ac:dyDescent="0.45">
      <c r="E19" s="149"/>
    </row>
    <row r="20" spans="5:5" x14ac:dyDescent="0.45">
      <c r="E20" s="149"/>
    </row>
    <row r="21" spans="5:5" x14ac:dyDescent="0.45">
      <c r="E21" s="149"/>
    </row>
    <row r="22" spans="5:5" x14ac:dyDescent="0.45">
      <c r="E22" s="149"/>
    </row>
    <row r="23" spans="5:5" x14ac:dyDescent="0.45">
      <c r="E23" s="149"/>
    </row>
    <row r="24" spans="5:5" x14ac:dyDescent="0.45">
      <c r="E24" s="149"/>
    </row>
    <row r="25" spans="5:5" x14ac:dyDescent="0.45">
      <c r="E25" s="149"/>
    </row>
    <row r="26" spans="5:5" x14ac:dyDescent="0.45">
      <c r="E26" s="149"/>
    </row>
    <row r="27" spans="5:5" x14ac:dyDescent="0.45">
      <c r="E27" s="149"/>
    </row>
    <row r="28" spans="5:5" x14ac:dyDescent="0.45">
      <c r="E28" s="149"/>
    </row>
    <row r="29" spans="5:5" x14ac:dyDescent="0.45">
      <c r="E29" s="149"/>
    </row>
    <row r="30" spans="5:5" x14ac:dyDescent="0.45">
      <c r="E30" s="149"/>
    </row>
    <row r="31" spans="5:5" x14ac:dyDescent="0.45">
      <c r="E31" s="149"/>
    </row>
    <row r="32" spans="5:5" x14ac:dyDescent="0.45">
      <c r="E32" s="149"/>
    </row>
    <row r="33" spans="5:5" x14ac:dyDescent="0.45">
      <c r="E33" s="149"/>
    </row>
    <row r="34" spans="5:5" x14ac:dyDescent="0.45">
      <c r="E34" s="149"/>
    </row>
    <row r="35" spans="5:5" x14ac:dyDescent="0.45">
      <c r="E35" s="149"/>
    </row>
    <row r="36" spans="5:5" x14ac:dyDescent="0.45">
      <c r="E36" s="149"/>
    </row>
    <row r="37" spans="5:5" x14ac:dyDescent="0.45">
      <c r="E37" s="149"/>
    </row>
    <row r="38" spans="5:5" x14ac:dyDescent="0.45">
      <c r="E38" s="149"/>
    </row>
    <row r="39" spans="5:5" x14ac:dyDescent="0.45">
      <c r="E39" s="149"/>
    </row>
    <row r="40" spans="5:5" x14ac:dyDescent="0.45">
      <c r="E40" s="149"/>
    </row>
    <row r="41" spans="5:5" x14ac:dyDescent="0.45">
      <c r="E41" s="149"/>
    </row>
    <row r="42" spans="5:5" x14ac:dyDescent="0.45">
      <c r="E42" s="149"/>
    </row>
    <row r="43" spans="5:5" x14ac:dyDescent="0.45">
      <c r="E43" s="149"/>
    </row>
    <row r="44" spans="5:5" x14ac:dyDescent="0.45">
      <c r="E44" s="149"/>
    </row>
    <row r="45" spans="5:5" x14ac:dyDescent="0.45">
      <c r="E45" s="149"/>
    </row>
    <row r="46" spans="5:5" x14ac:dyDescent="0.45">
      <c r="E46" s="149"/>
    </row>
    <row r="47" spans="5:5" x14ac:dyDescent="0.45">
      <c r="E47" s="149"/>
    </row>
    <row r="48" spans="5:5" x14ac:dyDescent="0.45">
      <c r="E48" s="149"/>
    </row>
    <row r="49" spans="5:5" x14ac:dyDescent="0.45">
      <c r="E49" s="149"/>
    </row>
    <row r="50" spans="5:5" x14ac:dyDescent="0.45">
      <c r="E50" s="149"/>
    </row>
    <row r="51" spans="5:5" x14ac:dyDescent="0.45">
      <c r="E51" s="149"/>
    </row>
    <row r="52" spans="5:5" x14ac:dyDescent="0.45">
      <c r="E52" s="149"/>
    </row>
    <row r="53" spans="5:5" x14ac:dyDescent="0.45">
      <c r="E53" s="149"/>
    </row>
    <row r="54" spans="5:5" x14ac:dyDescent="0.45">
      <c r="E54" s="149"/>
    </row>
    <row r="55" spans="5:5" x14ac:dyDescent="0.45">
      <c r="E55" s="149"/>
    </row>
    <row r="56" spans="5:5" x14ac:dyDescent="0.45">
      <c r="E56" s="149"/>
    </row>
    <row r="57" spans="5:5" x14ac:dyDescent="0.45">
      <c r="E57" s="149"/>
    </row>
    <row r="58" spans="5:5" x14ac:dyDescent="0.45">
      <c r="E58" s="149"/>
    </row>
    <row r="59" spans="5:5" x14ac:dyDescent="0.45">
      <c r="E59" s="149"/>
    </row>
    <row r="60" spans="5:5" x14ac:dyDescent="0.45">
      <c r="E60" s="149"/>
    </row>
    <row r="61" spans="5:5" x14ac:dyDescent="0.45">
      <c r="E61" s="149"/>
    </row>
    <row r="62" spans="5:5" x14ac:dyDescent="0.45">
      <c r="E62" s="149"/>
    </row>
    <row r="63" spans="5:5" x14ac:dyDescent="0.45">
      <c r="E63" s="149"/>
    </row>
    <row r="64" spans="5:5" x14ac:dyDescent="0.45">
      <c r="E64" s="149"/>
    </row>
    <row r="65" spans="5:5" x14ac:dyDescent="0.45">
      <c r="E65" s="149"/>
    </row>
    <row r="66" spans="5:5" x14ac:dyDescent="0.45">
      <c r="E66" s="149"/>
    </row>
    <row r="67" spans="5:5" x14ac:dyDescent="0.45">
      <c r="E67" s="149"/>
    </row>
    <row r="68" spans="5:5" x14ac:dyDescent="0.45">
      <c r="E68" s="149"/>
    </row>
    <row r="69" spans="5:5" x14ac:dyDescent="0.45">
      <c r="E69" s="149"/>
    </row>
    <row r="70" spans="5:5" x14ac:dyDescent="0.45">
      <c r="E70" s="149"/>
    </row>
    <row r="71" spans="5:5" x14ac:dyDescent="0.45">
      <c r="E71" s="149"/>
    </row>
    <row r="72" spans="5:5" x14ac:dyDescent="0.45">
      <c r="E72" s="149"/>
    </row>
    <row r="73" spans="5:5" x14ac:dyDescent="0.45">
      <c r="E73" s="149"/>
    </row>
    <row r="74" spans="5:5" x14ac:dyDescent="0.45">
      <c r="E74" s="149"/>
    </row>
    <row r="75" spans="5:5" x14ac:dyDescent="0.45">
      <c r="E75" s="149"/>
    </row>
    <row r="76" spans="5:5" x14ac:dyDescent="0.45">
      <c r="E76" s="149"/>
    </row>
    <row r="77" spans="5:5" x14ac:dyDescent="0.45">
      <c r="E77" s="149"/>
    </row>
  </sheetData>
  <pageMargins left="0.7" right="0.7" top="0.78740157499999996" bottom="0.78740157499999996" header="0.3" footer="0.3"/>
  <pageSetup paperSize="9" orientation="portrait" horizontalDpi="4294967292" verticalDpi="1200" r:id="rId1"/>
  <tableParts count="6">
    <tablePart r:id="rId2"/>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B2"/>
  <sheetViews>
    <sheetView workbookViewId="0">
      <selection activeCell="B3" sqref="B3"/>
    </sheetView>
  </sheetViews>
  <sheetFormatPr baseColWidth="10" defaultColWidth="11.265625" defaultRowHeight="13.9" x14ac:dyDescent="0.45"/>
  <cols>
    <col min="1" max="16384" width="11.265625" style="31"/>
  </cols>
  <sheetData>
    <row r="1" spans="1:2" x14ac:dyDescent="0.45">
      <c r="A1" s="32" t="s">
        <v>225</v>
      </c>
      <c r="B1" s="1" t="s">
        <v>1</v>
      </c>
    </row>
    <row r="2" spans="1:2" x14ac:dyDescent="0.45">
      <c r="A2" s="32" t="s">
        <v>226</v>
      </c>
      <c r="B2" s="1" t="s">
        <v>227</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2"/>
  <sheetViews>
    <sheetView workbookViewId="0">
      <selection activeCell="B2" sqref="B2"/>
    </sheetView>
  </sheetViews>
  <sheetFormatPr baseColWidth="10" defaultColWidth="11.265625" defaultRowHeight="13.9" x14ac:dyDescent="0.45"/>
  <cols>
    <col min="1" max="16384" width="11.265625" style="31"/>
  </cols>
  <sheetData>
    <row r="1" spans="1:2" x14ac:dyDescent="0.45">
      <c r="A1" s="32" t="s">
        <v>225</v>
      </c>
      <c r="B1" s="1" t="s">
        <v>2</v>
      </c>
    </row>
    <row r="2" spans="1:2" x14ac:dyDescent="0.45">
      <c r="A2" s="32" t="s">
        <v>226</v>
      </c>
      <c r="B2" s="1" t="s">
        <v>228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5</vt:i4>
      </vt:variant>
    </vt:vector>
  </HeadingPairs>
  <TitlesOfParts>
    <vt:vector size="6" baseType="lpstr">
      <vt:lpstr>Intro, Login and Logout</vt:lpstr>
      <vt:lpstr>'Probability of Success (IPK)'!Druckbereich</vt:lpstr>
      <vt:lpstr>PassIPK</vt:lpstr>
      <vt:lpstr>PassITA</vt:lpstr>
      <vt:lpstr>UserIPK</vt:lpstr>
      <vt:lpstr>UserITA</vt:lpstr>
    </vt:vector>
  </TitlesOfParts>
  <Company>Fraunhofer-Instituit IPK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Reis de Ascencao, Gustavo</dc:creator>
  <cp:lastModifiedBy>Domingos, David Carlos</cp:lastModifiedBy>
  <cp:lastPrinted>2022-03-16T12:57:50Z</cp:lastPrinted>
  <dcterms:created xsi:type="dcterms:W3CDTF">2019-06-27T15:01:39Z</dcterms:created>
  <dcterms:modified xsi:type="dcterms:W3CDTF">2022-06-15T11:57:50Z</dcterms:modified>
</cp:coreProperties>
</file>